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3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NFIG_REFERENCIA" sheetId="2" state="visible" r:id="rId2"/>
    <sheet xmlns:r="http://schemas.openxmlformats.org/officeDocument/2006/relationships" name="CATALOGO_EXPERIMENTOS" sheetId="3" state="visible" r:id="rId3"/>
    <sheet xmlns:r="http://schemas.openxmlformats.org/officeDocument/2006/relationships" name="RESULTADOS_GRID" sheetId="4" state="visible" r:id="rId4"/>
    <sheet xmlns:r="http://schemas.openxmlformats.org/officeDocument/2006/relationships" name="RUN_SUMMARY" sheetId="5" state="visible" r:id="rId5"/>
    <sheet xmlns:r="http://schemas.openxmlformats.org/officeDocument/2006/relationships" name="RUN_ARTEFACTOS" sheetId="6" state="visible" r:id="rId6"/>
  </sheets>
  <definedNames/>
  <calcPr calcId="124519" calcMode="auto" fullCalcOnLoad="1" refMode="A1" iterate="0" iterateCount="100" iterateDelta="0.001" forceFullCalc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theme="1"/>
      <sz val="11"/>
    </font>
    <font>
      <name val="Calibri"/>
      <charset val="1"/>
      <family val="0"/>
      <b val="1"/>
      <color rgb="FF1F4E78"/>
      <sz val="16"/>
    </font>
    <font>
      <name val="Calibri"/>
      <charset val="1"/>
      <family val="0"/>
      <color rgb="FF000000"/>
      <sz val="10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color rgb="FF000000"/>
      <sz val="11"/>
    </font>
    <font>
      <name val="Arial"/>
      <family val="2"/>
      <color rgb="FF000000"/>
      <sz val="10"/>
    </font>
    <font>
      <name val="Calibri"/>
      <charset val="1"/>
      <family val="0"/>
      <color rgb="FF666666"/>
      <sz val="10"/>
    </font>
    <font>
      <name val="Calibri"/>
      <charset val="1"/>
      <family val="0"/>
      <color rgb="FF7030A0"/>
      <sz val="10"/>
    </font>
    <font>
      <name val="Calibri"/>
      <charset val="1"/>
      <family val="0"/>
      <color rgb="FF0000FF"/>
      <sz val="10"/>
    </font>
    <font>
      <name val="Cambria"/>
      <charset val="1"/>
      <family val="0"/>
      <b val="1"/>
      <color rgb="FFFFFFFF"/>
      <sz val="11"/>
    </font>
  </fonts>
  <fills count="8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EADCF8"/>
        <bgColor rgb="FFE7E6E6"/>
      </patternFill>
    </fill>
    <fill>
      <patternFill patternType="solid">
        <fgColor rgb="FFE7E6E6"/>
        <bgColor rgb="FFE2F0D9"/>
      </patternFill>
    </fill>
    <fill>
      <patternFill patternType="solid">
        <fgColor rgb="FFF5F5F5"/>
        <bgColor rgb="FFFFFFFF"/>
      </patternFill>
    </fill>
    <fill>
      <patternFill patternType="solid">
        <fgColor rgb="FFD9EAF7"/>
        <bgColor rgb="FFE7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F4E7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2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20">
      <alignment horizontal="general" vertical="bottom"/>
    </xf>
    <xf numFmtId="0" fontId="6" fillId="0" borderId="0" applyAlignment="1" pivotButton="0" quotePrefix="0" xfId="20">
      <alignment horizontal="general" vertical="bottom"/>
    </xf>
    <xf numFmtId="0" fontId="7" fillId="2" borderId="0" applyAlignment="1" pivotButton="0" quotePrefix="0" xfId="20">
      <alignment horizontal="general" vertical="bottom"/>
    </xf>
    <xf numFmtId="0" fontId="6" fillId="0" borderId="0" applyAlignment="1" pivotButton="0" quotePrefix="0" xfId="20">
      <alignment horizontal="general" vertical="bottom" wrapText="1"/>
    </xf>
    <xf numFmtId="0" fontId="8" fillId="3" borderId="0" applyAlignment="1" pivotButton="0" quotePrefix="0" xfId="20">
      <alignment horizontal="general" vertical="bottom"/>
    </xf>
    <xf numFmtId="0" fontId="9" fillId="3" borderId="0" applyAlignment="1" pivotButton="0" quotePrefix="0" xfId="0">
      <alignment horizontal="general" vertical="bottom"/>
    </xf>
    <xf numFmtId="0" fontId="7" fillId="2" borderId="1" applyAlignment="1" pivotButton="0" quotePrefix="0" xfId="20">
      <alignment horizontal="center" vertical="center" wrapText="1"/>
    </xf>
    <xf numFmtId="0" fontId="10" fillId="0" borderId="0" applyAlignment="1" pivotButton="0" quotePrefix="0" xfId="20">
      <alignment horizontal="general" vertical="bottom"/>
    </xf>
    <xf numFmtId="164" fontId="11" fillId="4" borderId="0" applyAlignment="1" pivotButton="0" quotePrefix="0" xfId="20">
      <alignment horizontal="general" vertical="bottom"/>
    </xf>
    <xf numFmtId="0" fontId="10" fillId="5" borderId="0" applyAlignment="1" pivotButton="0" quotePrefix="0" xfId="2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8" fillId="2" borderId="1" applyAlignment="1" pivotButton="0" quotePrefix="0" xfId="20">
      <alignment horizontal="center" vertical="center" wrapText="1"/>
    </xf>
    <xf numFmtId="0" fontId="6" fillId="5" borderId="0" applyAlignment="1" pivotButton="0" quotePrefix="0" xfId="20">
      <alignment horizontal="general" vertical="top" wrapText="1"/>
    </xf>
    <xf numFmtId="0" fontId="6" fillId="6" borderId="0" applyAlignment="1" pivotButton="0" quotePrefix="0" xfId="20">
      <alignment horizontal="general" vertical="top" wrapText="1"/>
    </xf>
    <xf numFmtId="0" fontId="12" fillId="7" borderId="0" applyAlignment="1" pivotButton="0" quotePrefix="0" xfId="20">
      <alignment horizontal="general" vertical="top" wrapText="1"/>
    </xf>
    <xf numFmtId="0" fontId="10" fillId="5" borderId="0" applyAlignment="1" pivotButton="0" quotePrefix="0" xfId="20">
      <alignment horizontal="general" vertical="top" wrapText="1"/>
    </xf>
    <xf numFmtId="164" fontId="6" fillId="6" borderId="0" applyAlignment="1" pivotButton="0" quotePrefix="0" xfId="20">
      <alignment horizontal="general" vertical="top" wrapText="1"/>
    </xf>
    <xf numFmtId="164" fontId="11" fillId="4" borderId="0" applyAlignment="1" pivotButton="0" quotePrefix="0" xfId="20">
      <alignment horizontal="general" vertical="top" wrapText="1"/>
    </xf>
    <xf numFmtId="165" fontId="12" fillId="7" borderId="0" applyAlignment="1" pivotButton="0" quotePrefix="0" xfId="20">
      <alignment horizontal="general" vertical="top" wrapText="1"/>
    </xf>
    <xf numFmtId="165" fontId="6" fillId="6" borderId="0" applyAlignment="1" pivotButton="0" quotePrefix="0" xfId="20">
      <alignment horizontal="general" vertical="top" wrapText="1"/>
    </xf>
    <xf numFmtId="164" fontId="12" fillId="7" borderId="0" applyAlignment="1" pivotButton="0" quotePrefix="0" xfId="20">
      <alignment horizontal="general" vertical="top" wrapText="1"/>
    </xf>
    <xf numFmtId="0" fontId="6" fillId="6" borderId="0" applyAlignment="1" pivotButton="0" quotePrefix="0" xfId="20">
      <alignment horizontal="general" vertical="top" wrapText="1"/>
    </xf>
    <xf numFmtId="164" fontId="11" fillId="6" borderId="0" applyAlignment="1" pivotButton="0" quotePrefix="0" xfId="20">
      <alignment horizontal="general" vertical="top" wrapText="1"/>
    </xf>
    <xf numFmtId="0" fontId="13" fillId="2" borderId="0" applyAlignment="1" pivotButton="0" quotePrefix="0" xfId="20">
      <alignment horizontal="general" vertical="bottom"/>
    </xf>
    <xf numFmtId="0" fontId="4" fillId="7" borderId="0" applyAlignment="1" pivotButton="0" quotePrefix="0" xfId="2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0" applyAlignment="1" pivotButton="0" quotePrefix="0" xfId="20">
      <alignment horizontal="general" vertical="bottom"/>
    </xf>
    <xf numFmtId="0" fontId="6" fillId="0" borderId="0" applyAlignment="1" pivotButton="0" quotePrefix="0" xfId="20">
      <alignment horizontal="general" vertical="bottom"/>
    </xf>
    <xf numFmtId="0" fontId="7" fillId="2" borderId="0" applyAlignment="1" pivotButton="0" quotePrefix="0" xfId="20">
      <alignment horizontal="general" vertical="bottom"/>
    </xf>
    <xf numFmtId="0" fontId="6" fillId="0" borderId="0" applyAlignment="1" pivotButton="0" quotePrefix="0" xfId="20">
      <alignment horizontal="general" vertical="bottom" wrapText="1"/>
    </xf>
    <xf numFmtId="0" fontId="9" fillId="3" borderId="0" applyAlignment="1" pivotButton="0" quotePrefix="0" xfId="0">
      <alignment horizontal="general" vertical="bottom"/>
    </xf>
    <xf numFmtId="0" fontId="8" fillId="3" borderId="0" applyAlignment="1" pivotButton="0" quotePrefix="0" xfId="20">
      <alignment horizontal="general" vertical="bottom"/>
    </xf>
    <xf numFmtId="0" fontId="7" fillId="2" borderId="1" applyAlignment="1" pivotButton="0" quotePrefix="0" xfId="20">
      <alignment horizontal="center" vertical="center" wrapText="1"/>
    </xf>
    <xf numFmtId="0" fontId="10" fillId="0" borderId="0" applyAlignment="1" pivotButton="0" quotePrefix="0" xfId="20">
      <alignment horizontal="general" vertical="bottom"/>
    </xf>
    <xf numFmtId="164" fontId="11" fillId="4" borderId="0" applyAlignment="1" pivotButton="0" quotePrefix="0" xfId="20">
      <alignment horizontal="general" vertical="bottom"/>
    </xf>
    <xf numFmtId="0" fontId="10" fillId="5" borderId="0" applyAlignment="1" pivotButton="0" quotePrefix="0" xfId="2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8" fillId="2" borderId="1" applyAlignment="1" pivotButton="0" quotePrefix="0" xfId="20">
      <alignment horizontal="center" vertical="center" wrapText="1"/>
    </xf>
    <xf numFmtId="0" fontId="6" fillId="5" borderId="0" applyAlignment="1" pivotButton="0" quotePrefix="0" xfId="20">
      <alignment horizontal="general" vertical="top" wrapText="1"/>
    </xf>
    <xf numFmtId="0" fontId="6" fillId="6" borderId="0" applyAlignment="1" pivotButton="0" quotePrefix="0" xfId="20">
      <alignment horizontal="general" vertical="top" wrapText="1"/>
    </xf>
    <xf numFmtId="0" fontId="12" fillId="7" borderId="0" applyAlignment="1" pivotButton="0" quotePrefix="0" xfId="20">
      <alignment horizontal="general" vertical="top" wrapText="1"/>
    </xf>
    <xf numFmtId="0" fontId="10" fillId="5" borderId="0" applyAlignment="1" pivotButton="0" quotePrefix="0" xfId="20">
      <alignment horizontal="general" vertical="top" wrapText="1"/>
    </xf>
    <xf numFmtId="164" fontId="6" fillId="6" borderId="0" applyAlignment="1" pivotButton="0" quotePrefix="0" xfId="20">
      <alignment horizontal="general" vertical="top" wrapText="1"/>
    </xf>
    <xf numFmtId="164" fontId="11" fillId="4" borderId="0" applyAlignment="1" pivotButton="0" quotePrefix="0" xfId="20">
      <alignment horizontal="general" vertical="top" wrapText="1"/>
    </xf>
    <xf numFmtId="165" fontId="12" fillId="7" borderId="0" applyAlignment="1" pivotButton="0" quotePrefix="0" xfId="20">
      <alignment horizontal="general" vertical="top" wrapText="1"/>
    </xf>
    <xf numFmtId="165" fontId="6" fillId="6" borderId="0" applyAlignment="1" pivotButton="0" quotePrefix="0" xfId="20">
      <alignment horizontal="general" vertical="top" wrapText="1"/>
    </xf>
    <xf numFmtId="164" fontId="12" fillId="7" borderId="0" applyAlignment="1" pivotButton="0" quotePrefix="0" xfId="20">
      <alignment horizontal="general" vertical="top" wrapText="1"/>
    </xf>
    <xf numFmtId="0" fontId="12" fillId="7" borderId="0" applyAlignment="1" pivotButton="0" quotePrefix="0" xfId="20">
      <alignment horizontal="general" vertical="top" wrapText="1"/>
    </xf>
    <xf numFmtId="0" fontId="10" fillId="5" borderId="0" applyAlignment="1" pivotButton="0" quotePrefix="0" xfId="20">
      <alignment horizontal="general" vertical="top" wrapText="1"/>
    </xf>
    <xf numFmtId="164" fontId="6" fillId="6" borderId="0" applyAlignment="1" pivotButton="0" quotePrefix="0" xfId="20">
      <alignment horizontal="general" vertical="top" wrapText="1"/>
    </xf>
    <xf numFmtId="164" fontId="11" fillId="4" borderId="0" applyAlignment="1" pivotButton="0" quotePrefix="0" xfId="20">
      <alignment horizontal="general" vertical="top" wrapText="1"/>
    </xf>
    <xf numFmtId="165" fontId="12" fillId="7" borderId="0" applyAlignment="1" pivotButton="0" quotePrefix="0" xfId="20">
      <alignment horizontal="general" vertical="top" wrapText="1"/>
    </xf>
    <xf numFmtId="165" fontId="6" fillId="6" borderId="0" applyAlignment="1" pivotButton="0" quotePrefix="0" xfId="20">
      <alignment horizontal="general" vertical="top" wrapText="1"/>
    </xf>
    <xf numFmtId="164" fontId="12" fillId="7" borderId="0" applyAlignment="1" pivotButton="0" quotePrefix="0" xfId="20">
      <alignment horizontal="general" vertical="top" wrapText="1"/>
    </xf>
    <xf numFmtId="164" fontId="11" fillId="6" borderId="0" applyAlignment="1" pivotButton="0" quotePrefix="0" xfId="20">
      <alignment horizontal="general" vertical="top" wrapText="1"/>
    </xf>
    <xf numFmtId="0" fontId="6" fillId="6" borderId="0" applyAlignment="1" pivotButton="0" quotePrefix="0" xfId="20">
      <alignment horizontal="general" vertical="top" wrapText="1"/>
    </xf>
    <xf numFmtId="164" fontId="11" fillId="6" borderId="0" applyAlignment="1" pivotButton="0" quotePrefix="0" xfId="20">
      <alignment horizontal="general" vertical="top" wrapText="1"/>
    </xf>
    <xf numFmtId="0" fontId="13" fillId="2" borderId="0" applyAlignment="1" pivotButton="0" quotePrefix="0" xfId="20">
      <alignment horizontal="general" vertical="bottom"/>
    </xf>
    <xf numFmtId="0" fontId="4" fillId="7" borderId="0" applyAlignment="1" pivotButton="0" quotePrefix="0" xfId="20">
      <alignment horizontal="general" vertical="bottom"/>
    </xf>
    <xf numFmtId="0" fontId="4" fillId="7" borderId="0" applyAlignment="1" pivotButton="0" quotePrefix="0" xfId="2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>
          <bgColor rgb="FFFDE9D9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5F5F5"/>
      <rgbColor rgb="FFD9EAF7"/>
      <rgbColor rgb="FF660066"/>
      <rgbColor rgb="FFFF8080"/>
      <rgbColor rgb="FF0066CC"/>
      <rgbColor rgb="FFEADC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F0D9"/>
      <rgbColor rgb="FFFDE9D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Unknown Author</author>
  </authors>
  <commentList>
    <comment ref="S1" authorId="0" shapeId="0">
      <text>
        <t>Peso del horizonte traído desde CONFIG_REFERENCIA según Horizonte_sem</t>
      </text>
    </comment>
    <comment ref="X1" authorId="0" shapeId="0">
      <text>
        <t>Loss_h = w_h × (alpha×L_num + beta×L_trend + gamma×L_risk + delta×L_tol)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I1" authorId="0" shapeId="0">
      <text>
        <t>L_total_Radar = Σ Loss_h + eta × L_coh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cols>
    <col width="110" customWidth="1" style="26" min="1" max="1"/>
  </cols>
  <sheetData>
    <row r="1" ht="25.5" customHeight="1" s="27">
      <c r="A1" s="28" t="inlineStr">
        <is>
          <t>Grid de experimentos del Radar</t>
        </is>
      </c>
    </row>
    <row r="2" ht="19.5" customHeight="1" s="27"/>
    <row r="3" ht="19.5" customHeight="1" s="27">
      <c r="A3" s="29" t="inlineStr">
        <is>
          <t>Basado en el esquema del archivo subido: Funcion_Perdida_Radar_y_Grid_Experimentos.docx</t>
        </is>
      </c>
    </row>
    <row r="4" ht="19.5" customHeight="1" s="27"/>
    <row r="5" ht="19.5" customHeight="1" s="27">
      <c r="A5" s="30" t="inlineStr">
        <is>
          <t>Cómo usar este archivo</t>
        </is>
      </c>
    </row>
    <row r="6" ht="19.5" customHeight="1" s="27">
      <c r="A6" s="31" t="inlineStr">
        <is>
          <t>1) En 'RESULTADOS_GRID', cada fila representa un resultado por horizonte (1, 2, 3 o 4 semanas) para un run.</t>
        </is>
      </c>
    </row>
    <row r="7" ht="19.5" customHeight="1" s="27">
      <c r="A7" s="31" t="inlineStr">
        <is>
          <t>2) Completa métricas de entrada: L_num, L_trend, L_risk, L_tol, MAE, RMSE, dirección accuracy y detección de caídas.</t>
        </is>
      </c>
    </row>
    <row r="8" ht="19.5" customHeight="1" s="27">
      <c r="A8" s="31" t="inlineStr">
        <is>
          <t>3) Los pesos alpha, beta, gamma, delta y w_h se traen automáticamente desde 'CONFIG_REFERENCIA'.</t>
        </is>
      </c>
    </row>
    <row r="9" ht="19.5" customHeight="1" s="27">
      <c r="A9" s="31" t="inlineStr">
        <is>
          <t>4) En 'RUN_SUMMARY' se consolida el score multi-horizonte por Run_ID y se calcula L_total_Radar = Σ Loss_h + eta × L_coh.</t>
        </is>
      </c>
    </row>
    <row r="10" ht="19.5" customHeight="1" s="27">
      <c r="A10" s="31" t="inlineStr">
        <is>
          <t>5) Usa 'CATALOGO_EXPERIMENTOS' como plantilla base (E1–E10) y duplica o añade runs según vayas probando variantes.</t>
        </is>
      </c>
    </row>
    <row r="11" ht="19.5" customHeight="1" s="27"/>
    <row r="12" ht="19.5" customHeight="1" s="27">
      <c r="A12" s="30" t="inlineStr">
        <is>
          <t>Notas</t>
        </is>
      </c>
    </row>
    <row r="13" ht="19.5" customHeight="1" s="27">
      <c r="A13" s="29" t="inlineStr">
        <is>
          <t>6) Cierre oficial E1 Ridge: E1_v5_clean queda como mejor Ridge limpio global y E1_v4_clean como referencia parsimoniosa.</t>
        </is>
      </c>
    </row>
    <row r="14" ht="19.5" customHeight="1" s="27">
      <c r="A14" s="29" t="inlineStr">
        <is>
          <t>7) Cierre oficial E2 Huber: E2_v3_clean gana internamente, E2_v2_clean descarta convergencia como causa principal y la familia queda cerrada.</t>
        </is>
      </c>
    </row>
    <row r="15" ht="19.5" customHeight="1" s="27">
      <c r="A15" s="29" t="inlineStr">
        <is>
          <t>8) E2_v4_clean queda cancelada por decision metodologica explicita y no se ejecuta.</t>
        </is>
      </c>
    </row>
    <row r="16" ht="19.5" customHeight="1" s="27">
      <c r="A16" s="26" t="inlineStr">
        <is>
          <t>9) Siguiente prioridad operativa: E3 Random Forest con el mismo marco temporal limpio; E4 XGBoost y E5 CatBoost quedan como continuidad.</t>
        </is>
      </c>
    </row>
    <row r="17" ht="19.5" customHeight="1" s="27">
      <c r="A17" s="30" t="inlineStr">
        <is>
          <t>Convención visual</t>
        </is>
      </c>
    </row>
    <row r="18" ht="19.5" customHeight="1" s="27">
      <c r="A18" s="29" t="inlineStr">
        <is>
          <t>Azul = input editable</t>
        </is>
      </c>
    </row>
    <row r="19" ht="19.5" customHeight="1" s="27">
      <c r="A19" s="29" t="inlineStr">
        <is>
          <t>Negro = fórmula / cálculo</t>
        </is>
      </c>
    </row>
    <row r="20" ht="19.5" customHeight="1" s="27">
      <c r="A20" s="29" t="inlineStr">
        <is>
          <t>Gris = texto o catálogo base</t>
        </is>
      </c>
    </row>
    <row r="21" ht="19.5" customHeight="1" s="27">
      <c r="A21" s="29" t="inlineStr">
        <is>
          <t>Morado = control / lógica</t>
        </is>
      </c>
    </row>
    <row r="22" ht="19.5" customHeight="1" s="27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O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9" activeCellId="0" sqref="E9"/>
    </sheetView>
  </sheetViews>
  <sheetFormatPr baseColWidth="8" defaultColWidth="8.54296875" defaultRowHeight="15" zeroHeight="0" outlineLevelRow="0"/>
  <cols>
    <col width="14" customWidth="1" style="26" min="1" max="1"/>
    <col width="10" customWidth="1" style="26" min="2" max="2"/>
    <col width="14" customWidth="1" style="26" min="4" max="4"/>
    <col width="10" customWidth="1" style="26" min="5" max="5"/>
    <col width="18" customWidth="1" style="26" min="7" max="7"/>
    <col width="14" customWidth="1" style="26" min="8" max="8"/>
    <col width="18" customWidth="1" style="26" min="9" max="9"/>
    <col width="20" customWidth="1" style="26" min="10" max="10"/>
    <col width="18" customWidth="1" style="26" min="11" max="11"/>
    <col width="14" customWidth="1" style="26" min="12" max="13"/>
    <col width="95" customWidth="1" style="26" min="15" max="15"/>
  </cols>
  <sheetData>
    <row r="1" ht="19.5" customFormat="1" customHeight="1" s="32">
      <c r="A1" s="33" t="inlineStr">
        <is>
          <t>Pesos por horizonte</t>
        </is>
      </c>
      <c r="D1" s="33" t="inlineStr">
        <is>
          <t>Pesos internos de la pérdida</t>
        </is>
      </c>
      <c r="G1" s="33" t="inlineStr">
        <is>
          <t>Catálogos / listas</t>
        </is>
      </c>
      <c r="O1" s="33" t="inlineStr">
        <is>
          <t>Formula de referencia</t>
        </is>
      </c>
    </row>
    <row r="2" ht="19.5" customHeight="1" s="27">
      <c r="A2" s="34" t="inlineStr">
        <is>
          <t>Horizonte_sem</t>
        </is>
      </c>
      <c r="B2" s="34" t="inlineStr">
        <is>
          <t>Peso_w</t>
        </is>
      </c>
      <c r="C2" s="34" t="n"/>
      <c r="D2" s="34" t="inlineStr">
        <is>
          <t>Parametro</t>
        </is>
      </c>
      <c r="E2" s="34" t="inlineStr">
        <is>
          <t>Valor</t>
        </is>
      </c>
      <c r="G2" s="30" t="inlineStr">
        <is>
          <t>Familia</t>
        </is>
      </c>
      <c r="H2" s="30" t="inlineStr">
        <is>
          <t>Target</t>
        </is>
      </c>
      <c r="I2" s="30" t="inlineStr">
        <is>
          <t>Transformacion</t>
        </is>
      </c>
      <c r="J2" s="30" t="inlineStr">
        <is>
          <t>Seleccion_variables</t>
        </is>
      </c>
      <c r="K2" s="30" t="inlineStr">
        <is>
          <t>Validacion</t>
        </is>
      </c>
      <c r="L2" s="30" t="inlineStr">
        <is>
          <t>Estado</t>
        </is>
      </c>
      <c r="M2" s="30" t="inlineStr">
        <is>
          <t>Decision</t>
        </is>
      </c>
      <c r="O2" s="29" t="inlineStr">
        <is>
          <t>Loss_h = w_h × (alpha×L_num + beta×L_trend + gamma×L_risk + delta×L_tol)</t>
        </is>
      </c>
    </row>
    <row r="3" ht="19.5" customHeight="1" s="27">
      <c r="A3" s="35" t="n">
        <v>1</v>
      </c>
      <c r="B3" s="36" t="n">
        <v>0.3</v>
      </c>
      <c r="D3" s="35" t="inlineStr">
        <is>
          <t>alpha</t>
        </is>
      </c>
      <c r="E3" s="36" t="n">
        <v>0.35</v>
      </c>
      <c r="G3" s="37" t="inlineStr">
        <is>
          <t>lineal</t>
        </is>
      </c>
      <c r="H3" s="37" t="inlineStr">
        <is>
          <t>nivel</t>
        </is>
      </c>
      <c r="I3" s="37" t="inlineStr">
        <is>
          <t>original</t>
        </is>
      </c>
      <c r="J3" s="37" t="inlineStr">
        <is>
          <t>todas</t>
        </is>
      </c>
      <c r="K3" s="37" t="inlineStr">
        <is>
          <t>walk-forward</t>
        </is>
      </c>
      <c r="L3" s="37" t="inlineStr">
        <is>
          <t>pendiente</t>
        </is>
      </c>
      <c r="M3" s="37" t="inlineStr">
        <is>
          <t>descartar</t>
        </is>
      </c>
      <c r="O3" s="29" t="inlineStr">
        <is>
          <t>L_total_Radar = Σ Loss_h + eta × L_coh</t>
        </is>
      </c>
    </row>
    <row r="4" ht="19.5" customHeight="1" s="27">
      <c r="A4" s="35" t="n">
        <v>2</v>
      </c>
      <c r="B4" s="36" t="n">
        <v>0.25</v>
      </c>
      <c r="D4" s="35" t="inlineStr">
        <is>
          <t>beta</t>
        </is>
      </c>
      <c r="E4" s="36" t="n">
        <v>0.25</v>
      </c>
      <c r="G4" s="37" t="inlineStr">
        <is>
          <t>robusto</t>
        </is>
      </c>
      <c r="H4" s="37" t="inlineStr">
        <is>
          <t>delta</t>
        </is>
      </c>
      <c r="I4" s="37" t="inlineStr">
        <is>
          <t>estandarizada</t>
        </is>
      </c>
      <c r="J4" s="37" t="inlineStr">
        <is>
          <t>correlacion</t>
        </is>
      </c>
      <c r="K4" s="37" t="inlineStr">
        <is>
          <t>expanding_window</t>
        </is>
      </c>
      <c r="L4" s="37" t="inlineStr">
        <is>
          <t>correr</t>
        </is>
      </c>
      <c r="M4" s="37" t="inlineStr">
        <is>
          <t>contender</t>
        </is>
      </c>
    </row>
    <row r="5" ht="19.5" customHeight="1" s="27">
      <c r="A5" s="35" t="n">
        <v>3</v>
      </c>
      <c r="B5" s="36" t="n">
        <v>0.3</v>
      </c>
      <c r="D5" s="35" t="inlineStr">
        <is>
          <t>gamma</t>
        </is>
      </c>
      <c r="E5" s="36" t="n">
        <v>0.25</v>
      </c>
      <c r="G5" s="37" t="inlineStr">
        <is>
          <t>boosting</t>
        </is>
      </c>
      <c r="H5" s="37" t="inlineStr">
        <is>
          <t>ambos</t>
        </is>
      </c>
      <c r="I5" s="37" t="inlineStr">
        <is>
          <t>log</t>
        </is>
      </c>
      <c r="J5" s="37" t="inlineStr">
        <is>
          <t>lasso</t>
        </is>
      </c>
      <c r="K5" s="37" t="inlineStr">
        <is>
          <t>rolling_window</t>
        </is>
      </c>
      <c r="L5" s="37" t="inlineStr">
        <is>
          <t>corrido</t>
        </is>
      </c>
      <c r="M5" s="37" t="inlineStr">
        <is>
          <t>finalista</t>
        </is>
      </c>
    </row>
    <row r="6" ht="19.5" customHeight="1" s="27">
      <c r="A6" s="35" t="n">
        <v>4</v>
      </c>
      <c r="B6" s="36" t="n">
        <v>0.15</v>
      </c>
      <c r="D6" s="35" t="inlineStr">
        <is>
          <t>delta</t>
        </is>
      </c>
      <c r="E6" s="36" t="n">
        <v>0.1</v>
      </c>
      <c r="G6" s="37" t="inlineStr">
        <is>
          <t>temporal</t>
        </is>
      </c>
      <c r="I6" s="37" t="inlineStr">
        <is>
          <t>robusta</t>
        </is>
      </c>
      <c r="J6" s="37" t="inlineStr">
        <is>
          <t>importancia_arboles</t>
        </is>
      </c>
      <c r="L6" s="37" t="inlineStr">
        <is>
          <t>revisar</t>
        </is>
      </c>
      <c r="M6" s="37" t="inlineStr">
        <is>
          <t>ganador</t>
        </is>
      </c>
    </row>
    <row r="7" ht="19.5" customHeight="1" s="27">
      <c r="D7" s="35" t="inlineStr">
        <is>
          <t>eta</t>
        </is>
      </c>
      <c r="E7" s="36" t="n">
        <v>0.05</v>
      </c>
      <c r="G7" s="37" t="inlineStr">
        <is>
          <t>hibrido</t>
        </is>
      </c>
      <c r="I7" s="37" t="inlineStr">
        <is>
          <t>winsorizada</t>
        </is>
      </c>
    </row>
    <row r="8" ht="19.5" customHeight="1" s="27">
      <c r="G8" s="37" t="inlineStr">
        <is>
          <t>ensemble</t>
        </is>
      </c>
    </row>
    <row r="9" ht="19.5" customHeight="1" s="27"/>
    <row r="10" ht="19.5" customHeight="1" s="27"/>
    <row r="11" ht="19.5" customHeight="1" s="27"/>
    <row r="12" ht="19.5" customHeight="1" s="27"/>
    <row r="13" ht="19.5" customHeight="1" s="27"/>
    <row r="14" ht="19.5" customHeight="1" s="27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14" activeCellId="0" sqref="D14"/>
    </sheetView>
  </sheetViews>
  <sheetFormatPr baseColWidth="8" defaultColWidth="8.54296875" defaultRowHeight="15" zeroHeight="0" outlineLevelRow="0"/>
  <cols>
    <col width="14" customWidth="1" style="38" min="1" max="1"/>
    <col width="12" customWidth="1" style="38" min="2" max="2"/>
    <col width="28" customWidth="1" style="38" min="3" max="3"/>
    <col width="36" customWidth="1" style="38" min="4" max="4"/>
    <col width="28" customWidth="1" style="38" min="5" max="5"/>
    <col width="24" customWidth="1" style="38" min="6" max="6"/>
    <col width="34" customWidth="1" style="38" min="7" max="7"/>
    <col width="8.539999999999999" customWidth="1" style="38" min="8" max="16384"/>
  </cols>
  <sheetData>
    <row r="1" ht="15" customHeight="1" s="27">
      <c r="A1" s="39" t="inlineStr">
        <is>
          <t>Experiment_ID</t>
        </is>
      </c>
      <c r="B1" s="39" t="inlineStr">
        <is>
          <t>Familia</t>
        </is>
      </c>
      <c r="C1" s="39" t="inlineStr">
        <is>
          <t>Modelo_base</t>
        </is>
      </c>
      <c r="D1" s="39" t="inlineStr">
        <is>
          <t>Objetivo</t>
        </is>
      </c>
      <c r="E1" s="39" t="inlineStr">
        <is>
          <t>Variables_base</t>
        </is>
      </c>
      <c r="F1" s="39" t="inlineStr">
        <is>
          <t>Validacion_recomendada</t>
        </is>
      </c>
      <c r="G1" s="39" t="inlineStr">
        <is>
          <t>Notas</t>
        </is>
      </c>
    </row>
    <row r="2" ht="26.5" customHeight="1" s="27">
      <c r="A2" s="40" t="inlineStr">
        <is>
          <t>E1</t>
        </is>
      </c>
      <c r="B2" s="40" t="inlineStr">
        <is>
          <t>lineal</t>
        </is>
      </c>
      <c r="C2" s="40" t="inlineStr">
        <is>
          <t>Ridge / Elastic Net</t>
        </is>
      </c>
      <c r="D2" s="57" t="inlineStr">
        <is>
          <t>Baseline interpretable por horizonte</t>
        </is>
      </c>
      <c r="E2" s="57" t="inlineStr">
        <is>
          <t>Lags del IAD + variables tematicas</t>
        </is>
      </c>
      <c r="F2" s="40" t="inlineStr">
        <is>
          <t>walk-forward</t>
        </is>
      </c>
      <c r="G2" s="57" t="inlineStr">
        <is>
          <t>Ridge cerrado como rama principal: E1_v5_clean mejor global por L_total_Radar; E1_v4_clean referencia parsimoniosa. No continuar automaticamente con E1_v6+.</t>
        </is>
      </c>
    </row>
    <row r="3" ht="15" customHeight="1" s="27">
      <c r="A3" s="40" t="inlineStr">
        <is>
          <t>E2</t>
        </is>
      </c>
      <c r="B3" s="40" t="inlineStr">
        <is>
          <t>robusto</t>
        </is>
      </c>
      <c r="C3" s="40" t="inlineStr">
        <is>
          <t>Huber Regressor</t>
        </is>
      </c>
      <c r="D3" s="57" t="inlineStr">
        <is>
          <t>Baseline robusto a ruido y outliers</t>
        </is>
      </c>
      <c r="E3" s="57" t="inlineStr">
        <is>
          <t>Lags del IAD + variables tematicas</t>
        </is>
      </c>
      <c r="F3" s="40" t="inlineStr">
        <is>
          <t>walk-forward</t>
        </is>
      </c>
      <c r="G3" s="57" t="inlineStr">
        <is>
          <t>Familia cerrada bajo esquema limpio temporal: E2_v3_clean gana internamente, E2_v2_clean descarta convergencia como explicacion principal y E2_v4_clean se cancela por decision metodologica. No competitiva frente a E1_v5_clean.</t>
        </is>
      </c>
    </row>
    <row r="4" ht="26.5" customHeight="1" s="27">
      <c r="A4" s="40" t="inlineStr">
        <is>
          <t>E3</t>
        </is>
      </c>
      <c r="B4" s="40" t="inlineStr">
        <is>
          <t>boosting</t>
        </is>
      </c>
      <c r="C4" s="40" t="inlineStr">
        <is>
          <t>Random Forest</t>
        </is>
      </c>
      <c r="D4" s="57" t="inlineStr">
        <is>
          <t>Explorar no linealidades básicas</t>
        </is>
      </c>
      <c r="E4" s="57" t="inlineStr">
        <is>
          <t>Variables temporales y tematicas</t>
        </is>
      </c>
      <c r="F4" s="40" t="inlineStr">
        <is>
          <t>walk-forward</t>
        </is>
      </c>
      <c r="G4" s="57" t="inlineStr">
        <is>
          <t>Siguiente prioridad operativa: Random Forest clean con el mismo marco temporal. Referencia principal E1_v5_clean; referencias secundarias E1_v4_clean y E2_v3_clean.</t>
        </is>
      </c>
    </row>
    <row r="5" ht="15" customHeight="1" s="27">
      <c r="A5" s="40" t="inlineStr">
        <is>
          <t>E4</t>
        </is>
      </c>
      <c r="B5" s="40" t="inlineStr">
        <is>
          <t>boosting</t>
        </is>
      </c>
      <c r="C5" s="40" t="inlineStr">
        <is>
          <t>XGBoost / LightGBM</t>
        </is>
      </c>
      <c r="D5" s="57" t="inlineStr">
        <is>
          <t>Candidato fuerte para tabular multi-factor</t>
        </is>
      </c>
      <c r="E5" s="57" t="inlineStr">
        <is>
          <t>Variables temporales y tematicas</t>
        </is>
      </c>
      <c r="F5" s="40" t="inlineStr">
        <is>
          <t>walk-forward</t>
        </is>
      </c>
      <c r="G5" s="57" t="inlineStr">
        <is>
          <t>Continuidad natural de E3: XGBoost / LightGBM con la misma arquitectura limpia por familias.</t>
        </is>
      </c>
    </row>
    <row r="6" ht="15" customHeight="1" s="27">
      <c r="A6" s="40" t="inlineStr">
        <is>
          <t>E5</t>
        </is>
      </c>
      <c r="B6" s="40" t="inlineStr">
        <is>
          <t>boosting</t>
        </is>
      </c>
      <c r="C6" s="40" t="inlineStr">
        <is>
          <t>CatBoost</t>
        </is>
      </c>
      <c r="D6" s="57" t="inlineStr">
        <is>
          <t>Comparar boosting con regularización</t>
        </is>
      </c>
      <c r="E6" s="57" t="inlineStr">
        <is>
          <t>Variables mixtas</t>
        </is>
      </c>
      <c r="F6" s="40" t="inlineStr">
        <is>
          <t>walk-forward</t>
        </is>
      </c>
      <c r="G6" s="57" t="inlineStr">
        <is>
          <t>Continuidad de boosting: CatBoost con el mismo marco temporal y comparaciones contra E1/E3.</t>
        </is>
      </c>
    </row>
    <row r="7" ht="15" customHeight="1" s="27">
      <c r="A7" s="40" t="inlineStr">
        <is>
          <t>E6</t>
        </is>
      </c>
      <c r="B7" s="40" t="inlineStr">
        <is>
          <t>temporal</t>
        </is>
      </c>
      <c r="C7" s="40" t="inlineStr">
        <is>
          <t>ARIMAX / SARIMAX</t>
        </is>
      </c>
      <c r="D7" s="57" t="inlineStr">
        <is>
          <t>Evaluar fuerza de la dinámica temporal</t>
        </is>
      </c>
      <c r="E7" s="57" t="inlineStr">
        <is>
          <t>Serie + regresores digitales</t>
        </is>
      </c>
      <c r="F7" s="40" t="inlineStr">
        <is>
          <t>walk-forward</t>
        </is>
      </c>
      <c r="G7" s="57" t="inlineStr">
        <is>
          <t>Capta bien tendencia/autocorrelación</t>
        </is>
      </c>
    </row>
    <row r="8" ht="15" customHeight="1" s="27">
      <c r="A8" s="40" t="inlineStr">
        <is>
          <t>E7</t>
        </is>
      </c>
      <c r="B8" s="40" t="inlineStr">
        <is>
          <t>temporal</t>
        </is>
      </c>
      <c r="C8" s="40" t="inlineStr">
        <is>
          <t>Prophet + regresores</t>
        </is>
      </c>
      <c r="D8" s="57" t="inlineStr">
        <is>
          <t>Alternativa temporal más flexible</t>
        </is>
      </c>
      <c r="E8" s="57" t="inlineStr">
        <is>
          <t>Serie + regresores</t>
        </is>
      </c>
      <c r="F8" s="40" t="inlineStr">
        <is>
          <t>walk-forward</t>
        </is>
      </c>
      <c r="G8" s="57" t="inlineStr">
        <is>
          <t>Útil como benchmark temporal flexible</t>
        </is>
      </c>
    </row>
    <row r="9" ht="15" customHeight="1" s="27">
      <c r="A9" s="40" t="inlineStr">
        <is>
          <t>E8</t>
        </is>
      </c>
      <c r="B9" s="40" t="inlineStr">
        <is>
          <t>hibrido</t>
        </is>
      </c>
      <c r="C9" s="40" t="inlineStr">
        <is>
          <t>Temporal + boosting residuales</t>
        </is>
      </c>
      <c r="D9" s="57" t="inlineStr">
        <is>
          <t>Captar tendencia base + shocks no lineales</t>
        </is>
      </c>
      <c r="E9" s="57" t="inlineStr">
        <is>
          <t>Temporal + tabular</t>
        </is>
      </c>
      <c r="F9" s="40" t="inlineStr">
        <is>
          <t>walk-forward</t>
        </is>
      </c>
      <c r="G9" s="57" t="inlineStr">
        <is>
          <t>Enfoque híbrido de alto potencial</t>
        </is>
      </c>
    </row>
    <row r="10" ht="26.5" customHeight="1" s="27">
      <c r="A10" s="40" t="inlineStr">
        <is>
          <t>E9</t>
        </is>
      </c>
      <c r="B10" s="40" t="inlineStr">
        <is>
          <t>hibrido</t>
        </is>
      </c>
      <c r="C10" s="40" t="inlineStr">
        <is>
          <t>Stacking lineal + boosting + temporal</t>
        </is>
      </c>
      <c r="D10" s="57" t="inlineStr">
        <is>
          <t>Combinar señales complementarias</t>
        </is>
      </c>
      <c r="E10" s="57" t="inlineStr">
        <is>
          <t>Modelos base complementarios</t>
        </is>
      </c>
      <c r="F10" s="40" t="inlineStr">
        <is>
          <t>walk-forward</t>
        </is>
      </c>
      <c r="G10" s="57" t="inlineStr">
        <is>
          <t>Conviene si hay ganadores distintos por horizonte</t>
        </is>
      </c>
    </row>
    <row r="11" ht="26.5" customHeight="1" s="27">
      <c r="A11" s="40" t="inlineStr">
        <is>
          <t>E10</t>
        </is>
      </c>
      <c r="B11" s="40" t="inlineStr">
        <is>
          <t>ensemble</t>
        </is>
      </c>
      <c r="C11" s="40" t="inlineStr">
        <is>
          <t>Mejor modelo por horizonte + ensemble final</t>
        </is>
      </c>
      <c r="D11" s="57" t="inlineStr">
        <is>
          <t>Maximizar desempeño operativo</t>
        </is>
      </c>
      <c r="E11" s="57" t="inlineStr">
        <is>
          <t>Ganadores por horizonte</t>
        </is>
      </c>
      <c r="F11" s="40" t="inlineStr">
        <is>
          <t>walk-forward</t>
        </is>
      </c>
      <c r="G11" s="57" t="inlineStr">
        <is>
          <t>Cierre natural del banco de modelos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Y279"/>
  <sheetViews>
    <sheetView showFormulas="0" showGridLines="1" showRowColHeaders="1" showZeros="1" rightToLeft="0" tabSelected="1" showOutlineSymbols="1" defaultGridColor="1" view="normal" topLeftCell="D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cols>
    <col width="12" customWidth="1" style="26" min="1" max="1"/>
    <col width="14" customWidth="1" style="26" min="2" max="2"/>
    <col width="13" customWidth="1" style="26" min="3" max="3"/>
    <col width="16" customWidth="1" style="26" min="4" max="4"/>
    <col width="28" customWidth="1" style="26" min="5" max="5"/>
    <col width="12" customWidth="1" style="26" min="6" max="7"/>
    <col width="24" customWidth="1" style="26" min="8" max="9"/>
    <col width="16" customWidth="1" style="26" min="10" max="10"/>
    <col width="20" customWidth="1" style="26" min="11" max="11"/>
    <col width="18" customWidth="1" style="26" min="12" max="13"/>
    <col width="24" customWidth="1" style="26" min="14" max="14"/>
    <col width="8" customWidth="1" style="26" min="15" max="19"/>
    <col width="10" customWidth="1" style="26" min="20" max="26"/>
    <col width="16" customWidth="1" style="26" min="27" max="28"/>
    <col width="12" customWidth="1" style="26" min="29" max="29"/>
    <col width="32" customWidth="1" style="26" min="30" max="30"/>
    <col width="24" customWidth="1" style="26" min="31" max="31"/>
    <col width="42" customWidth="1" style="26" min="32" max="32"/>
    <col width="40" customWidth="1" style="26" min="33" max="33"/>
    <col width="42" customWidth="1" style="26" min="34" max="34"/>
    <col width="38" customWidth="1" style="26" min="35" max="36"/>
    <col width="22" customWidth="1" style="26" min="37" max="37"/>
    <col width="24" customWidth="1" style="27" min="38" max="38"/>
    <col width="24" customWidth="1" style="27" min="39" max="39"/>
    <col width="24" customWidth="1" style="27" min="40" max="40"/>
    <col width="24" customWidth="1" style="27" min="41" max="41"/>
    <col width="24" customWidth="1" style="27" min="42" max="42"/>
    <col width="24" customWidth="1" style="27" min="43" max="43"/>
    <col width="24" customWidth="1" style="27" min="44" max="44"/>
    <col width="24" customWidth="1" style="27" min="45" max="45"/>
    <col width="24" customWidth="1" style="27" min="46" max="46"/>
    <col width="24" customWidth="1" style="27" min="47" max="47"/>
    <col width="24" customWidth="1" style="27" min="48" max="48"/>
    <col width="24" customWidth="1" style="27" min="49" max="49"/>
    <col width="24" customWidth="1" style="27" min="50" max="50"/>
    <col width="24" customWidth="1" style="27" min="51" max="51"/>
  </cols>
  <sheetData>
    <row r="1" ht="27.7" customFormat="1" customHeight="1" s="38">
      <c r="A1" s="39" t="inlineStr">
        <is>
          <t>Fecha</t>
        </is>
      </c>
      <c r="B1" s="39" t="inlineStr">
        <is>
          <t>Run_ID</t>
        </is>
      </c>
      <c r="C1" s="39" t="inlineStr">
        <is>
          <t>Experiment_ID</t>
        </is>
      </c>
      <c r="D1" s="39" t="inlineStr">
        <is>
          <t>Familia_modelo</t>
        </is>
      </c>
      <c r="E1" s="39" t="inlineStr">
        <is>
          <t>Modelo</t>
        </is>
      </c>
      <c r="F1" s="39" t="inlineStr">
        <is>
          <t>Horizonte_sem</t>
        </is>
      </c>
      <c r="G1" s="39" t="inlineStr">
        <is>
          <t>Target</t>
        </is>
      </c>
      <c r="H1" s="39" t="inlineStr">
        <is>
          <t>Variables_temporales</t>
        </is>
      </c>
      <c r="I1" s="39" t="inlineStr">
        <is>
          <t>Variables_tematicas</t>
        </is>
      </c>
      <c r="J1" s="39" t="inlineStr">
        <is>
          <t>Transformacion</t>
        </is>
      </c>
      <c r="K1" s="39" t="inlineStr">
        <is>
          <t>Seleccion_variables</t>
        </is>
      </c>
      <c r="L1" s="39" t="inlineStr">
        <is>
          <t>Validacion</t>
        </is>
      </c>
      <c r="M1" s="39" t="inlineStr">
        <is>
          <t>Dataset_Periodo</t>
        </is>
      </c>
      <c r="N1" s="39" t="inlineStr">
        <is>
          <t>Notas_config</t>
        </is>
      </c>
      <c r="O1" s="39" t="inlineStr">
        <is>
          <t>alpha</t>
        </is>
      </c>
      <c r="P1" s="39" t="inlineStr">
        <is>
          <t>beta</t>
        </is>
      </c>
      <c r="Q1" s="39" t="inlineStr">
        <is>
          <t>gamma</t>
        </is>
      </c>
      <c r="R1" s="39" t="inlineStr">
        <is>
          <t>delta</t>
        </is>
      </c>
      <c r="S1" s="39" t="inlineStr">
        <is>
          <t>w_h</t>
        </is>
      </c>
      <c r="T1" s="39" t="inlineStr">
        <is>
          <t>L_num</t>
        </is>
      </c>
      <c r="U1" s="39" t="inlineStr">
        <is>
          <t>L_trend</t>
        </is>
      </c>
      <c r="V1" s="39" t="inlineStr">
        <is>
          <t>L_risk</t>
        </is>
      </c>
      <c r="W1" s="39" t="inlineStr">
        <is>
          <t>L_tol</t>
        </is>
      </c>
      <c r="X1" s="39" t="inlineStr">
        <is>
          <t>Loss_h</t>
        </is>
      </c>
      <c r="Y1" s="39" t="inlineStr">
        <is>
          <t>MAE</t>
        </is>
      </c>
      <c r="Z1" s="39" t="inlineStr">
        <is>
          <t>RMSE</t>
        </is>
      </c>
      <c r="AA1" s="39" t="inlineStr">
        <is>
          <t>Direccion_accuracy</t>
        </is>
      </c>
      <c r="AB1" s="39" t="inlineStr">
        <is>
          <t>Deteccion_caidas</t>
        </is>
      </c>
      <c r="AC1" s="39" t="inlineStr">
        <is>
          <t>Estado</t>
        </is>
      </c>
      <c r="AD1" s="39" t="inlineStr">
        <is>
          <t>Comentarios</t>
        </is>
      </c>
      <c r="AE1" s="39" t="inlineStr">
        <is>
          <t>Script_nombre</t>
        </is>
      </c>
      <c r="AF1" s="39" t="inlineStr">
        <is>
          <t>Script_ruta</t>
        </is>
      </c>
      <c r="AG1" s="39" t="inlineStr">
        <is>
          <t>Run_dir</t>
        </is>
      </c>
      <c r="AH1" s="39" t="inlineStr">
        <is>
          <t>Snapshot_script</t>
        </is>
      </c>
      <c r="AI1" s="39" t="inlineStr">
        <is>
          <t>Parametros_ruta_json</t>
        </is>
      </c>
      <c r="AJ1" s="39" t="inlineStr">
        <is>
          <t>Resultados_ruta_json</t>
        </is>
      </c>
      <c r="AK1" s="39" t="inlineStr">
        <is>
          <t>Timestamp_run</t>
        </is>
      </c>
      <c r="AL1" s="39" t="inlineStr">
        <is>
          <t>Task_type</t>
        </is>
      </c>
      <c r="AM1" s="39" t="inlineStr">
        <is>
          <t>Accuracy_5clases</t>
        </is>
      </c>
      <c r="AN1" s="39" t="inlineStr">
        <is>
          <t>Balanced_accuracy_5clases</t>
        </is>
      </c>
      <c r="AO1" s="39" t="inlineStr">
        <is>
          <t>Macro_f1_5clases</t>
        </is>
      </c>
      <c r="AP1" s="39" t="inlineStr">
        <is>
          <t>Weighted_f1_5clases</t>
        </is>
      </c>
      <c r="AQ1" s="39" t="inlineStr">
        <is>
          <t>Recall_baja_fuerte</t>
        </is>
      </c>
      <c r="AR1" s="39" t="inlineStr">
        <is>
          <t>Recall_baja_total</t>
        </is>
      </c>
      <c r="AS1" s="39" t="inlineStr">
        <is>
          <t>Precision_baja_fuerte</t>
        </is>
      </c>
      <c r="AT1" s="39" t="inlineStr">
        <is>
          <t>Recall_sube_fuerte</t>
        </is>
      </c>
      <c r="AU1" s="39" t="inlineStr">
        <is>
          <t>Recall_sube_total</t>
        </is>
      </c>
      <c r="AV1" s="39" t="inlineStr">
        <is>
          <t>Accuracy_3clases</t>
        </is>
      </c>
      <c r="AW1" s="39" t="inlineStr">
        <is>
          <t>Macro_f1_3clases</t>
        </is>
      </c>
      <c r="AX1" s="39" t="inlineStr">
        <is>
          <t>Balanced_accuracy_3clases</t>
        </is>
      </c>
      <c r="AY1" s="39" t="inlineStr">
        <is>
          <t>Loss_clasificacion_h</t>
        </is>
      </c>
    </row>
    <row r="2" ht="15" customHeight="1" s="27">
      <c r="A2" s="49" t="inlineStr">
        <is>
          <t>2026-03-21 06:37:15</t>
        </is>
      </c>
      <c r="B2" s="49" t="inlineStr">
        <is>
          <t>E1_v1</t>
        </is>
      </c>
      <c r="C2" s="50" t="inlineStr">
        <is>
          <t>E1</t>
        </is>
      </c>
      <c r="D2" s="50" t="inlineStr">
        <is>
          <t>lineal</t>
        </is>
      </c>
      <c r="E2" s="50" t="inlineStr">
        <is>
          <t>RidgeCV</t>
        </is>
      </c>
      <c r="F2" s="50" t="n">
        <v>1</v>
      </c>
      <c r="G2" s="49" t="inlineStr">
        <is>
          <t>nivel</t>
        </is>
      </c>
      <c r="H2" s="50" t="inlineStr">
        <is>
          <t>y_t + lags 1..4</t>
        </is>
      </c>
      <c r="I2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2" s="50" t="inlineStr">
        <is>
          <t>estandarizada</t>
        </is>
      </c>
      <c r="K2" s="50" t="inlineStr">
        <is>
          <t>todas</t>
        </is>
      </c>
      <c r="L2" s="50" t="inlineStr">
        <is>
          <t>walk-forward_expanding</t>
        </is>
      </c>
      <c r="M2" s="49" t="inlineStr">
        <is>
          <t>2024-10-14 a 2026-03-02</t>
        </is>
      </c>
      <c r="N2" s="49" t="inlineStr">
        <is>
          <t>RidgeCV con 59 features, lags=[1, 2, 3, 4], initial_train_size=40</t>
        </is>
      </c>
      <c r="O2" s="51" t="n">
        <v>0.35</v>
      </c>
      <c r="P2" s="51" t="n">
        <v>0.25</v>
      </c>
      <c r="Q2" s="51" t="n">
        <v>0.25</v>
      </c>
      <c r="R2" s="51" t="n">
        <v>0.1</v>
      </c>
      <c r="S2" s="52" t="n">
        <v>0.3</v>
      </c>
      <c r="T2" s="53" t="n">
        <v>0.1763774184078989</v>
      </c>
      <c r="U2" s="53" t="n">
        <v>0.1785714285714286</v>
      </c>
      <c r="V2" s="53" t="n">
        <v>0.2307692307692307</v>
      </c>
      <c r="W2" s="53" t="n">
        <v>0.7857142857142857</v>
      </c>
      <c r="X2" s="54" t="n">
        <v>0.07279160695480741</v>
      </c>
      <c r="Y2" s="53" t="n">
        <v>0.1085222154195119</v>
      </c>
      <c r="Z2" s="53" t="n">
        <v>0.1364781165293461</v>
      </c>
      <c r="AA2" s="55" t="n">
        <v>0.8214285714285714</v>
      </c>
      <c r="AB2" s="55" t="n">
        <v>0.7692307692307693</v>
      </c>
      <c r="AC2" s="49" t="inlineStr">
        <is>
          <t>corrido</t>
        </is>
      </c>
      <c r="AD2" s="49" t="inlineStr">
        <is>
          <t>Retrointegrado desde metricas_horizonte.json para persistir resumen numerico.</t>
        </is>
      </c>
      <c r="AE2" s="49" t="inlineStr">
        <is>
          <t>run_e1_ridge.py</t>
        </is>
      </c>
      <c r="AF2" s="49" t="inlineStr">
        <is>
          <t>Scripts/Modeling/run_e1_ridge.py</t>
        </is>
      </c>
      <c r="AG2" s="49" t="inlineStr">
        <is>
          <t>Experimentos/runs/E1_v1_20260321_063715</t>
        </is>
      </c>
      <c r="AH2" s="49" t="inlineStr">
        <is>
          <t>Experimentos/runs/E1_v1_20260321_063715/scripts/run_e1_ridge.py</t>
        </is>
      </c>
      <c r="AI2" s="49" t="inlineStr">
        <is>
          <t>Experimentos/runs/E1_v1_20260321_063715/parametros_run.json</t>
        </is>
      </c>
      <c r="AJ2" s="49" t="inlineStr">
        <is>
          <t>Experimentos/runs/E1_v1_20260321_063715/metricas_horizonte.json</t>
        </is>
      </c>
      <c r="AK2" s="49" t="inlineStr">
        <is>
          <t>2026-03-21 06:37:15</t>
        </is>
      </c>
      <c r="AL2" s="49" t="n"/>
      <c r="AM2" s="49" t="n"/>
      <c r="AN2" s="49" t="n"/>
      <c r="AO2" s="49" t="n"/>
      <c r="AP2" s="49" t="n"/>
      <c r="AQ2" s="49" t="n"/>
      <c r="AR2" s="49" t="n"/>
      <c r="AS2" s="49" t="n"/>
      <c r="AT2" s="49" t="n"/>
      <c r="AU2" s="49" t="n"/>
      <c r="AV2" s="49" t="n"/>
      <c r="AW2" s="49" t="n"/>
      <c r="AX2" s="49" t="n"/>
      <c r="AY2" s="49" t="n"/>
    </row>
    <row r="3" ht="15" customHeight="1" s="27">
      <c r="A3" s="49" t="inlineStr">
        <is>
          <t>2026-03-21 06:37:15</t>
        </is>
      </c>
      <c r="B3" s="49" t="inlineStr">
        <is>
          <t>E1_v1</t>
        </is>
      </c>
      <c r="C3" s="50" t="inlineStr">
        <is>
          <t>E1</t>
        </is>
      </c>
      <c r="D3" s="50" t="inlineStr">
        <is>
          <t>lineal</t>
        </is>
      </c>
      <c r="E3" s="50" t="inlineStr">
        <is>
          <t>RidgeCV</t>
        </is>
      </c>
      <c r="F3" s="50" t="n">
        <v>2</v>
      </c>
      <c r="G3" s="49" t="inlineStr">
        <is>
          <t>nivel</t>
        </is>
      </c>
      <c r="H3" s="50" t="inlineStr">
        <is>
          <t>y_t + lags 1..4</t>
        </is>
      </c>
      <c r="I3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3" s="50" t="inlineStr">
        <is>
          <t>estandarizada</t>
        </is>
      </c>
      <c r="K3" s="50" t="inlineStr">
        <is>
          <t>todas</t>
        </is>
      </c>
      <c r="L3" s="50" t="inlineStr">
        <is>
          <t>walk-forward_expanding</t>
        </is>
      </c>
      <c r="M3" s="49" t="inlineStr">
        <is>
          <t>2024-10-14 a 2026-03-02</t>
        </is>
      </c>
      <c r="N3" s="49" t="inlineStr">
        <is>
          <t>RidgeCV con 59 features, lags=[1, 2, 3, 4], initial_train_size=40</t>
        </is>
      </c>
      <c r="O3" s="51" t="n">
        <v>0.35</v>
      </c>
      <c r="P3" s="51" t="n">
        <v>0.25</v>
      </c>
      <c r="Q3" s="51" t="n">
        <v>0.25</v>
      </c>
      <c r="R3" s="51" t="n">
        <v>0.1</v>
      </c>
      <c r="S3" s="52" t="n">
        <v>0.25</v>
      </c>
      <c r="T3" s="53" t="n">
        <v>0.1677301984085808</v>
      </c>
      <c r="U3" s="53" t="n">
        <v>0.4074074074074074</v>
      </c>
      <c r="V3" s="53" t="n">
        <v>0.4166666666666666</v>
      </c>
      <c r="W3" s="53" t="n">
        <v>0.7777777777777778</v>
      </c>
      <c r="X3" s="54" t="n">
        <v>0.0856254664348249</v>
      </c>
      <c r="Y3" s="53" t="n">
        <v>0.1032017187254528</v>
      </c>
      <c r="Z3" s="53" t="n">
        <v>0.1316608391736882</v>
      </c>
      <c r="AA3" s="55" t="n">
        <v>0.5925925925925926</v>
      </c>
      <c r="AB3" s="55" t="n">
        <v>0.5833333333333334</v>
      </c>
      <c r="AC3" s="49" t="inlineStr">
        <is>
          <t>corrido</t>
        </is>
      </c>
      <c r="AD3" s="49" t="inlineStr">
        <is>
          <t>Retrointegrado desde metricas_horizonte.json para persistir resumen numerico.</t>
        </is>
      </c>
      <c r="AE3" s="49" t="inlineStr">
        <is>
          <t>run_e1_ridge.py</t>
        </is>
      </c>
      <c r="AF3" s="49" t="inlineStr">
        <is>
          <t>Scripts/Modeling/run_e1_ridge.py</t>
        </is>
      </c>
      <c r="AG3" s="49" t="inlineStr">
        <is>
          <t>Experimentos/runs/E1_v1_20260321_063715</t>
        </is>
      </c>
      <c r="AH3" s="49" t="inlineStr">
        <is>
          <t>Experimentos/runs/E1_v1_20260321_063715/scripts/run_e1_ridge.py</t>
        </is>
      </c>
      <c r="AI3" s="49" t="inlineStr">
        <is>
          <t>Experimentos/runs/E1_v1_20260321_063715/parametros_run.json</t>
        </is>
      </c>
      <c r="AJ3" s="49" t="inlineStr">
        <is>
          <t>Experimentos/runs/E1_v1_20260321_063715/metricas_horizonte.json</t>
        </is>
      </c>
      <c r="AK3" s="49" t="inlineStr">
        <is>
          <t>2026-03-21 06:37:15</t>
        </is>
      </c>
      <c r="AL3" s="49" t="n"/>
      <c r="AM3" s="49" t="n"/>
      <c r="AN3" s="49" t="n"/>
      <c r="AO3" s="49" t="n"/>
      <c r="AP3" s="49" t="n"/>
      <c r="AQ3" s="49" t="n"/>
      <c r="AR3" s="49" t="n"/>
      <c r="AS3" s="49" t="n"/>
      <c r="AT3" s="49" t="n"/>
      <c r="AU3" s="49" t="n"/>
      <c r="AV3" s="49" t="n"/>
      <c r="AW3" s="49" t="n"/>
      <c r="AX3" s="49" t="n"/>
      <c r="AY3" s="49" t="n"/>
    </row>
    <row r="4" ht="15" customHeight="1" s="27">
      <c r="A4" s="49" t="inlineStr">
        <is>
          <t>2026-03-21 06:37:15</t>
        </is>
      </c>
      <c r="B4" s="49" t="inlineStr">
        <is>
          <t>E1_v1</t>
        </is>
      </c>
      <c r="C4" s="50" t="inlineStr">
        <is>
          <t>E1</t>
        </is>
      </c>
      <c r="D4" s="50" t="inlineStr">
        <is>
          <t>lineal</t>
        </is>
      </c>
      <c r="E4" s="50" t="inlineStr">
        <is>
          <t>RidgeCV</t>
        </is>
      </c>
      <c r="F4" s="50" t="n">
        <v>3</v>
      </c>
      <c r="G4" s="49" t="inlineStr">
        <is>
          <t>nivel</t>
        </is>
      </c>
      <c r="H4" s="50" t="inlineStr">
        <is>
          <t>y_t + lags 1..4</t>
        </is>
      </c>
      <c r="I4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4" s="50" t="inlineStr">
        <is>
          <t>estandarizada</t>
        </is>
      </c>
      <c r="K4" s="50" t="inlineStr">
        <is>
          <t>todas</t>
        </is>
      </c>
      <c r="L4" s="50" t="inlineStr">
        <is>
          <t>walk-forward_expanding</t>
        </is>
      </c>
      <c r="M4" s="49" t="inlineStr">
        <is>
          <t>2024-10-14 a 2026-03-02</t>
        </is>
      </c>
      <c r="N4" s="49" t="inlineStr">
        <is>
          <t>RidgeCV con 59 features, lags=[1, 2, 3, 4], initial_train_size=40</t>
        </is>
      </c>
      <c r="O4" s="51" t="n">
        <v>0.35</v>
      </c>
      <c r="P4" s="51" t="n">
        <v>0.25</v>
      </c>
      <c r="Q4" s="51" t="n">
        <v>0.25</v>
      </c>
      <c r="R4" s="51" t="n">
        <v>0.1</v>
      </c>
      <c r="S4" s="52" t="n">
        <v>0.3</v>
      </c>
      <c r="T4" s="53" t="n">
        <v>0.1716764812922544</v>
      </c>
      <c r="U4" s="53" t="n">
        <v>0.1538461538461539</v>
      </c>
      <c r="V4" s="53" t="n">
        <v>0.1666666666666666</v>
      </c>
      <c r="W4" s="53" t="n">
        <v>0.7692307692307693</v>
      </c>
      <c r="X4" s="54" t="n">
        <v>0.06514141515107132</v>
      </c>
      <c r="Y4" s="53" t="n">
        <v>0.1056298037097672</v>
      </c>
      <c r="Z4" s="53" t="n">
        <v>0.1371961916014883</v>
      </c>
      <c r="AA4" s="55" t="n">
        <v>0.8461538461538461</v>
      </c>
      <c r="AB4" s="55" t="n">
        <v>0.8333333333333334</v>
      </c>
      <c r="AC4" s="49" t="inlineStr">
        <is>
          <t>corrido</t>
        </is>
      </c>
      <c r="AD4" s="49" t="inlineStr">
        <is>
          <t>Retrointegrado desde metricas_horizonte.json para persistir resumen numerico.</t>
        </is>
      </c>
      <c r="AE4" s="49" t="inlineStr">
        <is>
          <t>run_e1_ridge.py</t>
        </is>
      </c>
      <c r="AF4" s="49" t="inlineStr">
        <is>
          <t>Scripts/Modeling/run_e1_ridge.py</t>
        </is>
      </c>
      <c r="AG4" s="49" t="inlineStr">
        <is>
          <t>Experimentos/runs/E1_v1_20260321_063715</t>
        </is>
      </c>
      <c r="AH4" s="49" t="inlineStr">
        <is>
          <t>Experimentos/runs/E1_v1_20260321_063715/scripts/run_e1_ridge.py</t>
        </is>
      </c>
      <c r="AI4" s="49" t="inlineStr">
        <is>
          <t>Experimentos/runs/E1_v1_20260321_063715/parametros_run.json</t>
        </is>
      </c>
      <c r="AJ4" s="49" t="inlineStr">
        <is>
          <t>Experimentos/runs/E1_v1_20260321_063715/metricas_horizonte.json</t>
        </is>
      </c>
      <c r="AK4" s="49" t="inlineStr">
        <is>
          <t>2026-03-21 06:37:15</t>
        </is>
      </c>
      <c r="AL4" s="49" t="n"/>
      <c r="AM4" s="49" t="n"/>
      <c r="AN4" s="49" t="n"/>
      <c r="AO4" s="49" t="n"/>
      <c r="AP4" s="49" t="n"/>
      <c r="AQ4" s="49" t="n"/>
      <c r="AR4" s="49" t="n"/>
      <c r="AS4" s="49" t="n"/>
      <c r="AT4" s="49" t="n"/>
      <c r="AU4" s="49" t="n"/>
      <c r="AV4" s="49" t="n"/>
      <c r="AW4" s="49" t="n"/>
      <c r="AX4" s="49" t="n"/>
      <c r="AY4" s="49" t="n"/>
    </row>
    <row r="5" ht="15" customHeight="1" s="27">
      <c r="A5" s="49" t="inlineStr">
        <is>
          <t>2026-03-21 06:37:15</t>
        </is>
      </c>
      <c r="B5" s="49" t="inlineStr">
        <is>
          <t>E1_v1</t>
        </is>
      </c>
      <c r="C5" s="50" t="inlineStr">
        <is>
          <t>E1</t>
        </is>
      </c>
      <c r="D5" s="50" t="inlineStr">
        <is>
          <t>lineal</t>
        </is>
      </c>
      <c r="E5" s="50" t="inlineStr">
        <is>
          <t>RidgeCV</t>
        </is>
      </c>
      <c r="F5" s="50" t="n">
        <v>4</v>
      </c>
      <c r="G5" s="49" t="inlineStr">
        <is>
          <t>nivel</t>
        </is>
      </c>
      <c r="H5" s="50" t="inlineStr">
        <is>
          <t>y_t + lags 1..4</t>
        </is>
      </c>
      <c r="I5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5" s="50" t="inlineStr">
        <is>
          <t>estandarizada</t>
        </is>
      </c>
      <c r="K5" s="50" t="inlineStr">
        <is>
          <t>todas</t>
        </is>
      </c>
      <c r="L5" s="50" t="inlineStr">
        <is>
          <t>walk-forward_expanding</t>
        </is>
      </c>
      <c r="M5" s="49" t="inlineStr">
        <is>
          <t>2024-10-14 a 2026-03-02</t>
        </is>
      </c>
      <c r="N5" s="49" t="inlineStr">
        <is>
          <t>RidgeCV con 59 features, lags=[1, 2, 3, 4], initial_train_size=40</t>
        </is>
      </c>
      <c r="O5" s="51" t="n">
        <v>0.35</v>
      </c>
      <c r="P5" s="51" t="n">
        <v>0.25</v>
      </c>
      <c r="Q5" s="51" t="n">
        <v>0.25</v>
      </c>
      <c r="R5" s="51" t="n">
        <v>0.1</v>
      </c>
      <c r="S5" s="52" t="n">
        <v>0.15</v>
      </c>
      <c r="T5" s="53" t="n">
        <v>0.1657678226368655</v>
      </c>
      <c r="U5" s="53" t="n">
        <v>0.28</v>
      </c>
      <c r="V5" s="53" t="n">
        <v>0.2</v>
      </c>
      <c r="W5" s="53" t="n">
        <v>0.72</v>
      </c>
      <c r="X5" s="54" t="n">
        <v>0.03750281068843544</v>
      </c>
      <c r="Y5" s="53" t="n">
        <v>0.1019943001785977</v>
      </c>
      <c r="Z5" s="53" t="n">
        <v>0.1356427850388481</v>
      </c>
      <c r="AA5" s="55" t="n">
        <v>0.72</v>
      </c>
      <c r="AB5" s="55" t="n">
        <v>0.8</v>
      </c>
      <c r="AC5" s="49" t="inlineStr">
        <is>
          <t>corrido</t>
        </is>
      </c>
      <c r="AD5" s="49" t="inlineStr">
        <is>
          <t>Retrointegrado desde metricas_horizonte.json para persistir resumen numerico.</t>
        </is>
      </c>
      <c r="AE5" s="49" t="inlineStr">
        <is>
          <t>run_e1_ridge.py</t>
        </is>
      </c>
      <c r="AF5" s="49" t="inlineStr">
        <is>
          <t>Scripts/Modeling/run_e1_ridge.py</t>
        </is>
      </c>
      <c r="AG5" s="49" t="inlineStr">
        <is>
          <t>Experimentos/runs/E1_v1_20260321_063715</t>
        </is>
      </c>
      <c r="AH5" s="49" t="inlineStr">
        <is>
          <t>Experimentos/runs/E1_v1_20260321_063715/scripts/run_e1_ridge.py</t>
        </is>
      </c>
      <c r="AI5" s="49" t="inlineStr">
        <is>
          <t>Experimentos/runs/E1_v1_20260321_063715/parametros_run.json</t>
        </is>
      </c>
      <c r="AJ5" s="49" t="inlineStr">
        <is>
          <t>Experimentos/runs/E1_v1_20260321_063715/metricas_horizonte.json</t>
        </is>
      </c>
      <c r="AK5" s="49" t="inlineStr">
        <is>
          <t>2026-03-21 06:37:15</t>
        </is>
      </c>
      <c r="AL5" s="49" t="n"/>
      <c r="AM5" s="49" t="n"/>
      <c r="AN5" s="49" t="n"/>
      <c r="AO5" s="49" t="n"/>
      <c r="AP5" s="49" t="n"/>
      <c r="AQ5" s="49" t="n"/>
      <c r="AR5" s="49" t="n"/>
      <c r="AS5" s="49" t="n"/>
      <c r="AT5" s="49" t="n"/>
      <c r="AU5" s="49" t="n"/>
      <c r="AV5" s="49" t="n"/>
      <c r="AW5" s="49" t="n"/>
      <c r="AX5" s="49" t="n"/>
      <c r="AY5" s="49" t="n"/>
    </row>
    <row r="6" ht="15" customHeight="1" s="27">
      <c r="A6" s="49" t="n"/>
      <c r="B6" s="49" t="inlineStr">
        <is>
          <t>E2_v1</t>
        </is>
      </c>
      <c r="C6" s="50" t="inlineStr">
        <is>
          <t>E2</t>
        </is>
      </c>
      <c r="D6" s="50" t="inlineStr">
        <is>
          <t>robusto</t>
        </is>
      </c>
      <c r="E6" s="50" t="inlineStr">
        <is>
          <t>Huber Regressor</t>
        </is>
      </c>
      <c r="F6" s="50" t="n">
        <v>1</v>
      </c>
      <c r="G6" s="49" t="n"/>
      <c r="H6" s="50" t="inlineStr">
        <is>
          <t>lags IAD, MA, momentum</t>
        </is>
      </c>
      <c r="I6" s="50" t="inlineStr">
        <is>
          <t>indices tematicos / sentimiento</t>
        </is>
      </c>
      <c r="J6" s="50" t="inlineStr">
        <is>
          <t>robusta</t>
        </is>
      </c>
      <c r="K6" s="50" t="inlineStr">
        <is>
          <t>todas</t>
        </is>
      </c>
      <c r="L6" s="50" t="inlineStr">
        <is>
          <t>walk-forward</t>
        </is>
      </c>
      <c r="M6" s="49" t="n"/>
      <c r="N6" s="49" t="n"/>
      <c r="O6" s="51">
        <f>CONFIG_REFERENCIA!$E$3</f>
        <v/>
      </c>
      <c r="P6" s="51">
        <f>CONFIG_REFERENCIA!$E$4</f>
        <v/>
      </c>
      <c r="Q6" s="51">
        <f>CONFIG_REFERENCIA!$E$5</f>
        <v/>
      </c>
      <c r="R6" s="51">
        <f>CONFIG_REFERENCIA!$E$6</f>
        <v/>
      </c>
      <c r="S6" s="52">
        <f>IF($F6="","",INDEX(CONFIG_REFERENCIA!$B$3:$B$6,MATCH($F6,CONFIG_REFERENCIA!$A$3:$A$6,0)))</f>
        <v/>
      </c>
      <c r="T6" s="53" t="n"/>
      <c r="U6" s="53" t="n"/>
      <c r="V6" s="53" t="n"/>
      <c r="W6" s="53" t="n"/>
      <c r="X6" s="54">
        <f>IF(COUNTA($T6:$W6)&lt;4,"",$S6*($O6*$T6+$P6*$U6+$Q6*$V6+$R6*$W6))</f>
        <v/>
      </c>
      <c r="Y6" s="53" t="n"/>
      <c r="Z6" s="53" t="n"/>
      <c r="AA6" s="55" t="n"/>
      <c r="AB6" s="55" t="n"/>
      <c r="AC6" s="49" t="inlineStr">
        <is>
          <t>pendiente</t>
        </is>
      </c>
      <c r="AD6" s="49" t="n"/>
      <c r="AE6" s="49" t="n"/>
      <c r="AF6" s="49" t="n"/>
      <c r="AG6" s="49" t="n"/>
      <c r="AH6" s="49" t="n"/>
      <c r="AI6" s="49" t="n"/>
      <c r="AJ6" s="49" t="n"/>
      <c r="AK6" s="49" t="n"/>
      <c r="AL6" s="49" t="n"/>
      <c r="AM6" s="49" t="n"/>
      <c r="AN6" s="49" t="n"/>
      <c r="AO6" s="49" t="n"/>
      <c r="AP6" s="49" t="n"/>
      <c r="AQ6" s="49" t="n"/>
      <c r="AR6" s="49" t="n"/>
      <c r="AS6" s="49" t="n"/>
      <c r="AT6" s="49" t="n"/>
      <c r="AU6" s="49" t="n"/>
      <c r="AV6" s="49" t="n"/>
      <c r="AW6" s="49" t="n"/>
      <c r="AX6" s="49" t="n"/>
      <c r="AY6" s="49" t="n"/>
    </row>
    <row r="7" ht="15" customHeight="1" s="27">
      <c r="A7" s="49" t="n"/>
      <c r="B7" s="49" t="inlineStr">
        <is>
          <t>E2_v1</t>
        </is>
      </c>
      <c r="C7" s="50" t="inlineStr">
        <is>
          <t>E2</t>
        </is>
      </c>
      <c r="D7" s="50" t="inlineStr">
        <is>
          <t>robusto</t>
        </is>
      </c>
      <c r="E7" s="50" t="inlineStr">
        <is>
          <t>Huber Regressor</t>
        </is>
      </c>
      <c r="F7" s="50" t="n">
        <v>2</v>
      </c>
      <c r="G7" s="49" t="n"/>
      <c r="H7" s="50" t="inlineStr">
        <is>
          <t>lags IAD, MA, momentum</t>
        </is>
      </c>
      <c r="I7" s="50" t="inlineStr">
        <is>
          <t>indices tematicos / sentimiento</t>
        </is>
      </c>
      <c r="J7" s="50" t="inlineStr">
        <is>
          <t>robusta</t>
        </is>
      </c>
      <c r="K7" s="50" t="inlineStr">
        <is>
          <t>todas</t>
        </is>
      </c>
      <c r="L7" s="50" t="inlineStr">
        <is>
          <t>walk-forward</t>
        </is>
      </c>
      <c r="M7" s="49" t="n"/>
      <c r="N7" s="49" t="n"/>
      <c r="O7" s="51">
        <f>CONFIG_REFERENCIA!$E$3</f>
        <v/>
      </c>
      <c r="P7" s="51">
        <f>CONFIG_REFERENCIA!$E$4</f>
        <v/>
      </c>
      <c r="Q7" s="51">
        <f>CONFIG_REFERENCIA!$E$5</f>
        <v/>
      </c>
      <c r="R7" s="51">
        <f>CONFIG_REFERENCIA!$E$6</f>
        <v/>
      </c>
      <c r="S7" s="52">
        <f>IF($F7="","",INDEX(CONFIG_REFERENCIA!$B$3:$B$6,MATCH($F7,CONFIG_REFERENCIA!$A$3:$A$6,0)))</f>
        <v/>
      </c>
      <c r="T7" s="53" t="n"/>
      <c r="U7" s="53" t="n"/>
      <c r="V7" s="53" t="n"/>
      <c r="W7" s="53" t="n"/>
      <c r="X7" s="54">
        <f>IF(COUNTA($T7:$W7)&lt;4,"",$S7*($O7*$T7+$P7*$U7+$Q7*$V7+$R7*$W7))</f>
        <v/>
      </c>
      <c r="Y7" s="53" t="n"/>
      <c r="Z7" s="53" t="n"/>
      <c r="AA7" s="55" t="n"/>
      <c r="AB7" s="55" t="n"/>
      <c r="AC7" s="49" t="inlineStr">
        <is>
          <t>pendiente</t>
        </is>
      </c>
      <c r="AD7" s="49" t="n"/>
      <c r="AE7" s="49" t="n"/>
      <c r="AF7" s="49" t="n"/>
      <c r="AG7" s="49" t="n"/>
      <c r="AH7" s="49" t="n"/>
      <c r="AI7" s="49" t="n"/>
      <c r="AJ7" s="49" t="n"/>
      <c r="AK7" s="49" t="n"/>
      <c r="AL7" s="49" t="n"/>
      <c r="AM7" s="49" t="n"/>
      <c r="AN7" s="49" t="n"/>
      <c r="AO7" s="49" t="n"/>
      <c r="AP7" s="49" t="n"/>
      <c r="AQ7" s="49" t="n"/>
      <c r="AR7" s="49" t="n"/>
      <c r="AS7" s="49" t="n"/>
      <c r="AT7" s="49" t="n"/>
      <c r="AU7" s="49" t="n"/>
      <c r="AV7" s="49" t="n"/>
      <c r="AW7" s="49" t="n"/>
      <c r="AX7" s="49" t="n"/>
      <c r="AY7" s="49" t="n"/>
    </row>
    <row r="8" ht="15" customHeight="1" s="27">
      <c r="A8" s="49" t="n"/>
      <c r="B8" s="49" t="inlineStr">
        <is>
          <t>E2_v1</t>
        </is>
      </c>
      <c r="C8" s="50" t="inlineStr">
        <is>
          <t>E2</t>
        </is>
      </c>
      <c r="D8" s="50" t="inlineStr">
        <is>
          <t>robusto</t>
        </is>
      </c>
      <c r="E8" s="50" t="inlineStr">
        <is>
          <t>Huber Regressor</t>
        </is>
      </c>
      <c r="F8" s="50" t="n">
        <v>3</v>
      </c>
      <c r="G8" s="49" t="n"/>
      <c r="H8" s="50" t="inlineStr">
        <is>
          <t>lags IAD, MA, momentum</t>
        </is>
      </c>
      <c r="I8" s="50" t="inlineStr">
        <is>
          <t>indices tematicos / sentimiento</t>
        </is>
      </c>
      <c r="J8" s="50" t="inlineStr">
        <is>
          <t>robusta</t>
        </is>
      </c>
      <c r="K8" s="50" t="inlineStr">
        <is>
          <t>todas</t>
        </is>
      </c>
      <c r="L8" s="50" t="inlineStr">
        <is>
          <t>walk-forward</t>
        </is>
      </c>
      <c r="M8" s="49" t="n"/>
      <c r="N8" s="49" t="n"/>
      <c r="O8" s="51">
        <f>CONFIG_REFERENCIA!$E$3</f>
        <v/>
      </c>
      <c r="P8" s="51">
        <f>CONFIG_REFERENCIA!$E$4</f>
        <v/>
      </c>
      <c r="Q8" s="51">
        <f>CONFIG_REFERENCIA!$E$5</f>
        <v/>
      </c>
      <c r="R8" s="51">
        <f>CONFIG_REFERENCIA!$E$6</f>
        <v/>
      </c>
      <c r="S8" s="52">
        <f>IF($F8="","",INDEX(CONFIG_REFERENCIA!$B$3:$B$6,MATCH($F8,CONFIG_REFERENCIA!$A$3:$A$6,0)))</f>
        <v/>
      </c>
      <c r="T8" s="53" t="n"/>
      <c r="U8" s="53" t="n"/>
      <c r="V8" s="53" t="n"/>
      <c r="W8" s="53" t="n"/>
      <c r="X8" s="54">
        <f>IF(COUNTA($T8:$W8)&lt;4,"",$S8*($O8*$T8+$P8*$U8+$Q8*$V8+$R8*$W8))</f>
        <v/>
      </c>
      <c r="Y8" s="53" t="n"/>
      <c r="Z8" s="53" t="n"/>
      <c r="AA8" s="55" t="n"/>
      <c r="AB8" s="55" t="n"/>
      <c r="AC8" s="49" t="inlineStr">
        <is>
          <t>pendiente</t>
        </is>
      </c>
      <c r="AD8" s="49" t="n"/>
      <c r="AE8" s="49" t="n"/>
      <c r="AF8" s="49" t="n"/>
      <c r="AG8" s="49" t="n"/>
      <c r="AH8" s="49" t="n"/>
      <c r="AI8" s="49" t="n"/>
      <c r="AJ8" s="49" t="n"/>
      <c r="AK8" s="49" t="n"/>
      <c r="AL8" s="49" t="n"/>
      <c r="AM8" s="49" t="n"/>
      <c r="AN8" s="49" t="n"/>
      <c r="AO8" s="49" t="n"/>
      <c r="AP8" s="49" t="n"/>
      <c r="AQ8" s="49" t="n"/>
      <c r="AR8" s="49" t="n"/>
      <c r="AS8" s="49" t="n"/>
      <c r="AT8" s="49" t="n"/>
      <c r="AU8" s="49" t="n"/>
      <c r="AV8" s="49" t="n"/>
      <c r="AW8" s="49" t="n"/>
      <c r="AX8" s="49" t="n"/>
      <c r="AY8" s="49" t="n"/>
    </row>
    <row r="9" ht="15" customHeight="1" s="27">
      <c r="A9" s="49" t="n"/>
      <c r="B9" s="49" t="inlineStr">
        <is>
          <t>E2_v1</t>
        </is>
      </c>
      <c r="C9" s="50" t="inlineStr">
        <is>
          <t>E2</t>
        </is>
      </c>
      <c r="D9" s="50" t="inlineStr">
        <is>
          <t>robusto</t>
        </is>
      </c>
      <c r="E9" s="50" t="inlineStr">
        <is>
          <t>Huber Regressor</t>
        </is>
      </c>
      <c r="F9" s="50" t="n">
        <v>4</v>
      </c>
      <c r="G9" s="49" t="n"/>
      <c r="H9" s="50" t="inlineStr">
        <is>
          <t>lags IAD, MA, momentum</t>
        </is>
      </c>
      <c r="I9" s="50" t="inlineStr">
        <is>
          <t>indices tematicos / sentimiento</t>
        </is>
      </c>
      <c r="J9" s="50" t="inlineStr">
        <is>
          <t>robusta</t>
        </is>
      </c>
      <c r="K9" s="50" t="inlineStr">
        <is>
          <t>todas</t>
        </is>
      </c>
      <c r="L9" s="50" t="inlineStr">
        <is>
          <t>walk-forward</t>
        </is>
      </c>
      <c r="M9" s="49" t="n"/>
      <c r="N9" s="49" t="n"/>
      <c r="O9" s="51">
        <f>CONFIG_REFERENCIA!$E$3</f>
        <v/>
      </c>
      <c r="P9" s="51">
        <f>CONFIG_REFERENCIA!$E$4</f>
        <v/>
      </c>
      <c r="Q9" s="51">
        <f>CONFIG_REFERENCIA!$E$5</f>
        <v/>
      </c>
      <c r="R9" s="51">
        <f>CONFIG_REFERENCIA!$E$6</f>
        <v/>
      </c>
      <c r="S9" s="52">
        <f>IF($F9="","",INDEX(CONFIG_REFERENCIA!$B$3:$B$6,MATCH($F9,CONFIG_REFERENCIA!$A$3:$A$6,0)))</f>
        <v/>
      </c>
      <c r="T9" s="53" t="n"/>
      <c r="U9" s="53" t="n"/>
      <c r="V9" s="53" t="n"/>
      <c r="W9" s="53" t="n"/>
      <c r="X9" s="54">
        <f>IF(COUNTA($T9:$W9)&lt;4,"",$S9*($O9*$T9+$P9*$U9+$Q9*$V9+$R9*$W9))</f>
        <v/>
      </c>
      <c r="Y9" s="53" t="n"/>
      <c r="Z9" s="53" t="n"/>
      <c r="AA9" s="55" t="n"/>
      <c r="AB9" s="55" t="n"/>
      <c r="AC9" s="49" t="inlineStr">
        <is>
          <t>pendiente</t>
        </is>
      </c>
      <c r="AD9" s="49" t="n"/>
      <c r="AE9" s="49" t="n"/>
      <c r="AF9" s="49" t="n"/>
      <c r="AG9" s="49" t="n"/>
      <c r="AH9" s="49" t="n"/>
      <c r="AI9" s="49" t="n"/>
      <c r="AJ9" s="49" t="n"/>
      <c r="AK9" s="49" t="n"/>
      <c r="AL9" s="49" t="n"/>
      <c r="AM9" s="49" t="n"/>
      <c r="AN9" s="49" t="n"/>
      <c r="AO9" s="49" t="n"/>
      <c r="AP9" s="49" t="n"/>
      <c r="AQ9" s="49" t="n"/>
      <c r="AR9" s="49" t="n"/>
      <c r="AS9" s="49" t="n"/>
      <c r="AT9" s="49" t="n"/>
      <c r="AU9" s="49" t="n"/>
      <c r="AV9" s="49" t="n"/>
      <c r="AW9" s="49" t="n"/>
      <c r="AX9" s="49" t="n"/>
      <c r="AY9" s="49" t="n"/>
    </row>
    <row r="10" ht="15" customHeight="1" s="27">
      <c r="A10" s="49" t="n"/>
      <c r="B10" s="49" t="inlineStr">
        <is>
          <t>E3_v1</t>
        </is>
      </c>
      <c r="C10" s="50" t="inlineStr">
        <is>
          <t>E3</t>
        </is>
      </c>
      <c r="D10" s="50" t="inlineStr">
        <is>
          <t>boosting</t>
        </is>
      </c>
      <c r="E10" s="50" t="inlineStr">
        <is>
          <t>Random Forest</t>
        </is>
      </c>
      <c r="F10" s="50" t="n">
        <v>1</v>
      </c>
      <c r="G10" s="49" t="n"/>
      <c r="H10" s="50" t="inlineStr">
        <is>
          <t>lags, MA, volatilidad</t>
        </is>
      </c>
      <c r="I10" s="50" t="inlineStr">
        <is>
          <t>variables tematicas</t>
        </is>
      </c>
      <c r="J10" s="50" t="inlineStr">
        <is>
          <t>original</t>
        </is>
      </c>
      <c r="K10" s="50" t="inlineStr">
        <is>
          <t>importancia_arboles</t>
        </is>
      </c>
      <c r="L10" s="50" t="inlineStr">
        <is>
          <t>walk-forward</t>
        </is>
      </c>
      <c r="M10" s="49" t="n"/>
      <c r="N10" s="49" t="n"/>
      <c r="O10" s="51">
        <f>CONFIG_REFERENCIA!$E$3</f>
        <v/>
      </c>
      <c r="P10" s="51">
        <f>CONFIG_REFERENCIA!$E$4</f>
        <v/>
      </c>
      <c r="Q10" s="51">
        <f>CONFIG_REFERENCIA!$E$5</f>
        <v/>
      </c>
      <c r="R10" s="51">
        <f>CONFIG_REFERENCIA!$E$6</f>
        <v/>
      </c>
      <c r="S10" s="52">
        <f>IF($F10="","",INDEX(CONFIG_REFERENCIA!$B$3:$B$6,MATCH($F10,CONFIG_REFERENCIA!$A$3:$A$6,0)))</f>
        <v/>
      </c>
      <c r="T10" s="53" t="n"/>
      <c r="U10" s="53" t="n"/>
      <c r="V10" s="53" t="n"/>
      <c r="W10" s="53" t="n"/>
      <c r="X10" s="54">
        <f>IF(COUNTA($T10:$W10)&lt;4,"",$S10*($O10*$T10+$P10*$U10+$Q10*$V10+$R10*$W10))</f>
        <v/>
      </c>
      <c r="Y10" s="53" t="n"/>
      <c r="Z10" s="53" t="n"/>
      <c r="AA10" s="55" t="n"/>
      <c r="AB10" s="55" t="n"/>
      <c r="AC10" s="49" t="inlineStr">
        <is>
          <t>pendiente</t>
        </is>
      </c>
      <c r="AD10" s="49" t="n"/>
      <c r="AE10" s="49" t="n"/>
      <c r="AF10" s="49" t="n"/>
      <c r="AG10" s="49" t="n"/>
      <c r="AH10" s="49" t="n"/>
      <c r="AI10" s="49" t="n"/>
      <c r="AJ10" s="49" t="n"/>
      <c r="AK10" s="49" t="n"/>
      <c r="AL10" s="49" t="n"/>
      <c r="AM10" s="49" t="n"/>
      <c r="AN10" s="49" t="n"/>
      <c r="AO10" s="49" t="n"/>
      <c r="AP10" s="49" t="n"/>
      <c r="AQ10" s="49" t="n"/>
      <c r="AR10" s="49" t="n"/>
      <c r="AS10" s="49" t="n"/>
      <c r="AT10" s="49" t="n"/>
      <c r="AU10" s="49" t="n"/>
      <c r="AV10" s="49" t="n"/>
      <c r="AW10" s="49" t="n"/>
      <c r="AX10" s="49" t="n"/>
      <c r="AY10" s="49" t="n"/>
    </row>
    <row r="11" ht="15" customHeight="1" s="27">
      <c r="A11" s="49" t="n"/>
      <c r="B11" s="49" t="inlineStr">
        <is>
          <t>E3_v1</t>
        </is>
      </c>
      <c r="C11" s="50" t="inlineStr">
        <is>
          <t>E3</t>
        </is>
      </c>
      <c r="D11" s="50" t="inlineStr">
        <is>
          <t>boosting</t>
        </is>
      </c>
      <c r="E11" s="50" t="inlineStr">
        <is>
          <t>Random Forest</t>
        </is>
      </c>
      <c r="F11" s="50" t="n">
        <v>2</v>
      </c>
      <c r="G11" s="49" t="n"/>
      <c r="H11" s="50" t="inlineStr">
        <is>
          <t>lags, MA, volatilidad</t>
        </is>
      </c>
      <c r="I11" s="50" t="inlineStr">
        <is>
          <t>variables tematicas</t>
        </is>
      </c>
      <c r="J11" s="50" t="inlineStr">
        <is>
          <t>original</t>
        </is>
      </c>
      <c r="K11" s="50" t="inlineStr">
        <is>
          <t>importancia_arboles</t>
        </is>
      </c>
      <c r="L11" s="50" t="inlineStr">
        <is>
          <t>walk-forward</t>
        </is>
      </c>
      <c r="M11" s="49" t="n"/>
      <c r="N11" s="49" t="n"/>
      <c r="O11" s="51">
        <f>CONFIG_REFERENCIA!$E$3</f>
        <v/>
      </c>
      <c r="P11" s="51">
        <f>CONFIG_REFERENCIA!$E$4</f>
        <v/>
      </c>
      <c r="Q11" s="51">
        <f>CONFIG_REFERENCIA!$E$5</f>
        <v/>
      </c>
      <c r="R11" s="51">
        <f>CONFIG_REFERENCIA!$E$6</f>
        <v/>
      </c>
      <c r="S11" s="52">
        <f>IF($F11="","",INDEX(CONFIG_REFERENCIA!$B$3:$B$6,MATCH($F11,CONFIG_REFERENCIA!$A$3:$A$6,0)))</f>
        <v/>
      </c>
      <c r="T11" s="53" t="n"/>
      <c r="U11" s="53" t="n"/>
      <c r="V11" s="53" t="n"/>
      <c r="W11" s="53" t="n"/>
      <c r="X11" s="54">
        <f>IF(COUNTA($T11:$W11)&lt;4,"",$S11*($O11*$T11+$P11*$U11+$Q11*$V11+$R11*$W11))</f>
        <v/>
      </c>
      <c r="Y11" s="53" t="n"/>
      <c r="Z11" s="53" t="n"/>
      <c r="AA11" s="55" t="n"/>
      <c r="AB11" s="55" t="n"/>
      <c r="AC11" s="49" t="inlineStr">
        <is>
          <t>pendiente</t>
        </is>
      </c>
      <c r="AD11" s="49" t="n"/>
      <c r="AE11" s="49" t="n"/>
      <c r="AF11" s="49" t="n"/>
      <c r="AG11" s="49" t="n"/>
      <c r="AH11" s="49" t="n"/>
      <c r="AI11" s="49" t="n"/>
      <c r="AJ11" s="49" t="n"/>
      <c r="AK11" s="49" t="n"/>
      <c r="AL11" s="49" t="n"/>
      <c r="AM11" s="49" t="n"/>
      <c r="AN11" s="49" t="n"/>
      <c r="AO11" s="49" t="n"/>
      <c r="AP11" s="49" t="n"/>
      <c r="AQ11" s="49" t="n"/>
      <c r="AR11" s="49" t="n"/>
      <c r="AS11" s="49" t="n"/>
      <c r="AT11" s="49" t="n"/>
      <c r="AU11" s="49" t="n"/>
      <c r="AV11" s="49" t="n"/>
      <c r="AW11" s="49" t="n"/>
      <c r="AX11" s="49" t="n"/>
      <c r="AY11" s="49" t="n"/>
    </row>
    <row r="12" ht="15" customHeight="1" s="27">
      <c r="A12" s="49" t="n"/>
      <c r="B12" s="49" t="inlineStr">
        <is>
          <t>E3_v1</t>
        </is>
      </c>
      <c r="C12" s="50" t="inlineStr">
        <is>
          <t>E3</t>
        </is>
      </c>
      <c r="D12" s="50" t="inlineStr">
        <is>
          <t>boosting</t>
        </is>
      </c>
      <c r="E12" s="50" t="inlineStr">
        <is>
          <t>Random Forest</t>
        </is>
      </c>
      <c r="F12" s="50" t="n">
        <v>3</v>
      </c>
      <c r="G12" s="49" t="n"/>
      <c r="H12" s="50" t="inlineStr">
        <is>
          <t>lags, MA, volatilidad</t>
        </is>
      </c>
      <c r="I12" s="50" t="inlineStr">
        <is>
          <t>variables tematicas</t>
        </is>
      </c>
      <c r="J12" s="50" t="inlineStr">
        <is>
          <t>original</t>
        </is>
      </c>
      <c r="K12" s="50" t="inlineStr">
        <is>
          <t>importancia_arboles</t>
        </is>
      </c>
      <c r="L12" s="50" t="inlineStr">
        <is>
          <t>walk-forward</t>
        </is>
      </c>
      <c r="M12" s="49" t="n"/>
      <c r="N12" s="49" t="n"/>
      <c r="O12" s="51">
        <f>CONFIG_REFERENCIA!$E$3</f>
        <v/>
      </c>
      <c r="P12" s="51">
        <f>CONFIG_REFERENCIA!$E$4</f>
        <v/>
      </c>
      <c r="Q12" s="51">
        <f>CONFIG_REFERENCIA!$E$5</f>
        <v/>
      </c>
      <c r="R12" s="51">
        <f>CONFIG_REFERENCIA!$E$6</f>
        <v/>
      </c>
      <c r="S12" s="52">
        <f>IF($F12="","",INDEX(CONFIG_REFERENCIA!$B$3:$B$6,MATCH($F12,CONFIG_REFERENCIA!$A$3:$A$6,0)))</f>
        <v/>
      </c>
      <c r="T12" s="53" t="n"/>
      <c r="U12" s="53" t="n"/>
      <c r="V12" s="53" t="n"/>
      <c r="W12" s="53" t="n"/>
      <c r="X12" s="54">
        <f>IF(COUNTA($T12:$W12)&lt;4,"",$S12*($O12*$T12+$P12*$U12+$Q12*$V12+$R12*$W12))</f>
        <v/>
      </c>
      <c r="Y12" s="53" t="n"/>
      <c r="Z12" s="53" t="n"/>
      <c r="AA12" s="55" t="n"/>
      <c r="AB12" s="55" t="n"/>
      <c r="AC12" s="49" t="inlineStr">
        <is>
          <t>pendiente</t>
        </is>
      </c>
      <c r="AD12" s="49" t="n"/>
      <c r="AE12" s="49" t="n"/>
      <c r="AF12" s="49" t="n"/>
      <c r="AG12" s="49" t="n"/>
      <c r="AH12" s="49" t="n"/>
      <c r="AI12" s="49" t="n"/>
      <c r="AJ12" s="49" t="n"/>
      <c r="AK12" s="49" t="n"/>
      <c r="AL12" s="49" t="n"/>
      <c r="AM12" s="49" t="n"/>
      <c r="AN12" s="49" t="n"/>
      <c r="AO12" s="49" t="n"/>
      <c r="AP12" s="49" t="n"/>
      <c r="AQ12" s="49" t="n"/>
      <c r="AR12" s="49" t="n"/>
      <c r="AS12" s="49" t="n"/>
      <c r="AT12" s="49" t="n"/>
      <c r="AU12" s="49" t="n"/>
      <c r="AV12" s="49" t="n"/>
      <c r="AW12" s="49" t="n"/>
      <c r="AX12" s="49" t="n"/>
      <c r="AY12" s="49" t="n"/>
    </row>
    <row r="13" ht="15" customHeight="1" s="27">
      <c r="A13" s="49" t="n"/>
      <c r="B13" s="49" t="inlineStr">
        <is>
          <t>E3_v1</t>
        </is>
      </c>
      <c r="C13" s="50" t="inlineStr">
        <is>
          <t>E3</t>
        </is>
      </c>
      <c r="D13" s="50" t="inlineStr">
        <is>
          <t>boosting</t>
        </is>
      </c>
      <c r="E13" s="50" t="inlineStr">
        <is>
          <t>Random Forest</t>
        </is>
      </c>
      <c r="F13" s="50" t="n">
        <v>4</v>
      </c>
      <c r="G13" s="49" t="n"/>
      <c r="H13" s="50" t="inlineStr">
        <is>
          <t>lags, MA, volatilidad</t>
        </is>
      </c>
      <c r="I13" s="50" t="inlineStr">
        <is>
          <t>variables tematicas</t>
        </is>
      </c>
      <c r="J13" s="50" t="inlineStr">
        <is>
          <t>original</t>
        </is>
      </c>
      <c r="K13" s="50" t="inlineStr">
        <is>
          <t>importancia_arboles</t>
        </is>
      </c>
      <c r="L13" s="50" t="inlineStr">
        <is>
          <t>walk-forward</t>
        </is>
      </c>
      <c r="M13" s="49" t="n"/>
      <c r="N13" s="49" t="n"/>
      <c r="O13" s="51">
        <f>CONFIG_REFERENCIA!$E$3</f>
        <v/>
      </c>
      <c r="P13" s="51">
        <f>CONFIG_REFERENCIA!$E$4</f>
        <v/>
      </c>
      <c r="Q13" s="51">
        <f>CONFIG_REFERENCIA!$E$5</f>
        <v/>
      </c>
      <c r="R13" s="51">
        <f>CONFIG_REFERENCIA!$E$6</f>
        <v/>
      </c>
      <c r="S13" s="52">
        <f>IF($F13="","",INDEX(CONFIG_REFERENCIA!$B$3:$B$6,MATCH($F13,CONFIG_REFERENCIA!$A$3:$A$6,0)))</f>
        <v/>
      </c>
      <c r="T13" s="53" t="n"/>
      <c r="U13" s="53" t="n"/>
      <c r="V13" s="53" t="n"/>
      <c r="W13" s="53" t="n"/>
      <c r="X13" s="54">
        <f>IF(COUNTA($T13:$W13)&lt;4,"",$S13*($O13*$T13+$P13*$U13+$Q13*$V13+$R13*$W13))</f>
        <v/>
      </c>
      <c r="Y13" s="53" t="n"/>
      <c r="Z13" s="53" t="n"/>
      <c r="AA13" s="55" t="n"/>
      <c r="AB13" s="55" t="n"/>
      <c r="AC13" s="49" t="inlineStr">
        <is>
          <t>pendiente</t>
        </is>
      </c>
      <c r="AD13" s="49" t="n"/>
      <c r="AE13" s="49" t="n"/>
      <c r="AF13" s="49" t="n"/>
      <c r="AG13" s="49" t="n"/>
      <c r="AH13" s="49" t="n"/>
      <c r="AI13" s="49" t="n"/>
      <c r="AJ13" s="49" t="n"/>
      <c r="AK13" s="49" t="n"/>
      <c r="AL13" s="49" t="n"/>
      <c r="AM13" s="49" t="n"/>
      <c r="AN13" s="49" t="n"/>
      <c r="AO13" s="49" t="n"/>
      <c r="AP13" s="49" t="n"/>
      <c r="AQ13" s="49" t="n"/>
      <c r="AR13" s="49" t="n"/>
      <c r="AS13" s="49" t="n"/>
      <c r="AT13" s="49" t="n"/>
      <c r="AU13" s="49" t="n"/>
      <c r="AV13" s="49" t="n"/>
      <c r="AW13" s="49" t="n"/>
      <c r="AX13" s="49" t="n"/>
      <c r="AY13" s="49" t="n"/>
    </row>
    <row r="14" ht="15" customHeight="1" s="27">
      <c r="A14" s="49" t="n"/>
      <c r="B14" s="49" t="inlineStr">
        <is>
          <t>E4_v1</t>
        </is>
      </c>
      <c r="C14" s="50" t="inlineStr">
        <is>
          <t>E4</t>
        </is>
      </c>
      <c r="D14" s="50" t="inlineStr">
        <is>
          <t>boosting</t>
        </is>
      </c>
      <c r="E14" s="50" t="inlineStr">
        <is>
          <t>XGBoost / LightGBM</t>
        </is>
      </c>
      <c r="F14" s="50" t="n">
        <v>1</v>
      </c>
      <c r="G14" s="49" t="n"/>
      <c r="H14" s="50" t="inlineStr">
        <is>
          <t>lags, MA, volatilidad</t>
        </is>
      </c>
      <c r="I14" s="50" t="inlineStr">
        <is>
          <t>variables tematicas</t>
        </is>
      </c>
      <c r="J14" s="50" t="inlineStr">
        <is>
          <t>original</t>
        </is>
      </c>
      <c r="K14" s="50" t="inlineStr">
        <is>
          <t>importancia_arboles</t>
        </is>
      </c>
      <c r="L14" s="50" t="inlineStr">
        <is>
          <t>walk-forward</t>
        </is>
      </c>
      <c r="M14" s="49" t="n"/>
      <c r="N14" s="49" t="n"/>
      <c r="O14" s="51">
        <f>CONFIG_REFERENCIA!$E$3</f>
        <v/>
      </c>
      <c r="P14" s="51">
        <f>CONFIG_REFERENCIA!$E$4</f>
        <v/>
      </c>
      <c r="Q14" s="51">
        <f>CONFIG_REFERENCIA!$E$5</f>
        <v/>
      </c>
      <c r="R14" s="51">
        <f>CONFIG_REFERENCIA!$E$6</f>
        <v/>
      </c>
      <c r="S14" s="52">
        <f>IF($F14="","",INDEX(CONFIG_REFERENCIA!$B$3:$B$6,MATCH($F14,CONFIG_REFERENCIA!$A$3:$A$6,0)))</f>
        <v/>
      </c>
      <c r="T14" s="53" t="n"/>
      <c r="U14" s="53" t="n"/>
      <c r="V14" s="53" t="n"/>
      <c r="W14" s="53" t="n"/>
      <c r="X14" s="54">
        <f>IF(COUNTA($T14:$W14)&lt;4,"",$S14*($O14*$T14+$P14*$U14+$Q14*$V14+$R14*$W14))</f>
        <v/>
      </c>
      <c r="Y14" s="53" t="n"/>
      <c r="Z14" s="53" t="n"/>
      <c r="AA14" s="55" t="n"/>
      <c r="AB14" s="55" t="n"/>
      <c r="AC14" s="49" t="inlineStr">
        <is>
          <t>pendiente</t>
        </is>
      </c>
      <c r="AD14" s="49" t="n"/>
      <c r="AE14" s="49" t="n"/>
      <c r="AF14" s="49" t="n"/>
      <c r="AG14" s="49" t="n"/>
      <c r="AH14" s="49" t="n"/>
      <c r="AI14" s="49" t="n"/>
      <c r="AJ14" s="49" t="n"/>
      <c r="AK14" s="49" t="n"/>
      <c r="AL14" s="49" t="n"/>
      <c r="AM14" s="49" t="n"/>
      <c r="AN14" s="49" t="n"/>
      <c r="AO14" s="49" t="n"/>
      <c r="AP14" s="49" t="n"/>
      <c r="AQ14" s="49" t="n"/>
      <c r="AR14" s="49" t="n"/>
      <c r="AS14" s="49" t="n"/>
      <c r="AT14" s="49" t="n"/>
      <c r="AU14" s="49" t="n"/>
      <c r="AV14" s="49" t="n"/>
      <c r="AW14" s="49" t="n"/>
      <c r="AX14" s="49" t="n"/>
      <c r="AY14" s="49" t="n"/>
    </row>
    <row r="15" ht="15" customHeight="1" s="27">
      <c r="A15" s="49" t="n"/>
      <c r="B15" s="49" t="inlineStr">
        <is>
          <t>E4_v1</t>
        </is>
      </c>
      <c r="C15" s="50" t="inlineStr">
        <is>
          <t>E4</t>
        </is>
      </c>
      <c r="D15" s="50" t="inlineStr">
        <is>
          <t>boosting</t>
        </is>
      </c>
      <c r="E15" s="50" t="inlineStr">
        <is>
          <t>XGBoost / LightGBM</t>
        </is>
      </c>
      <c r="F15" s="50" t="n">
        <v>2</v>
      </c>
      <c r="G15" s="49" t="n"/>
      <c r="H15" s="50" t="inlineStr">
        <is>
          <t>lags, MA, volatilidad</t>
        </is>
      </c>
      <c r="I15" s="50" t="inlineStr">
        <is>
          <t>variables tematicas</t>
        </is>
      </c>
      <c r="J15" s="50" t="inlineStr">
        <is>
          <t>original</t>
        </is>
      </c>
      <c r="K15" s="50" t="inlineStr">
        <is>
          <t>importancia_arboles</t>
        </is>
      </c>
      <c r="L15" s="50" t="inlineStr">
        <is>
          <t>walk-forward</t>
        </is>
      </c>
      <c r="M15" s="49" t="n"/>
      <c r="N15" s="49" t="n"/>
      <c r="O15" s="51">
        <f>CONFIG_REFERENCIA!$E$3</f>
        <v/>
      </c>
      <c r="P15" s="51">
        <f>CONFIG_REFERENCIA!$E$4</f>
        <v/>
      </c>
      <c r="Q15" s="51">
        <f>CONFIG_REFERENCIA!$E$5</f>
        <v/>
      </c>
      <c r="R15" s="51">
        <f>CONFIG_REFERENCIA!$E$6</f>
        <v/>
      </c>
      <c r="S15" s="52">
        <f>IF($F15="","",INDEX(CONFIG_REFERENCIA!$B$3:$B$6,MATCH($F15,CONFIG_REFERENCIA!$A$3:$A$6,0)))</f>
        <v/>
      </c>
      <c r="T15" s="53" t="n"/>
      <c r="U15" s="53" t="n"/>
      <c r="V15" s="53" t="n"/>
      <c r="W15" s="53" t="n"/>
      <c r="X15" s="54">
        <f>IF(COUNTA($T15:$W15)&lt;4,"",$S15*($O15*$T15+$P15*$U15+$Q15*$V15+$R15*$W15))</f>
        <v/>
      </c>
      <c r="Y15" s="53" t="n"/>
      <c r="Z15" s="53" t="n"/>
      <c r="AA15" s="55" t="n"/>
      <c r="AB15" s="55" t="n"/>
      <c r="AC15" s="49" t="inlineStr">
        <is>
          <t>pendiente</t>
        </is>
      </c>
      <c r="AD15" s="49" t="n"/>
      <c r="AE15" s="49" t="n"/>
      <c r="AF15" s="49" t="n"/>
      <c r="AG15" s="49" t="n"/>
      <c r="AH15" s="49" t="n"/>
      <c r="AI15" s="49" t="n"/>
      <c r="AJ15" s="49" t="n"/>
      <c r="AK15" s="49" t="n"/>
      <c r="AL15" s="49" t="n"/>
      <c r="AM15" s="49" t="n"/>
      <c r="AN15" s="49" t="n"/>
      <c r="AO15" s="49" t="n"/>
      <c r="AP15" s="49" t="n"/>
      <c r="AQ15" s="49" t="n"/>
      <c r="AR15" s="49" t="n"/>
      <c r="AS15" s="49" t="n"/>
      <c r="AT15" s="49" t="n"/>
      <c r="AU15" s="49" t="n"/>
      <c r="AV15" s="49" t="n"/>
      <c r="AW15" s="49" t="n"/>
      <c r="AX15" s="49" t="n"/>
      <c r="AY15" s="49" t="n"/>
    </row>
    <row r="16" ht="15" customHeight="1" s="27">
      <c r="A16" s="49" t="n"/>
      <c r="B16" s="49" t="inlineStr">
        <is>
          <t>E4_v1</t>
        </is>
      </c>
      <c r="C16" s="50" t="inlineStr">
        <is>
          <t>E4</t>
        </is>
      </c>
      <c r="D16" s="50" t="inlineStr">
        <is>
          <t>boosting</t>
        </is>
      </c>
      <c r="E16" s="50" t="inlineStr">
        <is>
          <t>XGBoost / LightGBM</t>
        </is>
      </c>
      <c r="F16" s="50" t="n">
        <v>3</v>
      </c>
      <c r="G16" s="49" t="n"/>
      <c r="H16" s="50" t="inlineStr">
        <is>
          <t>lags, MA, volatilidad</t>
        </is>
      </c>
      <c r="I16" s="50" t="inlineStr">
        <is>
          <t>variables tematicas</t>
        </is>
      </c>
      <c r="J16" s="50" t="inlineStr">
        <is>
          <t>original</t>
        </is>
      </c>
      <c r="K16" s="50" t="inlineStr">
        <is>
          <t>importancia_arboles</t>
        </is>
      </c>
      <c r="L16" s="50" t="inlineStr">
        <is>
          <t>walk-forward</t>
        </is>
      </c>
      <c r="M16" s="49" t="n"/>
      <c r="N16" s="49" t="n"/>
      <c r="O16" s="51">
        <f>CONFIG_REFERENCIA!$E$3</f>
        <v/>
      </c>
      <c r="P16" s="51">
        <f>CONFIG_REFERENCIA!$E$4</f>
        <v/>
      </c>
      <c r="Q16" s="51">
        <f>CONFIG_REFERENCIA!$E$5</f>
        <v/>
      </c>
      <c r="R16" s="51">
        <f>CONFIG_REFERENCIA!$E$6</f>
        <v/>
      </c>
      <c r="S16" s="52">
        <f>IF($F16="","",INDEX(CONFIG_REFERENCIA!$B$3:$B$6,MATCH($F16,CONFIG_REFERENCIA!$A$3:$A$6,0)))</f>
        <v/>
      </c>
      <c r="T16" s="53" t="n"/>
      <c r="U16" s="53" t="n"/>
      <c r="V16" s="53" t="n"/>
      <c r="W16" s="53" t="n"/>
      <c r="X16" s="54">
        <f>IF(COUNTA($T16:$W16)&lt;4,"",$S16*($O16*$T16+$P16*$U16+$Q16*$V16+$R16*$W16))</f>
        <v/>
      </c>
      <c r="Y16" s="53" t="n"/>
      <c r="Z16" s="53" t="n"/>
      <c r="AA16" s="55" t="n"/>
      <c r="AB16" s="55" t="n"/>
      <c r="AC16" s="49" t="inlineStr">
        <is>
          <t>pendiente</t>
        </is>
      </c>
      <c r="AD16" s="49" t="n"/>
      <c r="AE16" s="49" t="n"/>
      <c r="AF16" s="49" t="n"/>
      <c r="AG16" s="49" t="n"/>
      <c r="AH16" s="49" t="n"/>
      <c r="AI16" s="49" t="n"/>
      <c r="AJ16" s="49" t="n"/>
      <c r="AK16" s="49" t="n"/>
      <c r="AL16" s="49" t="n"/>
      <c r="AM16" s="49" t="n"/>
      <c r="AN16" s="49" t="n"/>
      <c r="AO16" s="49" t="n"/>
      <c r="AP16" s="49" t="n"/>
      <c r="AQ16" s="49" t="n"/>
      <c r="AR16" s="49" t="n"/>
      <c r="AS16" s="49" t="n"/>
      <c r="AT16" s="49" t="n"/>
      <c r="AU16" s="49" t="n"/>
      <c r="AV16" s="49" t="n"/>
      <c r="AW16" s="49" t="n"/>
      <c r="AX16" s="49" t="n"/>
      <c r="AY16" s="49" t="n"/>
    </row>
    <row r="17" ht="15" customHeight="1" s="27">
      <c r="A17" s="49" t="n"/>
      <c r="B17" s="49" t="inlineStr">
        <is>
          <t>E4_v1</t>
        </is>
      </c>
      <c r="C17" s="50" t="inlineStr">
        <is>
          <t>E4</t>
        </is>
      </c>
      <c r="D17" s="50" t="inlineStr">
        <is>
          <t>boosting</t>
        </is>
      </c>
      <c r="E17" s="50" t="inlineStr">
        <is>
          <t>XGBoost / LightGBM</t>
        </is>
      </c>
      <c r="F17" s="50" t="n">
        <v>4</v>
      </c>
      <c r="G17" s="49" t="n"/>
      <c r="H17" s="50" t="inlineStr">
        <is>
          <t>lags, MA, volatilidad</t>
        </is>
      </c>
      <c r="I17" s="50" t="inlineStr">
        <is>
          <t>variables tematicas</t>
        </is>
      </c>
      <c r="J17" s="50" t="inlineStr">
        <is>
          <t>original</t>
        </is>
      </c>
      <c r="K17" s="50" t="inlineStr">
        <is>
          <t>importancia_arboles</t>
        </is>
      </c>
      <c r="L17" s="50" t="inlineStr">
        <is>
          <t>walk-forward</t>
        </is>
      </c>
      <c r="M17" s="49" t="n"/>
      <c r="N17" s="49" t="n"/>
      <c r="O17" s="51">
        <f>CONFIG_REFERENCIA!$E$3</f>
        <v/>
      </c>
      <c r="P17" s="51">
        <f>CONFIG_REFERENCIA!$E$4</f>
        <v/>
      </c>
      <c r="Q17" s="51">
        <f>CONFIG_REFERENCIA!$E$5</f>
        <v/>
      </c>
      <c r="R17" s="51">
        <f>CONFIG_REFERENCIA!$E$6</f>
        <v/>
      </c>
      <c r="S17" s="52">
        <f>IF($F17="","",INDEX(CONFIG_REFERENCIA!$B$3:$B$6,MATCH($F17,CONFIG_REFERENCIA!$A$3:$A$6,0)))</f>
        <v/>
      </c>
      <c r="T17" s="53" t="n"/>
      <c r="U17" s="53" t="n"/>
      <c r="V17" s="53" t="n"/>
      <c r="W17" s="53" t="n"/>
      <c r="X17" s="54">
        <f>IF(COUNTA($T17:$W17)&lt;4,"",$S17*($O17*$T17+$P17*$U17+$Q17*$V17+$R17*$W17))</f>
        <v/>
      </c>
      <c r="Y17" s="53" t="n"/>
      <c r="Z17" s="53" t="n"/>
      <c r="AA17" s="55" t="n"/>
      <c r="AB17" s="55" t="n"/>
      <c r="AC17" s="49" t="inlineStr">
        <is>
          <t>pendiente</t>
        </is>
      </c>
      <c r="AD17" s="49" t="n"/>
      <c r="AE17" s="49" t="n"/>
      <c r="AF17" s="49" t="n"/>
      <c r="AG17" s="49" t="n"/>
      <c r="AH17" s="49" t="n"/>
      <c r="AI17" s="49" t="n"/>
      <c r="AJ17" s="49" t="n"/>
      <c r="AK17" s="49" t="n"/>
      <c r="AL17" s="49" t="n"/>
      <c r="AM17" s="49" t="n"/>
      <c r="AN17" s="49" t="n"/>
      <c r="AO17" s="49" t="n"/>
      <c r="AP17" s="49" t="n"/>
      <c r="AQ17" s="49" t="n"/>
      <c r="AR17" s="49" t="n"/>
      <c r="AS17" s="49" t="n"/>
      <c r="AT17" s="49" t="n"/>
      <c r="AU17" s="49" t="n"/>
      <c r="AV17" s="49" t="n"/>
      <c r="AW17" s="49" t="n"/>
      <c r="AX17" s="49" t="n"/>
      <c r="AY17" s="49" t="n"/>
    </row>
    <row r="18" ht="15" customHeight="1" s="27">
      <c r="A18" s="49" t="n"/>
      <c r="B18" s="49" t="inlineStr">
        <is>
          <t>E5_v1</t>
        </is>
      </c>
      <c r="C18" s="50" t="inlineStr">
        <is>
          <t>E5</t>
        </is>
      </c>
      <c r="D18" s="50" t="inlineStr">
        <is>
          <t>boosting</t>
        </is>
      </c>
      <c r="E18" s="50" t="inlineStr">
        <is>
          <t>CatBoost</t>
        </is>
      </c>
      <c r="F18" s="50" t="n">
        <v>1</v>
      </c>
      <c r="G18" s="49" t="n"/>
      <c r="H18" s="50" t="inlineStr">
        <is>
          <t>lags, MA, volatilidad</t>
        </is>
      </c>
      <c r="I18" s="50" t="inlineStr">
        <is>
          <t>variables mixtas</t>
        </is>
      </c>
      <c r="J18" s="50" t="inlineStr">
        <is>
          <t>original</t>
        </is>
      </c>
      <c r="K18" s="50" t="inlineStr">
        <is>
          <t>importancia_arboles</t>
        </is>
      </c>
      <c r="L18" s="50" t="inlineStr">
        <is>
          <t>walk-forward</t>
        </is>
      </c>
      <c r="M18" s="49" t="n"/>
      <c r="N18" s="49" t="n"/>
      <c r="O18" s="51">
        <f>CONFIG_REFERENCIA!$E$3</f>
        <v/>
      </c>
      <c r="P18" s="51">
        <f>CONFIG_REFERENCIA!$E$4</f>
        <v/>
      </c>
      <c r="Q18" s="51">
        <f>CONFIG_REFERENCIA!$E$5</f>
        <v/>
      </c>
      <c r="R18" s="51">
        <f>CONFIG_REFERENCIA!$E$6</f>
        <v/>
      </c>
      <c r="S18" s="52">
        <f>IF($F18="","",INDEX(CONFIG_REFERENCIA!$B$3:$B$6,MATCH($F18,CONFIG_REFERENCIA!$A$3:$A$6,0)))</f>
        <v/>
      </c>
      <c r="T18" s="53" t="n"/>
      <c r="U18" s="53" t="n"/>
      <c r="V18" s="53" t="n"/>
      <c r="W18" s="53" t="n"/>
      <c r="X18" s="54">
        <f>IF(COUNTA($T18:$W18)&lt;4,"",$S18*($O18*$T18+$P18*$U18+$Q18*$V18+$R18*$W18))</f>
        <v/>
      </c>
      <c r="Y18" s="53" t="n"/>
      <c r="Z18" s="53" t="n"/>
      <c r="AA18" s="55" t="n"/>
      <c r="AB18" s="55" t="n"/>
      <c r="AC18" s="49" t="inlineStr">
        <is>
          <t>pendiente</t>
        </is>
      </c>
      <c r="AD18" s="49" t="n"/>
      <c r="AE18" s="49" t="n"/>
      <c r="AF18" s="49" t="n"/>
      <c r="AG18" s="49" t="n"/>
      <c r="AH18" s="49" t="n"/>
      <c r="AI18" s="49" t="n"/>
      <c r="AJ18" s="49" t="n"/>
      <c r="AK18" s="49" t="n"/>
      <c r="AL18" s="49" t="n"/>
      <c r="AM18" s="49" t="n"/>
      <c r="AN18" s="49" t="n"/>
      <c r="AO18" s="49" t="n"/>
      <c r="AP18" s="49" t="n"/>
      <c r="AQ18" s="49" t="n"/>
      <c r="AR18" s="49" t="n"/>
      <c r="AS18" s="49" t="n"/>
      <c r="AT18" s="49" t="n"/>
      <c r="AU18" s="49" t="n"/>
      <c r="AV18" s="49" t="n"/>
      <c r="AW18" s="49" t="n"/>
      <c r="AX18" s="49" t="n"/>
      <c r="AY18" s="49" t="n"/>
    </row>
    <row r="19" ht="15" customHeight="1" s="27">
      <c r="A19" s="49" t="n"/>
      <c r="B19" s="49" t="inlineStr">
        <is>
          <t>E5_v1</t>
        </is>
      </c>
      <c r="C19" s="50" t="inlineStr">
        <is>
          <t>E5</t>
        </is>
      </c>
      <c r="D19" s="50" t="inlineStr">
        <is>
          <t>boosting</t>
        </is>
      </c>
      <c r="E19" s="50" t="inlineStr">
        <is>
          <t>CatBoost</t>
        </is>
      </c>
      <c r="F19" s="50" t="n">
        <v>2</v>
      </c>
      <c r="G19" s="49" t="n"/>
      <c r="H19" s="50" t="inlineStr">
        <is>
          <t>lags, MA, volatilidad</t>
        </is>
      </c>
      <c r="I19" s="50" t="inlineStr">
        <is>
          <t>variables mixtas</t>
        </is>
      </c>
      <c r="J19" s="50" t="inlineStr">
        <is>
          <t>original</t>
        </is>
      </c>
      <c r="K19" s="50" t="inlineStr">
        <is>
          <t>importancia_arboles</t>
        </is>
      </c>
      <c r="L19" s="50" t="inlineStr">
        <is>
          <t>walk-forward</t>
        </is>
      </c>
      <c r="M19" s="49" t="n"/>
      <c r="N19" s="49" t="n"/>
      <c r="O19" s="51">
        <f>CONFIG_REFERENCIA!$E$3</f>
        <v/>
      </c>
      <c r="P19" s="51">
        <f>CONFIG_REFERENCIA!$E$4</f>
        <v/>
      </c>
      <c r="Q19" s="51">
        <f>CONFIG_REFERENCIA!$E$5</f>
        <v/>
      </c>
      <c r="R19" s="51">
        <f>CONFIG_REFERENCIA!$E$6</f>
        <v/>
      </c>
      <c r="S19" s="52">
        <f>IF($F19="","",INDEX(CONFIG_REFERENCIA!$B$3:$B$6,MATCH($F19,CONFIG_REFERENCIA!$A$3:$A$6,0)))</f>
        <v/>
      </c>
      <c r="T19" s="53" t="n"/>
      <c r="U19" s="53" t="n"/>
      <c r="V19" s="53" t="n"/>
      <c r="W19" s="53" t="n"/>
      <c r="X19" s="54">
        <f>IF(COUNTA($T19:$W19)&lt;4,"",$S19*($O19*$T19+$P19*$U19+$Q19*$V19+$R19*$W19))</f>
        <v/>
      </c>
      <c r="Y19" s="53" t="n"/>
      <c r="Z19" s="53" t="n"/>
      <c r="AA19" s="55" t="n"/>
      <c r="AB19" s="55" t="n"/>
      <c r="AC19" s="49" t="inlineStr">
        <is>
          <t>pendiente</t>
        </is>
      </c>
      <c r="AD19" s="49" t="n"/>
      <c r="AE19" s="49" t="n"/>
      <c r="AF19" s="49" t="n"/>
      <c r="AG19" s="49" t="n"/>
      <c r="AH19" s="49" t="n"/>
      <c r="AI19" s="49" t="n"/>
      <c r="AJ19" s="49" t="n"/>
      <c r="AK19" s="49" t="n"/>
      <c r="AL19" s="49" t="n"/>
      <c r="AM19" s="49" t="n"/>
      <c r="AN19" s="49" t="n"/>
      <c r="AO19" s="49" t="n"/>
      <c r="AP19" s="49" t="n"/>
      <c r="AQ19" s="49" t="n"/>
      <c r="AR19" s="49" t="n"/>
      <c r="AS19" s="49" t="n"/>
      <c r="AT19" s="49" t="n"/>
      <c r="AU19" s="49" t="n"/>
      <c r="AV19" s="49" t="n"/>
      <c r="AW19" s="49" t="n"/>
      <c r="AX19" s="49" t="n"/>
      <c r="AY19" s="49" t="n"/>
    </row>
    <row r="20" ht="15" customHeight="1" s="27">
      <c r="A20" s="49" t="n"/>
      <c r="B20" s="49" t="inlineStr">
        <is>
          <t>E5_v1</t>
        </is>
      </c>
      <c r="C20" s="50" t="inlineStr">
        <is>
          <t>E5</t>
        </is>
      </c>
      <c r="D20" s="50" t="inlineStr">
        <is>
          <t>boosting</t>
        </is>
      </c>
      <c r="E20" s="50" t="inlineStr">
        <is>
          <t>CatBoost</t>
        </is>
      </c>
      <c r="F20" s="50" t="n">
        <v>3</v>
      </c>
      <c r="G20" s="49" t="n"/>
      <c r="H20" s="50" t="inlineStr">
        <is>
          <t>lags, MA, volatilidad</t>
        </is>
      </c>
      <c r="I20" s="50" t="inlineStr">
        <is>
          <t>variables mixtas</t>
        </is>
      </c>
      <c r="J20" s="50" t="inlineStr">
        <is>
          <t>original</t>
        </is>
      </c>
      <c r="K20" s="50" t="inlineStr">
        <is>
          <t>importancia_arboles</t>
        </is>
      </c>
      <c r="L20" s="50" t="inlineStr">
        <is>
          <t>walk-forward</t>
        </is>
      </c>
      <c r="M20" s="49" t="n"/>
      <c r="N20" s="49" t="n"/>
      <c r="O20" s="51">
        <f>CONFIG_REFERENCIA!$E$3</f>
        <v/>
      </c>
      <c r="P20" s="51">
        <f>CONFIG_REFERENCIA!$E$4</f>
        <v/>
      </c>
      <c r="Q20" s="51">
        <f>CONFIG_REFERENCIA!$E$5</f>
        <v/>
      </c>
      <c r="R20" s="51">
        <f>CONFIG_REFERENCIA!$E$6</f>
        <v/>
      </c>
      <c r="S20" s="52">
        <f>IF($F20="","",INDEX(CONFIG_REFERENCIA!$B$3:$B$6,MATCH($F20,CONFIG_REFERENCIA!$A$3:$A$6,0)))</f>
        <v/>
      </c>
      <c r="T20" s="53" t="n"/>
      <c r="U20" s="53" t="n"/>
      <c r="V20" s="53" t="n"/>
      <c r="W20" s="53" t="n"/>
      <c r="X20" s="54">
        <f>IF(COUNTA($T20:$W20)&lt;4,"",$S20*($O20*$T20+$P20*$U20+$Q20*$V20+$R20*$W20))</f>
        <v/>
      </c>
      <c r="Y20" s="53" t="n"/>
      <c r="Z20" s="53" t="n"/>
      <c r="AA20" s="55" t="n"/>
      <c r="AB20" s="55" t="n"/>
      <c r="AC20" s="49" t="inlineStr">
        <is>
          <t>pendiente</t>
        </is>
      </c>
      <c r="AD20" s="49" t="n"/>
      <c r="AE20" s="49" t="n"/>
      <c r="AF20" s="49" t="n"/>
      <c r="AG20" s="49" t="n"/>
      <c r="AH20" s="49" t="n"/>
      <c r="AI20" s="49" t="n"/>
      <c r="AJ20" s="49" t="n"/>
      <c r="AK20" s="49" t="n"/>
      <c r="AL20" s="49" t="n"/>
      <c r="AM20" s="49" t="n"/>
      <c r="AN20" s="49" t="n"/>
      <c r="AO20" s="49" t="n"/>
      <c r="AP20" s="49" t="n"/>
      <c r="AQ20" s="49" t="n"/>
      <c r="AR20" s="49" t="n"/>
      <c r="AS20" s="49" t="n"/>
      <c r="AT20" s="49" t="n"/>
      <c r="AU20" s="49" t="n"/>
      <c r="AV20" s="49" t="n"/>
      <c r="AW20" s="49" t="n"/>
      <c r="AX20" s="49" t="n"/>
      <c r="AY20" s="49" t="n"/>
    </row>
    <row r="21" ht="15" customHeight="1" s="27">
      <c r="A21" s="49" t="n"/>
      <c r="B21" s="49" t="inlineStr">
        <is>
          <t>E5_v1</t>
        </is>
      </c>
      <c r="C21" s="50" t="inlineStr">
        <is>
          <t>E5</t>
        </is>
      </c>
      <c r="D21" s="50" t="inlineStr">
        <is>
          <t>boosting</t>
        </is>
      </c>
      <c r="E21" s="50" t="inlineStr">
        <is>
          <t>CatBoost</t>
        </is>
      </c>
      <c r="F21" s="50" t="n">
        <v>4</v>
      </c>
      <c r="G21" s="49" t="n"/>
      <c r="H21" s="50" t="inlineStr">
        <is>
          <t>lags, MA, volatilidad</t>
        </is>
      </c>
      <c r="I21" s="50" t="inlineStr">
        <is>
          <t>variables mixtas</t>
        </is>
      </c>
      <c r="J21" s="50" t="inlineStr">
        <is>
          <t>original</t>
        </is>
      </c>
      <c r="K21" s="50" t="inlineStr">
        <is>
          <t>importancia_arboles</t>
        </is>
      </c>
      <c r="L21" s="50" t="inlineStr">
        <is>
          <t>walk-forward</t>
        </is>
      </c>
      <c r="M21" s="49" t="n"/>
      <c r="N21" s="49" t="n"/>
      <c r="O21" s="51">
        <f>CONFIG_REFERENCIA!$E$3</f>
        <v/>
      </c>
      <c r="P21" s="51">
        <f>CONFIG_REFERENCIA!$E$4</f>
        <v/>
      </c>
      <c r="Q21" s="51">
        <f>CONFIG_REFERENCIA!$E$5</f>
        <v/>
      </c>
      <c r="R21" s="51">
        <f>CONFIG_REFERENCIA!$E$6</f>
        <v/>
      </c>
      <c r="S21" s="52">
        <f>IF($F21="","",INDEX(CONFIG_REFERENCIA!$B$3:$B$6,MATCH($F21,CONFIG_REFERENCIA!$A$3:$A$6,0)))</f>
        <v/>
      </c>
      <c r="T21" s="53" t="n"/>
      <c r="U21" s="53" t="n"/>
      <c r="V21" s="53" t="n"/>
      <c r="W21" s="53" t="n"/>
      <c r="X21" s="54">
        <f>IF(COUNTA($T21:$W21)&lt;4,"",$S21*($O21*$T21+$P21*$U21+$Q21*$V21+$R21*$W21))</f>
        <v/>
      </c>
      <c r="Y21" s="53" t="n"/>
      <c r="Z21" s="53" t="n"/>
      <c r="AA21" s="55" t="n"/>
      <c r="AB21" s="55" t="n"/>
      <c r="AC21" s="49" t="inlineStr">
        <is>
          <t>pendiente</t>
        </is>
      </c>
      <c r="AD21" s="49" t="n"/>
      <c r="AE21" s="49" t="n"/>
      <c r="AF21" s="49" t="n"/>
      <c r="AG21" s="49" t="n"/>
      <c r="AH21" s="49" t="n"/>
      <c r="AI21" s="49" t="n"/>
      <c r="AJ21" s="49" t="n"/>
      <c r="AK21" s="49" t="n"/>
      <c r="AL21" s="49" t="n"/>
      <c r="AM21" s="49" t="n"/>
      <c r="AN21" s="49" t="n"/>
      <c r="AO21" s="49" t="n"/>
      <c r="AP21" s="49" t="n"/>
      <c r="AQ21" s="49" t="n"/>
      <c r="AR21" s="49" t="n"/>
      <c r="AS21" s="49" t="n"/>
      <c r="AT21" s="49" t="n"/>
      <c r="AU21" s="49" t="n"/>
      <c r="AV21" s="49" t="n"/>
      <c r="AW21" s="49" t="n"/>
      <c r="AX21" s="49" t="n"/>
      <c r="AY21" s="49" t="n"/>
    </row>
    <row r="22" ht="15" customHeight="1" s="27">
      <c r="A22" s="49" t="n"/>
      <c r="B22" s="49" t="inlineStr">
        <is>
          <t>E6_v1</t>
        </is>
      </c>
      <c r="C22" s="50" t="inlineStr">
        <is>
          <t>E6</t>
        </is>
      </c>
      <c r="D22" s="50" t="inlineStr">
        <is>
          <t>temporal</t>
        </is>
      </c>
      <c r="E22" s="50" t="inlineStr">
        <is>
          <t>ARIMAX / SARIMAX</t>
        </is>
      </c>
      <c r="F22" s="50" t="n">
        <v>1</v>
      </c>
      <c r="G22" s="49" t="n"/>
      <c r="H22" s="50" t="inlineStr">
        <is>
          <t>serie + lags IAD</t>
        </is>
      </c>
      <c r="I22" s="50" t="inlineStr">
        <is>
          <t>regresores digitales</t>
        </is>
      </c>
      <c r="J22" s="50" t="inlineStr">
        <is>
          <t>original</t>
        </is>
      </c>
      <c r="K22" s="50" t="inlineStr">
        <is>
          <t>todas</t>
        </is>
      </c>
      <c r="L22" s="50" t="inlineStr">
        <is>
          <t>walk-forward</t>
        </is>
      </c>
      <c r="M22" s="49" t="n"/>
      <c r="N22" s="49" t="n"/>
      <c r="O22" s="51">
        <f>CONFIG_REFERENCIA!$E$3</f>
        <v/>
      </c>
      <c r="P22" s="51">
        <f>CONFIG_REFERENCIA!$E$4</f>
        <v/>
      </c>
      <c r="Q22" s="51">
        <f>CONFIG_REFERENCIA!$E$5</f>
        <v/>
      </c>
      <c r="R22" s="51">
        <f>CONFIG_REFERENCIA!$E$6</f>
        <v/>
      </c>
      <c r="S22" s="52">
        <f>IF($F22="","",INDEX(CONFIG_REFERENCIA!$B$3:$B$6,MATCH($F22,CONFIG_REFERENCIA!$A$3:$A$6,0)))</f>
        <v/>
      </c>
      <c r="T22" s="53" t="n"/>
      <c r="U22" s="53" t="n"/>
      <c r="V22" s="53" t="n"/>
      <c r="W22" s="53" t="n"/>
      <c r="X22" s="54">
        <f>IF(COUNTA($T22:$W22)&lt;4,"",$S22*($O22*$T22+$P22*$U22+$Q22*$V22+$R22*$W22))</f>
        <v/>
      </c>
      <c r="Y22" s="53" t="n"/>
      <c r="Z22" s="53" t="n"/>
      <c r="AA22" s="55" t="n"/>
      <c r="AB22" s="55" t="n"/>
      <c r="AC22" s="49" t="inlineStr">
        <is>
          <t>pendiente</t>
        </is>
      </c>
      <c r="AD22" s="49" t="n"/>
      <c r="AE22" s="49" t="n"/>
      <c r="AF22" s="49" t="n"/>
      <c r="AG22" s="49" t="n"/>
      <c r="AH22" s="49" t="n"/>
      <c r="AI22" s="49" t="n"/>
      <c r="AJ22" s="49" t="n"/>
      <c r="AK22" s="49" t="n"/>
      <c r="AL22" s="49" t="n"/>
      <c r="AM22" s="49" t="n"/>
      <c r="AN22" s="49" t="n"/>
      <c r="AO22" s="49" t="n"/>
      <c r="AP22" s="49" t="n"/>
      <c r="AQ22" s="49" t="n"/>
      <c r="AR22" s="49" t="n"/>
      <c r="AS22" s="49" t="n"/>
      <c r="AT22" s="49" t="n"/>
      <c r="AU22" s="49" t="n"/>
      <c r="AV22" s="49" t="n"/>
      <c r="AW22" s="49" t="n"/>
      <c r="AX22" s="49" t="n"/>
      <c r="AY22" s="49" t="n"/>
    </row>
    <row r="23" ht="15" customHeight="1" s="27">
      <c r="A23" s="49" t="n"/>
      <c r="B23" s="49" t="inlineStr">
        <is>
          <t>E6_v1</t>
        </is>
      </c>
      <c r="C23" s="50" t="inlineStr">
        <is>
          <t>E6</t>
        </is>
      </c>
      <c r="D23" s="50" t="inlineStr">
        <is>
          <t>temporal</t>
        </is>
      </c>
      <c r="E23" s="50" t="inlineStr">
        <is>
          <t>ARIMAX / SARIMAX</t>
        </is>
      </c>
      <c r="F23" s="50" t="n">
        <v>2</v>
      </c>
      <c r="G23" s="49" t="n"/>
      <c r="H23" s="50" t="inlineStr">
        <is>
          <t>serie + lags IAD</t>
        </is>
      </c>
      <c r="I23" s="50" t="inlineStr">
        <is>
          <t>regresores digitales</t>
        </is>
      </c>
      <c r="J23" s="50" t="inlineStr">
        <is>
          <t>original</t>
        </is>
      </c>
      <c r="K23" s="50" t="inlineStr">
        <is>
          <t>todas</t>
        </is>
      </c>
      <c r="L23" s="50" t="inlineStr">
        <is>
          <t>walk-forward</t>
        </is>
      </c>
      <c r="M23" s="49" t="n"/>
      <c r="N23" s="49" t="n"/>
      <c r="O23" s="51">
        <f>CONFIG_REFERENCIA!$E$3</f>
        <v/>
      </c>
      <c r="P23" s="51">
        <f>CONFIG_REFERENCIA!$E$4</f>
        <v/>
      </c>
      <c r="Q23" s="51">
        <f>CONFIG_REFERENCIA!$E$5</f>
        <v/>
      </c>
      <c r="R23" s="51">
        <f>CONFIG_REFERENCIA!$E$6</f>
        <v/>
      </c>
      <c r="S23" s="52">
        <f>IF($F23="","",INDEX(CONFIG_REFERENCIA!$B$3:$B$6,MATCH($F23,CONFIG_REFERENCIA!$A$3:$A$6,0)))</f>
        <v/>
      </c>
      <c r="T23" s="53" t="n"/>
      <c r="U23" s="53" t="n"/>
      <c r="V23" s="53" t="n"/>
      <c r="W23" s="53" t="n"/>
      <c r="X23" s="54">
        <f>IF(COUNTA($T23:$W23)&lt;4,"",$S23*($O23*$T23+$P23*$U23+$Q23*$V23+$R23*$W23))</f>
        <v/>
      </c>
      <c r="Y23" s="53" t="n"/>
      <c r="Z23" s="53" t="n"/>
      <c r="AA23" s="55" t="n"/>
      <c r="AB23" s="55" t="n"/>
      <c r="AC23" s="49" t="inlineStr">
        <is>
          <t>pendiente</t>
        </is>
      </c>
      <c r="AD23" s="49" t="n"/>
      <c r="AE23" s="49" t="n"/>
      <c r="AF23" s="49" t="n"/>
      <c r="AG23" s="49" t="n"/>
      <c r="AH23" s="49" t="n"/>
      <c r="AI23" s="49" t="n"/>
      <c r="AJ23" s="49" t="n"/>
      <c r="AK23" s="49" t="n"/>
      <c r="AL23" s="49" t="n"/>
      <c r="AM23" s="49" t="n"/>
      <c r="AN23" s="49" t="n"/>
      <c r="AO23" s="49" t="n"/>
      <c r="AP23" s="49" t="n"/>
      <c r="AQ23" s="49" t="n"/>
      <c r="AR23" s="49" t="n"/>
      <c r="AS23" s="49" t="n"/>
      <c r="AT23" s="49" t="n"/>
      <c r="AU23" s="49" t="n"/>
      <c r="AV23" s="49" t="n"/>
      <c r="AW23" s="49" t="n"/>
      <c r="AX23" s="49" t="n"/>
      <c r="AY23" s="49" t="n"/>
    </row>
    <row r="24" ht="15" customHeight="1" s="27">
      <c r="A24" s="49" t="n"/>
      <c r="B24" s="49" t="inlineStr">
        <is>
          <t>E6_v1</t>
        </is>
      </c>
      <c r="C24" s="50" t="inlineStr">
        <is>
          <t>E6</t>
        </is>
      </c>
      <c r="D24" s="50" t="inlineStr">
        <is>
          <t>temporal</t>
        </is>
      </c>
      <c r="E24" s="50" t="inlineStr">
        <is>
          <t>ARIMAX / SARIMAX</t>
        </is>
      </c>
      <c r="F24" s="50" t="n">
        <v>3</v>
      </c>
      <c r="G24" s="49" t="n"/>
      <c r="H24" s="50" t="inlineStr">
        <is>
          <t>serie + lags IAD</t>
        </is>
      </c>
      <c r="I24" s="50" t="inlineStr">
        <is>
          <t>regresores digitales</t>
        </is>
      </c>
      <c r="J24" s="50" t="inlineStr">
        <is>
          <t>original</t>
        </is>
      </c>
      <c r="K24" s="50" t="inlineStr">
        <is>
          <t>todas</t>
        </is>
      </c>
      <c r="L24" s="50" t="inlineStr">
        <is>
          <t>walk-forward</t>
        </is>
      </c>
      <c r="M24" s="49" t="n"/>
      <c r="N24" s="49" t="n"/>
      <c r="O24" s="51">
        <f>CONFIG_REFERENCIA!$E$3</f>
        <v/>
      </c>
      <c r="P24" s="51">
        <f>CONFIG_REFERENCIA!$E$4</f>
        <v/>
      </c>
      <c r="Q24" s="51">
        <f>CONFIG_REFERENCIA!$E$5</f>
        <v/>
      </c>
      <c r="R24" s="51">
        <f>CONFIG_REFERENCIA!$E$6</f>
        <v/>
      </c>
      <c r="S24" s="52">
        <f>IF($F24="","",INDEX(CONFIG_REFERENCIA!$B$3:$B$6,MATCH($F24,CONFIG_REFERENCIA!$A$3:$A$6,0)))</f>
        <v/>
      </c>
      <c r="T24" s="53" t="n"/>
      <c r="U24" s="53" t="n"/>
      <c r="V24" s="53" t="n"/>
      <c r="W24" s="53" t="n"/>
      <c r="X24" s="54">
        <f>IF(COUNTA($T24:$W24)&lt;4,"",$S24*($O24*$T24+$P24*$U24+$Q24*$V24+$R24*$W24))</f>
        <v/>
      </c>
      <c r="Y24" s="53" t="n"/>
      <c r="Z24" s="53" t="n"/>
      <c r="AA24" s="55" t="n"/>
      <c r="AB24" s="55" t="n"/>
      <c r="AC24" s="49" t="inlineStr">
        <is>
          <t>pendiente</t>
        </is>
      </c>
      <c r="AD24" s="49" t="n"/>
      <c r="AE24" s="49" t="n"/>
      <c r="AF24" s="49" t="n"/>
      <c r="AG24" s="49" t="n"/>
      <c r="AH24" s="49" t="n"/>
      <c r="AI24" s="49" t="n"/>
      <c r="AJ24" s="49" t="n"/>
      <c r="AK24" s="49" t="n"/>
      <c r="AL24" s="49" t="n"/>
      <c r="AM24" s="49" t="n"/>
      <c r="AN24" s="49" t="n"/>
      <c r="AO24" s="49" t="n"/>
      <c r="AP24" s="49" t="n"/>
      <c r="AQ24" s="49" t="n"/>
      <c r="AR24" s="49" t="n"/>
      <c r="AS24" s="49" t="n"/>
      <c r="AT24" s="49" t="n"/>
      <c r="AU24" s="49" t="n"/>
      <c r="AV24" s="49" t="n"/>
      <c r="AW24" s="49" t="n"/>
      <c r="AX24" s="49" t="n"/>
      <c r="AY24" s="49" t="n"/>
    </row>
    <row r="25" ht="15" customHeight="1" s="27">
      <c r="A25" s="49" t="n"/>
      <c r="B25" s="49" t="inlineStr">
        <is>
          <t>E6_v1</t>
        </is>
      </c>
      <c r="C25" s="50" t="inlineStr">
        <is>
          <t>E6</t>
        </is>
      </c>
      <c r="D25" s="50" t="inlineStr">
        <is>
          <t>temporal</t>
        </is>
      </c>
      <c r="E25" s="50" t="inlineStr">
        <is>
          <t>ARIMAX / SARIMAX</t>
        </is>
      </c>
      <c r="F25" s="50" t="n">
        <v>4</v>
      </c>
      <c r="G25" s="49" t="n"/>
      <c r="H25" s="50" t="inlineStr">
        <is>
          <t>serie + lags IAD</t>
        </is>
      </c>
      <c r="I25" s="50" t="inlineStr">
        <is>
          <t>regresores digitales</t>
        </is>
      </c>
      <c r="J25" s="50" t="inlineStr">
        <is>
          <t>original</t>
        </is>
      </c>
      <c r="K25" s="50" t="inlineStr">
        <is>
          <t>todas</t>
        </is>
      </c>
      <c r="L25" s="50" t="inlineStr">
        <is>
          <t>walk-forward</t>
        </is>
      </c>
      <c r="M25" s="49" t="n"/>
      <c r="N25" s="49" t="n"/>
      <c r="O25" s="51">
        <f>CONFIG_REFERENCIA!$E$3</f>
        <v/>
      </c>
      <c r="P25" s="51">
        <f>CONFIG_REFERENCIA!$E$4</f>
        <v/>
      </c>
      <c r="Q25" s="51">
        <f>CONFIG_REFERENCIA!$E$5</f>
        <v/>
      </c>
      <c r="R25" s="51">
        <f>CONFIG_REFERENCIA!$E$6</f>
        <v/>
      </c>
      <c r="S25" s="52">
        <f>IF($F25="","",INDEX(CONFIG_REFERENCIA!$B$3:$B$6,MATCH($F25,CONFIG_REFERENCIA!$A$3:$A$6,0)))</f>
        <v/>
      </c>
      <c r="T25" s="53" t="n"/>
      <c r="U25" s="53" t="n"/>
      <c r="V25" s="53" t="n"/>
      <c r="W25" s="53" t="n"/>
      <c r="X25" s="54">
        <f>IF(COUNTA($T25:$W25)&lt;4,"",$S25*($O25*$T25+$P25*$U25+$Q25*$V25+$R25*$W25))</f>
        <v/>
      </c>
      <c r="Y25" s="53" t="n"/>
      <c r="Z25" s="53" t="n"/>
      <c r="AA25" s="55" t="n"/>
      <c r="AB25" s="55" t="n"/>
      <c r="AC25" s="49" t="inlineStr">
        <is>
          <t>pendiente</t>
        </is>
      </c>
      <c r="AD25" s="49" t="n"/>
      <c r="AE25" s="49" t="n"/>
      <c r="AF25" s="49" t="n"/>
      <c r="AG25" s="49" t="n"/>
      <c r="AH25" s="49" t="n"/>
      <c r="AI25" s="49" t="n"/>
      <c r="AJ25" s="49" t="n"/>
      <c r="AK25" s="49" t="n"/>
      <c r="AL25" s="49" t="n"/>
      <c r="AM25" s="49" t="n"/>
      <c r="AN25" s="49" t="n"/>
      <c r="AO25" s="49" t="n"/>
      <c r="AP25" s="49" t="n"/>
      <c r="AQ25" s="49" t="n"/>
      <c r="AR25" s="49" t="n"/>
      <c r="AS25" s="49" t="n"/>
      <c r="AT25" s="49" t="n"/>
      <c r="AU25" s="49" t="n"/>
      <c r="AV25" s="49" t="n"/>
      <c r="AW25" s="49" t="n"/>
      <c r="AX25" s="49" t="n"/>
      <c r="AY25" s="49" t="n"/>
    </row>
    <row r="26" ht="15" customHeight="1" s="27">
      <c r="A26" s="49" t="n"/>
      <c r="B26" s="49" t="inlineStr">
        <is>
          <t>E7_v1</t>
        </is>
      </c>
      <c r="C26" s="50" t="inlineStr">
        <is>
          <t>E7</t>
        </is>
      </c>
      <c r="D26" s="50" t="inlineStr">
        <is>
          <t>temporal</t>
        </is>
      </c>
      <c r="E26" s="50" t="inlineStr">
        <is>
          <t>Prophet + regresores</t>
        </is>
      </c>
      <c r="F26" s="50" t="n">
        <v>1</v>
      </c>
      <c r="G26" s="49" t="n"/>
      <c r="H26" s="50" t="inlineStr">
        <is>
          <t>serie + tendencia</t>
        </is>
      </c>
      <c r="I26" s="50" t="inlineStr">
        <is>
          <t>regresores externos</t>
        </is>
      </c>
      <c r="J26" s="50" t="inlineStr">
        <is>
          <t>original</t>
        </is>
      </c>
      <c r="K26" s="50" t="inlineStr">
        <is>
          <t>todas</t>
        </is>
      </c>
      <c r="L26" s="50" t="inlineStr">
        <is>
          <t>walk-forward</t>
        </is>
      </c>
      <c r="M26" s="49" t="n"/>
      <c r="N26" s="49" t="n"/>
      <c r="O26" s="51">
        <f>CONFIG_REFERENCIA!$E$3</f>
        <v/>
      </c>
      <c r="P26" s="51">
        <f>CONFIG_REFERENCIA!$E$4</f>
        <v/>
      </c>
      <c r="Q26" s="51">
        <f>CONFIG_REFERENCIA!$E$5</f>
        <v/>
      </c>
      <c r="R26" s="51">
        <f>CONFIG_REFERENCIA!$E$6</f>
        <v/>
      </c>
      <c r="S26" s="52">
        <f>IF($F26="","",INDEX(CONFIG_REFERENCIA!$B$3:$B$6,MATCH($F26,CONFIG_REFERENCIA!$A$3:$A$6,0)))</f>
        <v/>
      </c>
      <c r="T26" s="53" t="n"/>
      <c r="U26" s="53" t="n"/>
      <c r="V26" s="53" t="n"/>
      <c r="W26" s="53" t="n"/>
      <c r="X26" s="54">
        <f>IF(COUNTA($T26:$W26)&lt;4,"",$S26*($O26*$T26+$P26*$U26+$Q26*$V26+$R26*$W26))</f>
        <v/>
      </c>
      <c r="Y26" s="53" t="n"/>
      <c r="Z26" s="53" t="n"/>
      <c r="AA26" s="55" t="n"/>
      <c r="AB26" s="55" t="n"/>
      <c r="AC26" s="49" t="inlineStr">
        <is>
          <t>pendiente</t>
        </is>
      </c>
      <c r="AD26" s="49" t="n"/>
      <c r="AE26" s="49" t="n"/>
      <c r="AF26" s="49" t="n"/>
      <c r="AG26" s="49" t="n"/>
      <c r="AH26" s="49" t="n"/>
      <c r="AI26" s="49" t="n"/>
      <c r="AJ26" s="49" t="n"/>
      <c r="AK26" s="49" t="n"/>
      <c r="AL26" s="49" t="n"/>
      <c r="AM26" s="49" t="n"/>
      <c r="AN26" s="49" t="n"/>
      <c r="AO26" s="49" t="n"/>
      <c r="AP26" s="49" t="n"/>
      <c r="AQ26" s="49" t="n"/>
      <c r="AR26" s="49" t="n"/>
      <c r="AS26" s="49" t="n"/>
      <c r="AT26" s="49" t="n"/>
      <c r="AU26" s="49" t="n"/>
      <c r="AV26" s="49" t="n"/>
      <c r="AW26" s="49" t="n"/>
      <c r="AX26" s="49" t="n"/>
      <c r="AY26" s="49" t="n"/>
    </row>
    <row r="27" ht="15" customHeight="1" s="27">
      <c r="A27" s="49" t="n"/>
      <c r="B27" s="49" t="inlineStr">
        <is>
          <t>E7_v1</t>
        </is>
      </c>
      <c r="C27" s="50" t="inlineStr">
        <is>
          <t>E7</t>
        </is>
      </c>
      <c r="D27" s="50" t="inlineStr">
        <is>
          <t>temporal</t>
        </is>
      </c>
      <c r="E27" s="50" t="inlineStr">
        <is>
          <t>Prophet + regresores</t>
        </is>
      </c>
      <c r="F27" s="50" t="n">
        <v>2</v>
      </c>
      <c r="G27" s="49" t="n"/>
      <c r="H27" s="50" t="inlineStr">
        <is>
          <t>serie + tendencia</t>
        </is>
      </c>
      <c r="I27" s="50" t="inlineStr">
        <is>
          <t>regresores externos</t>
        </is>
      </c>
      <c r="J27" s="50" t="inlineStr">
        <is>
          <t>original</t>
        </is>
      </c>
      <c r="K27" s="50" t="inlineStr">
        <is>
          <t>todas</t>
        </is>
      </c>
      <c r="L27" s="50" t="inlineStr">
        <is>
          <t>walk-forward</t>
        </is>
      </c>
      <c r="M27" s="49" t="n"/>
      <c r="N27" s="49" t="n"/>
      <c r="O27" s="51">
        <f>CONFIG_REFERENCIA!$E$3</f>
        <v/>
      </c>
      <c r="P27" s="51">
        <f>CONFIG_REFERENCIA!$E$4</f>
        <v/>
      </c>
      <c r="Q27" s="51">
        <f>CONFIG_REFERENCIA!$E$5</f>
        <v/>
      </c>
      <c r="R27" s="51">
        <f>CONFIG_REFERENCIA!$E$6</f>
        <v/>
      </c>
      <c r="S27" s="52">
        <f>IF($F27="","",INDEX(CONFIG_REFERENCIA!$B$3:$B$6,MATCH($F27,CONFIG_REFERENCIA!$A$3:$A$6,0)))</f>
        <v/>
      </c>
      <c r="T27" s="53" t="n"/>
      <c r="U27" s="53" t="n"/>
      <c r="V27" s="53" t="n"/>
      <c r="W27" s="53" t="n"/>
      <c r="X27" s="54">
        <f>IF(COUNTA($T27:$W27)&lt;4,"",$S27*($O27*$T27+$P27*$U27+$Q27*$V27+$R27*$W27))</f>
        <v/>
      </c>
      <c r="Y27" s="53" t="n"/>
      <c r="Z27" s="53" t="n"/>
      <c r="AA27" s="55" t="n"/>
      <c r="AB27" s="55" t="n"/>
      <c r="AC27" s="49" t="inlineStr">
        <is>
          <t>pendiente</t>
        </is>
      </c>
      <c r="AD27" s="49" t="n"/>
      <c r="AE27" s="49" t="n"/>
      <c r="AF27" s="49" t="n"/>
      <c r="AG27" s="49" t="n"/>
      <c r="AH27" s="49" t="n"/>
      <c r="AI27" s="49" t="n"/>
      <c r="AJ27" s="49" t="n"/>
      <c r="AK27" s="49" t="n"/>
      <c r="AL27" s="49" t="n"/>
      <c r="AM27" s="49" t="n"/>
      <c r="AN27" s="49" t="n"/>
      <c r="AO27" s="49" t="n"/>
      <c r="AP27" s="49" t="n"/>
      <c r="AQ27" s="49" t="n"/>
      <c r="AR27" s="49" t="n"/>
      <c r="AS27" s="49" t="n"/>
      <c r="AT27" s="49" t="n"/>
      <c r="AU27" s="49" t="n"/>
      <c r="AV27" s="49" t="n"/>
      <c r="AW27" s="49" t="n"/>
      <c r="AX27" s="49" t="n"/>
      <c r="AY27" s="49" t="n"/>
    </row>
    <row r="28" ht="15" customHeight="1" s="27">
      <c r="A28" s="49" t="n"/>
      <c r="B28" s="49" t="inlineStr">
        <is>
          <t>E7_v1</t>
        </is>
      </c>
      <c r="C28" s="50" t="inlineStr">
        <is>
          <t>E7</t>
        </is>
      </c>
      <c r="D28" s="50" t="inlineStr">
        <is>
          <t>temporal</t>
        </is>
      </c>
      <c r="E28" s="50" t="inlineStr">
        <is>
          <t>Prophet + regresores</t>
        </is>
      </c>
      <c r="F28" s="50" t="n">
        <v>3</v>
      </c>
      <c r="G28" s="49" t="n"/>
      <c r="H28" s="50" t="inlineStr">
        <is>
          <t>serie + tendencia</t>
        </is>
      </c>
      <c r="I28" s="50" t="inlineStr">
        <is>
          <t>regresores externos</t>
        </is>
      </c>
      <c r="J28" s="50" t="inlineStr">
        <is>
          <t>original</t>
        </is>
      </c>
      <c r="K28" s="50" t="inlineStr">
        <is>
          <t>todas</t>
        </is>
      </c>
      <c r="L28" s="50" t="inlineStr">
        <is>
          <t>walk-forward</t>
        </is>
      </c>
      <c r="M28" s="49" t="n"/>
      <c r="N28" s="49" t="n"/>
      <c r="O28" s="51">
        <f>CONFIG_REFERENCIA!$E$3</f>
        <v/>
      </c>
      <c r="P28" s="51">
        <f>CONFIG_REFERENCIA!$E$4</f>
        <v/>
      </c>
      <c r="Q28" s="51">
        <f>CONFIG_REFERENCIA!$E$5</f>
        <v/>
      </c>
      <c r="R28" s="51">
        <f>CONFIG_REFERENCIA!$E$6</f>
        <v/>
      </c>
      <c r="S28" s="52">
        <f>IF($F28="","",INDEX(CONFIG_REFERENCIA!$B$3:$B$6,MATCH($F28,CONFIG_REFERENCIA!$A$3:$A$6,0)))</f>
        <v/>
      </c>
      <c r="T28" s="53" t="n"/>
      <c r="U28" s="53" t="n"/>
      <c r="V28" s="53" t="n"/>
      <c r="W28" s="53" t="n"/>
      <c r="X28" s="54">
        <f>IF(COUNTA($T28:$W28)&lt;4,"",$S28*($O28*$T28+$P28*$U28+$Q28*$V28+$R28*$W28))</f>
        <v/>
      </c>
      <c r="Y28" s="53" t="n"/>
      <c r="Z28" s="53" t="n"/>
      <c r="AA28" s="55" t="n"/>
      <c r="AB28" s="55" t="n"/>
      <c r="AC28" s="49" t="inlineStr">
        <is>
          <t>pendiente</t>
        </is>
      </c>
      <c r="AD28" s="49" t="n"/>
      <c r="AE28" s="49" t="n"/>
      <c r="AF28" s="49" t="n"/>
      <c r="AG28" s="49" t="n"/>
      <c r="AH28" s="49" t="n"/>
      <c r="AI28" s="49" t="n"/>
      <c r="AJ28" s="49" t="n"/>
      <c r="AK28" s="49" t="n"/>
      <c r="AL28" s="49" t="n"/>
      <c r="AM28" s="49" t="n"/>
      <c r="AN28" s="49" t="n"/>
      <c r="AO28" s="49" t="n"/>
      <c r="AP28" s="49" t="n"/>
      <c r="AQ28" s="49" t="n"/>
      <c r="AR28" s="49" t="n"/>
      <c r="AS28" s="49" t="n"/>
      <c r="AT28" s="49" t="n"/>
      <c r="AU28" s="49" t="n"/>
      <c r="AV28" s="49" t="n"/>
      <c r="AW28" s="49" t="n"/>
      <c r="AX28" s="49" t="n"/>
      <c r="AY28" s="49" t="n"/>
    </row>
    <row r="29" ht="15" customHeight="1" s="27">
      <c r="A29" s="49" t="n"/>
      <c r="B29" s="49" t="inlineStr">
        <is>
          <t>E7_v1</t>
        </is>
      </c>
      <c r="C29" s="50" t="inlineStr">
        <is>
          <t>E7</t>
        </is>
      </c>
      <c r="D29" s="50" t="inlineStr">
        <is>
          <t>temporal</t>
        </is>
      </c>
      <c r="E29" s="50" t="inlineStr">
        <is>
          <t>Prophet + regresores</t>
        </is>
      </c>
      <c r="F29" s="50" t="n">
        <v>4</v>
      </c>
      <c r="G29" s="49" t="n"/>
      <c r="H29" s="50" t="inlineStr">
        <is>
          <t>serie + tendencia</t>
        </is>
      </c>
      <c r="I29" s="50" t="inlineStr">
        <is>
          <t>regresores externos</t>
        </is>
      </c>
      <c r="J29" s="50" t="inlineStr">
        <is>
          <t>original</t>
        </is>
      </c>
      <c r="K29" s="50" t="inlineStr">
        <is>
          <t>todas</t>
        </is>
      </c>
      <c r="L29" s="50" t="inlineStr">
        <is>
          <t>walk-forward</t>
        </is>
      </c>
      <c r="M29" s="49" t="n"/>
      <c r="N29" s="49" t="n"/>
      <c r="O29" s="51">
        <f>CONFIG_REFERENCIA!$E$3</f>
        <v/>
      </c>
      <c r="P29" s="51">
        <f>CONFIG_REFERENCIA!$E$4</f>
        <v/>
      </c>
      <c r="Q29" s="51">
        <f>CONFIG_REFERENCIA!$E$5</f>
        <v/>
      </c>
      <c r="R29" s="51">
        <f>CONFIG_REFERENCIA!$E$6</f>
        <v/>
      </c>
      <c r="S29" s="52">
        <f>IF($F29="","",INDEX(CONFIG_REFERENCIA!$B$3:$B$6,MATCH($F29,CONFIG_REFERENCIA!$A$3:$A$6,0)))</f>
        <v/>
      </c>
      <c r="T29" s="53" t="n"/>
      <c r="U29" s="53" t="n"/>
      <c r="V29" s="53" t="n"/>
      <c r="W29" s="53" t="n"/>
      <c r="X29" s="54">
        <f>IF(COUNTA($T29:$W29)&lt;4,"",$S29*($O29*$T29+$P29*$U29+$Q29*$V29+$R29*$W29))</f>
        <v/>
      </c>
      <c r="Y29" s="53" t="n"/>
      <c r="Z29" s="53" t="n"/>
      <c r="AA29" s="55" t="n"/>
      <c r="AB29" s="55" t="n"/>
      <c r="AC29" s="49" t="inlineStr">
        <is>
          <t>pendiente</t>
        </is>
      </c>
      <c r="AD29" s="49" t="n"/>
      <c r="AE29" s="49" t="n"/>
      <c r="AF29" s="49" t="n"/>
      <c r="AG29" s="49" t="n"/>
      <c r="AH29" s="49" t="n"/>
      <c r="AI29" s="49" t="n"/>
      <c r="AJ29" s="49" t="n"/>
      <c r="AK29" s="49" t="n"/>
      <c r="AL29" s="49" t="n"/>
      <c r="AM29" s="49" t="n"/>
      <c r="AN29" s="49" t="n"/>
      <c r="AO29" s="49" t="n"/>
      <c r="AP29" s="49" t="n"/>
      <c r="AQ29" s="49" t="n"/>
      <c r="AR29" s="49" t="n"/>
      <c r="AS29" s="49" t="n"/>
      <c r="AT29" s="49" t="n"/>
      <c r="AU29" s="49" t="n"/>
      <c r="AV29" s="49" t="n"/>
      <c r="AW29" s="49" t="n"/>
      <c r="AX29" s="49" t="n"/>
      <c r="AY29" s="49" t="n"/>
    </row>
    <row r="30" ht="15" customHeight="1" s="27">
      <c r="A30" s="49" t="n"/>
      <c r="B30" s="49" t="inlineStr">
        <is>
          <t>E8_v1</t>
        </is>
      </c>
      <c r="C30" s="50" t="inlineStr">
        <is>
          <t>E8</t>
        </is>
      </c>
      <c r="D30" s="50" t="inlineStr">
        <is>
          <t>hibrido</t>
        </is>
      </c>
      <c r="E30" s="50" t="inlineStr">
        <is>
          <t>Temporal + boosting residuales</t>
        </is>
      </c>
      <c r="F30" s="50" t="n">
        <v>1</v>
      </c>
      <c r="G30" s="49" t="n"/>
      <c r="H30" s="50" t="inlineStr">
        <is>
          <t>temporal base</t>
        </is>
      </c>
      <c r="I30" s="50" t="inlineStr">
        <is>
          <t>choques no lineales</t>
        </is>
      </c>
      <c r="J30" s="50" t="inlineStr">
        <is>
          <t>original</t>
        </is>
      </c>
      <c r="K30" s="50" t="inlineStr">
        <is>
          <t>todas</t>
        </is>
      </c>
      <c r="L30" s="50" t="inlineStr">
        <is>
          <t>walk-forward</t>
        </is>
      </c>
      <c r="M30" s="49" t="n"/>
      <c r="N30" s="49" t="n"/>
      <c r="O30" s="51">
        <f>CONFIG_REFERENCIA!$E$3</f>
        <v/>
      </c>
      <c r="P30" s="51">
        <f>CONFIG_REFERENCIA!$E$4</f>
        <v/>
      </c>
      <c r="Q30" s="51">
        <f>CONFIG_REFERENCIA!$E$5</f>
        <v/>
      </c>
      <c r="R30" s="51">
        <f>CONFIG_REFERENCIA!$E$6</f>
        <v/>
      </c>
      <c r="S30" s="52">
        <f>IF($F30="","",INDEX(CONFIG_REFERENCIA!$B$3:$B$6,MATCH($F30,CONFIG_REFERENCIA!$A$3:$A$6,0)))</f>
        <v/>
      </c>
      <c r="T30" s="53" t="n"/>
      <c r="U30" s="53" t="n"/>
      <c r="V30" s="53" t="n"/>
      <c r="W30" s="53" t="n"/>
      <c r="X30" s="54">
        <f>IF(COUNTA($T30:$W30)&lt;4,"",$S30*($O30*$T30+$P30*$U30+$Q30*$V30+$R30*$W30))</f>
        <v/>
      </c>
      <c r="Y30" s="53" t="n"/>
      <c r="Z30" s="53" t="n"/>
      <c r="AA30" s="55" t="n"/>
      <c r="AB30" s="55" t="n"/>
      <c r="AC30" s="49" t="inlineStr">
        <is>
          <t>pendiente</t>
        </is>
      </c>
      <c r="AD30" s="49" t="n"/>
      <c r="AE30" s="49" t="n"/>
      <c r="AF30" s="49" t="n"/>
      <c r="AG30" s="49" t="n"/>
      <c r="AH30" s="49" t="n"/>
      <c r="AI30" s="49" t="n"/>
      <c r="AJ30" s="49" t="n"/>
      <c r="AK30" s="49" t="n"/>
      <c r="AL30" s="49" t="n"/>
      <c r="AM30" s="49" t="n"/>
      <c r="AN30" s="49" t="n"/>
      <c r="AO30" s="49" t="n"/>
      <c r="AP30" s="49" t="n"/>
      <c r="AQ30" s="49" t="n"/>
      <c r="AR30" s="49" t="n"/>
      <c r="AS30" s="49" t="n"/>
      <c r="AT30" s="49" t="n"/>
      <c r="AU30" s="49" t="n"/>
      <c r="AV30" s="49" t="n"/>
      <c r="AW30" s="49" t="n"/>
      <c r="AX30" s="49" t="n"/>
      <c r="AY30" s="49" t="n"/>
    </row>
    <row r="31" ht="15" customHeight="1" s="27">
      <c r="A31" s="49" t="n"/>
      <c r="B31" s="49" t="inlineStr">
        <is>
          <t>E8_v1</t>
        </is>
      </c>
      <c r="C31" s="50" t="inlineStr">
        <is>
          <t>E8</t>
        </is>
      </c>
      <c r="D31" s="50" t="inlineStr">
        <is>
          <t>hibrido</t>
        </is>
      </c>
      <c r="E31" s="50" t="inlineStr">
        <is>
          <t>Temporal + boosting residuales</t>
        </is>
      </c>
      <c r="F31" s="50" t="n">
        <v>2</v>
      </c>
      <c r="G31" s="49" t="n"/>
      <c r="H31" s="50" t="inlineStr">
        <is>
          <t>temporal base</t>
        </is>
      </c>
      <c r="I31" s="50" t="inlineStr">
        <is>
          <t>choques no lineales</t>
        </is>
      </c>
      <c r="J31" s="50" t="inlineStr">
        <is>
          <t>original</t>
        </is>
      </c>
      <c r="K31" s="50" t="inlineStr">
        <is>
          <t>todas</t>
        </is>
      </c>
      <c r="L31" s="50" t="inlineStr">
        <is>
          <t>walk-forward</t>
        </is>
      </c>
      <c r="M31" s="49" t="n"/>
      <c r="N31" s="49" t="n"/>
      <c r="O31" s="51">
        <f>CONFIG_REFERENCIA!$E$3</f>
        <v/>
      </c>
      <c r="P31" s="51">
        <f>CONFIG_REFERENCIA!$E$4</f>
        <v/>
      </c>
      <c r="Q31" s="51">
        <f>CONFIG_REFERENCIA!$E$5</f>
        <v/>
      </c>
      <c r="R31" s="51">
        <f>CONFIG_REFERENCIA!$E$6</f>
        <v/>
      </c>
      <c r="S31" s="52">
        <f>IF($F31="","",INDEX(CONFIG_REFERENCIA!$B$3:$B$6,MATCH($F31,CONFIG_REFERENCIA!$A$3:$A$6,0)))</f>
        <v/>
      </c>
      <c r="T31" s="53" t="n"/>
      <c r="U31" s="53" t="n"/>
      <c r="V31" s="53" t="n"/>
      <c r="W31" s="53" t="n"/>
      <c r="X31" s="54">
        <f>IF(COUNTA($T31:$W31)&lt;4,"",$S31*($O31*$T31+$P31*$U31+$Q31*$V31+$R31*$W31))</f>
        <v/>
      </c>
      <c r="Y31" s="53" t="n"/>
      <c r="Z31" s="53" t="n"/>
      <c r="AA31" s="55" t="n"/>
      <c r="AB31" s="55" t="n"/>
      <c r="AC31" s="49" t="inlineStr">
        <is>
          <t>pendiente</t>
        </is>
      </c>
      <c r="AD31" s="49" t="n"/>
      <c r="AE31" s="49" t="n"/>
      <c r="AF31" s="49" t="n"/>
      <c r="AG31" s="49" t="n"/>
      <c r="AH31" s="49" t="n"/>
      <c r="AI31" s="49" t="n"/>
      <c r="AJ31" s="49" t="n"/>
      <c r="AK31" s="49" t="n"/>
      <c r="AL31" s="49" t="n"/>
      <c r="AM31" s="49" t="n"/>
      <c r="AN31" s="49" t="n"/>
      <c r="AO31" s="49" t="n"/>
      <c r="AP31" s="49" t="n"/>
      <c r="AQ31" s="49" t="n"/>
      <c r="AR31" s="49" t="n"/>
      <c r="AS31" s="49" t="n"/>
      <c r="AT31" s="49" t="n"/>
      <c r="AU31" s="49" t="n"/>
      <c r="AV31" s="49" t="n"/>
      <c r="AW31" s="49" t="n"/>
      <c r="AX31" s="49" t="n"/>
      <c r="AY31" s="49" t="n"/>
    </row>
    <row r="32" ht="15" customHeight="1" s="27">
      <c r="A32" s="49" t="n"/>
      <c r="B32" s="49" t="inlineStr">
        <is>
          <t>E8_v1</t>
        </is>
      </c>
      <c r="C32" s="50" t="inlineStr">
        <is>
          <t>E8</t>
        </is>
      </c>
      <c r="D32" s="50" t="inlineStr">
        <is>
          <t>hibrido</t>
        </is>
      </c>
      <c r="E32" s="50" t="inlineStr">
        <is>
          <t>Temporal + boosting residuales</t>
        </is>
      </c>
      <c r="F32" s="50" t="n">
        <v>3</v>
      </c>
      <c r="G32" s="49" t="n"/>
      <c r="H32" s="50" t="inlineStr">
        <is>
          <t>temporal base</t>
        </is>
      </c>
      <c r="I32" s="50" t="inlineStr">
        <is>
          <t>choques no lineales</t>
        </is>
      </c>
      <c r="J32" s="50" t="inlineStr">
        <is>
          <t>original</t>
        </is>
      </c>
      <c r="K32" s="50" t="inlineStr">
        <is>
          <t>todas</t>
        </is>
      </c>
      <c r="L32" s="50" t="inlineStr">
        <is>
          <t>walk-forward</t>
        </is>
      </c>
      <c r="M32" s="49" t="n"/>
      <c r="N32" s="49" t="n"/>
      <c r="O32" s="51">
        <f>CONFIG_REFERENCIA!$E$3</f>
        <v/>
      </c>
      <c r="P32" s="51">
        <f>CONFIG_REFERENCIA!$E$4</f>
        <v/>
      </c>
      <c r="Q32" s="51">
        <f>CONFIG_REFERENCIA!$E$5</f>
        <v/>
      </c>
      <c r="R32" s="51">
        <f>CONFIG_REFERENCIA!$E$6</f>
        <v/>
      </c>
      <c r="S32" s="52">
        <f>IF($F32="","",INDEX(CONFIG_REFERENCIA!$B$3:$B$6,MATCH($F32,CONFIG_REFERENCIA!$A$3:$A$6,0)))</f>
        <v/>
      </c>
      <c r="T32" s="53" t="n"/>
      <c r="U32" s="53" t="n"/>
      <c r="V32" s="53" t="n"/>
      <c r="W32" s="53" t="n"/>
      <c r="X32" s="54">
        <f>IF(COUNTA($T32:$W32)&lt;4,"",$S32*($O32*$T32+$P32*$U32+$Q32*$V32+$R32*$W32))</f>
        <v/>
      </c>
      <c r="Y32" s="53" t="n"/>
      <c r="Z32" s="53" t="n"/>
      <c r="AA32" s="55" t="n"/>
      <c r="AB32" s="55" t="n"/>
      <c r="AC32" s="49" t="inlineStr">
        <is>
          <t>pendiente</t>
        </is>
      </c>
      <c r="AD32" s="49" t="n"/>
      <c r="AE32" s="49" t="n"/>
      <c r="AF32" s="49" t="n"/>
      <c r="AG32" s="49" t="n"/>
      <c r="AH32" s="49" t="n"/>
      <c r="AI32" s="49" t="n"/>
      <c r="AJ32" s="49" t="n"/>
      <c r="AK32" s="49" t="n"/>
      <c r="AL32" s="49" t="n"/>
      <c r="AM32" s="49" t="n"/>
      <c r="AN32" s="49" t="n"/>
      <c r="AO32" s="49" t="n"/>
      <c r="AP32" s="49" t="n"/>
      <c r="AQ32" s="49" t="n"/>
      <c r="AR32" s="49" t="n"/>
      <c r="AS32" s="49" t="n"/>
      <c r="AT32" s="49" t="n"/>
      <c r="AU32" s="49" t="n"/>
      <c r="AV32" s="49" t="n"/>
      <c r="AW32" s="49" t="n"/>
      <c r="AX32" s="49" t="n"/>
      <c r="AY32" s="49" t="n"/>
    </row>
    <row r="33" ht="15" customHeight="1" s="27">
      <c r="A33" s="49" t="n"/>
      <c r="B33" s="49" t="inlineStr">
        <is>
          <t>E8_v1</t>
        </is>
      </c>
      <c r="C33" s="50" t="inlineStr">
        <is>
          <t>E8</t>
        </is>
      </c>
      <c r="D33" s="50" t="inlineStr">
        <is>
          <t>hibrido</t>
        </is>
      </c>
      <c r="E33" s="50" t="inlineStr">
        <is>
          <t>Temporal + boosting residuales</t>
        </is>
      </c>
      <c r="F33" s="50" t="n">
        <v>4</v>
      </c>
      <c r="G33" s="49" t="n"/>
      <c r="H33" s="50" t="inlineStr">
        <is>
          <t>temporal base</t>
        </is>
      </c>
      <c r="I33" s="50" t="inlineStr">
        <is>
          <t>choques no lineales</t>
        </is>
      </c>
      <c r="J33" s="50" t="inlineStr">
        <is>
          <t>original</t>
        </is>
      </c>
      <c r="K33" s="50" t="inlineStr">
        <is>
          <t>todas</t>
        </is>
      </c>
      <c r="L33" s="50" t="inlineStr">
        <is>
          <t>walk-forward</t>
        </is>
      </c>
      <c r="M33" s="49" t="n"/>
      <c r="N33" s="49" t="n"/>
      <c r="O33" s="51">
        <f>CONFIG_REFERENCIA!$E$3</f>
        <v/>
      </c>
      <c r="P33" s="51">
        <f>CONFIG_REFERENCIA!$E$4</f>
        <v/>
      </c>
      <c r="Q33" s="51">
        <f>CONFIG_REFERENCIA!$E$5</f>
        <v/>
      </c>
      <c r="R33" s="51">
        <f>CONFIG_REFERENCIA!$E$6</f>
        <v/>
      </c>
      <c r="S33" s="52">
        <f>IF($F33="","",INDEX(CONFIG_REFERENCIA!$B$3:$B$6,MATCH($F33,CONFIG_REFERENCIA!$A$3:$A$6,0)))</f>
        <v/>
      </c>
      <c r="T33" s="53" t="n"/>
      <c r="U33" s="53" t="n"/>
      <c r="V33" s="53" t="n"/>
      <c r="W33" s="53" t="n"/>
      <c r="X33" s="54">
        <f>IF(COUNTA($T33:$W33)&lt;4,"",$S33*($O33*$T33+$P33*$U33+$Q33*$V33+$R33*$W33))</f>
        <v/>
      </c>
      <c r="Y33" s="53" t="n"/>
      <c r="Z33" s="53" t="n"/>
      <c r="AA33" s="55" t="n"/>
      <c r="AB33" s="55" t="n"/>
      <c r="AC33" s="49" t="inlineStr">
        <is>
          <t>pendiente</t>
        </is>
      </c>
      <c r="AD33" s="49" t="n"/>
      <c r="AE33" s="49" t="n"/>
      <c r="AF33" s="49" t="n"/>
      <c r="AG33" s="49" t="n"/>
      <c r="AH33" s="49" t="n"/>
      <c r="AI33" s="49" t="n"/>
      <c r="AJ33" s="49" t="n"/>
      <c r="AK33" s="49" t="n"/>
      <c r="AL33" s="49" t="n"/>
      <c r="AM33" s="49" t="n"/>
      <c r="AN33" s="49" t="n"/>
      <c r="AO33" s="49" t="n"/>
      <c r="AP33" s="49" t="n"/>
      <c r="AQ33" s="49" t="n"/>
      <c r="AR33" s="49" t="n"/>
      <c r="AS33" s="49" t="n"/>
      <c r="AT33" s="49" t="n"/>
      <c r="AU33" s="49" t="n"/>
      <c r="AV33" s="49" t="n"/>
      <c r="AW33" s="49" t="n"/>
      <c r="AX33" s="49" t="n"/>
      <c r="AY33" s="49" t="n"/>
    </row>
    <row r="34" ht="15" customHeight="1" s="27">
      <c r="A34" s="49" t="n"/>
      <c r="B34" s="49" t="inlineStr">
        <is>
          <t>E9_v1</t>
        </is>
      </c>
      <c r="C34" s="50" t="inlineStr">
        <is>
          <t>E9</t>
        </is>
      </c>
      <c r="D34" s="50" t="inlineStr">
        <is>
          <t>hibrido</t>
        </is>
      </c>
      <c r="E34" s="50" t="inlineStr">
        <is>
          <t>Stacking lineal + boosting + temporal</t>
        </is>
      </c>
      <c r="F34" s="50" t="n">
        <v>1</v>
      </c>
      <c r="G34" s="49" t="n"/>
      <c r="H34" s="50" t="inlineStr">
        <is>
          <t>senales complementarias</t>
        </is>
      </c>
      <c r="I34" s="50" t="inlineStr">
        <is>
          <t>variables mixtas</t>
        </is>
      </c>
      <c r="J34" s="50" t="inlineStr">
        <is>
          <t>original</t>
        </is>
      </c>
      <c r="K34" s="50" t="inlineStr">
        <is>
          <t>todas</t>
        </is>
      </c>
      <c r="L34" s="50" t="inlineStr">
        <is>
          <t>walk-forward</t>
        </is>
      </c>
      <c r="M34" s="49" t="n"/>
      <c r="N34" s="49" t="n"/>
      <c r="O34" s="51">
        <f>CONFIG_REFERENCIA!$E$3</f>
        <v/>
      </c>
      <c r="P34" s="51">
        <f>CONFIG_REFERENCIA!$E$4</f>
        <v/>
      </c>
      <c r="Q34" s="51">
        <f>CONFIG_REFERENCIA!$E$5</f>
        <v/>
      </c>
      <c r="R34" s="51">
        <f>CONFIG_REFERENCIA!$E$6</f>
        <v/>
      </c>
      <c r="S34" s="52">
        <f>IF($F34="","",INDEX(CONFIG_REFERENCIA!$B$3:$B$6,MATCH($F34,CONFIG_REFERENCIA!$A$3:$A$6,0)))</f>
        <v/>
      </c>
      <c r="T34" s="53" t="n"/>
      <c r="U34" s="53" t="n"/>
      <c r="V34" s="53" t="n"/>
      <c r="W34" s="53" t="n"/>
      <c r="X34" s="54">
        <f>IF(COUNTA($T34:$W34)&lt;4,"",$S34*($O34*$T34+$P34*$U34+$Q34*$V34+$R34*$W34))</f>
        <v/>
      </c>
      <c r="Y34" s="53" t="n"/>
      <c r="Z34" s="53" t="n"/>
      <c r="AA34" s="55" t="n"/>
      <c r="AB34" s="55" t="n"/>
      <c r="AC34" s="49" t="inlineStr">
        <is>
          <t>pendiente</t>
        </is>
      </c>
      <c r="AD34" s="49" t="n"/>
      <c r="AE34" s="49" t="n"/>
      <c r="AF34" s="49" t="n"/>
      <c r="AG34" s="49" t="n"/>
      <c r="AH34" s="49" t="n"/>
      <c r="AI34" s="49" t="n"/>
      <c r="AJ34" s="49" t="n"/>
      <c r="AK34" s="49" t="n"/>
      <c r="AL34" s="49" t="n"/>
      <c r="AM34" s="49" t="n"/>
      <c r="AN34" s="49" t="n"/>
      <c r="AO34" s="49" t="n"/>
      <c r="AP34" s="49" t="n"/>
      <c r="AQ34" s="49" t="n"/>
      <c r="AR34" s="49" t="n"/>
      <c r="AS34" s="49" t="n"/>
      <c r="AT34" s="49" t="n"/>
      <c r="AU34" s="49" t="n"/>
      <c r="AV34" s="49" t="n"/>
      <c r="AW34" s="49" t="n"/>
      <c r="AX34" s="49" t="n"/>
      <c r="AY34" s="49" t="n"/>
    </row>
    <row r="35" ht="15" customHeight="1" s="27">
      <c r="A35" s="49" t="n"/>
      <c r="B35" s="49" t="inlineStr">
        <is>
          <t>E9_v1</t>
        </is>
      </c>
      <c r="C35" s="50" t="inlineStr">
        <is>
          <t>E9</t>
        </is>
      </c>
      <c r="D35" s="50" t="inlineStr">
        <is>
          <t>hibrido</t>
        </is>
      </c>
      <c r="E35" s="50" t="inlineStr">
        <is>
          <t>Stacking lineal + boosting + temporal</t>
        </is>
      </c>
      <c r="F35" s="50" t="n">
        <v>2</v>
      </c>
      <c r="G35" s="49" t="n"/>
      <c r="H35" s="50" t="inlineStr">
        <is>
          <t>senales complementarias</t>
        </is>
      </c>
      <c r="I35" s="50" t="inlineStr">
        <is>
          <t>variables mixtas</t>
        </is>
      </c>
      <c r="J35" s="50" t="inlineStr">
        <is>
          <t>original</t>
        </is>
      </c>
      <c r="K35" s="50" t="inlineStr">
        <is>
          <t>todas</t>
        </is>
      </c>
      <c r="L35" s="50" t="inlineStr">
        <is>
          <t>walk-forward</t>
        </is>
      </c>
      <c r="M35" s="49" t="n"/>
      <c r="N35" s="49" t="n"/>
      <c r="O35" s="51">
        <f>CONFIG_REFERENCIA!$E$3</f>
        <v/>
      </c>
      <c r="P35" s="51">
        <f>CONFIG_REFERENCIA!$E$4</f>
        <v/>
      </c>
      <c r="Q35" s="51">
        <f>CONFIG_REFERENCIA!$E$5</f>
        <v/>
      </c>
      <c r="R35" s="51">
        <f>CONFIG_REFERENCIA!$E$6</f>
        <v/>
      </c>
      <c r="S35" s="52">
        <f>IF($F35="","",INDEX(CONFIG_REFERENCIA!$B$3:$B$6,MATCH($F35,CONFIG_REFERENCIA!$A$3:$A$6,0)))</f>
        <v/>
      </c>
      <c r="T35" s="53" t="n"/>
      <c r="U35" s="53" t="n"/>
      <c r="V35" s="53" t="n"/>
      <c r="W35" s="53" t="n"/>
      <c r="X35" s="54">
        <f>IF(COUNTA($T35:$W35)&lt;4,"",$S35*($O35*$T35+$P35*$U35+$Q35*$V35+$R35*$W35))</f>
        <v/>
      </c>
      <c r="Y35" s="53" t="n"/>
      <c r="Z35" s="53" t="n"/>
      <c r="AA35" s="55" t="n"/>
      <c r="AB35" s="55" t="n"/>
      <c r="AC35" s="49" t="inlineStr">
        <is>
          <t>pendiente</t>
        </is>
      </c>
      <c r="AD35" s="49" t="n"/>
      <c r="AE35" s="49" t="n"/>
      <c r="AF35" s="49" t="n"/>
      <c r="AG35" s="49" t="n"/>
      <c r="AH35" s="49" t="n"/>
      <c r="AI35" s="49" t="n"/>
      <c r="AJ35" s="49" t="n"/>
      <c r="AK35" s="49" t="n"/>
      <c r="AL35" s="49" t="n"/>
      <c r="AM35" s="49" t="n"/>
      <c r="AN35" s="49" t="n"/>
      <c r="AO35" s="49" t="n"/>
      <c r="AP35" s="49" t="n"/>
      <c r="AQ35" s="49" t="n"/>
      <c r="AR35" s="49" t="n"/>
      <c r="AS35" s="49" t="n"/>
      <c r="AT35" s="49" t="n"/>
      <c r="AU35" s="49" t="n"/>
      <c r="AV35" s="49" t="n"/>
      <c r="AW35" s="49" t="n"/>
      <c r="AX35" s="49" t="n"/>
      <c r="AY35" s="49" t="n"/>
    </row>
    <row r="36" ht="15" customHeight="1" s="27">
      <c r="A36" s="49" t="n"/>
      <c r="B36" s="49" t="inlineStr">
        <is>
          <t>E9_v1</t>
        </is>
      </c>
      <c r="C36" s="50" t="inlineStr">
        <is>
          <t>E9</t>
        </is>
      </c>
      <c r="D36" s="50" t="inlineStr">
        <is>
          <t>hibrido</t>
        </is>
      </c>
      <c r="E36" s="50" t="inlineStr">
        <is>
          <t>Stacking lineal + boosting + temporal</t>
        </is>
      </c>
      <c r="F36" s="50" t="n">
        <v>3</v>
      </c>
      <c r="G36" s="49" t="n"/>
      <c r="H36" s="50" t="inlineStr">
        <is>
          <t>senales complementarias</t>
        </is>
      </c>
      <c r="I36" s="50" t="inlineStr">
        <is>
          <t>variables mixtas</t>
        </is>
      </c>
      <c r="J36" s="50" t="inlineStr">
        <is>
          <t>original</t>
        </is>
      </c>
      <c r="K36" s="50" t="inlineStr">
        <is>
          <t>todas</t>
        </is>
      </c>
      <c r="L36" s="50" t="inlineStr">
        <is>
          <t>walk-forward</t>
        </is>
      </c>
      <c r="M36" s="49" t="n"/>
      <c r="N36" s="49" t="n"/>
      <c r="O36" s="51">
        <f>CONFIG_REFERENCIA!$E$3</f>
        <v/>
      </c>
      <c r="P36" s="51">
        <f>CONFIG_REFERENCIA!$E$4</f>
        <v/>
      </c>
      <c r="Q36" s="51">
        <f>CONFIG_REFERENCIA!$E$5</f>
        <v/>
      </c>
      <c r="R36" s="51">
        <f>CONFIG_REFERENCIA!$E$6</f>
        <v/>
      </c>
      <c r="S36" s="52">
        <f>IF($F36="","",INDEX(CONFIG_REFERENCIA!$B$3:$B$6,MATCH($F36,CONFIG_REFERENCIA!$A$3:$A$6,0)))</f>
        <v/>
      </c>
      <c r="T36" s="53" t="n"/>
      <c r="U36" s="53" t="n"/>
      <c r="V36" s="53" t="n"/>
      <c r="W36" s="53" t="n"/>
      <c r="X36" s="54">
        <f>IF(COUNTA($T36:$W36)&lt;4,"",$S36*($O36*$T36+$P36*$U36+$Q36*$V36+$R36*$W36))</f>
        <v/>
      </c>
      <c r="Y36" s="53" t="n"/>
      <c r="Z36" s="53" t="n"/>
      <c r="AA36" s="55" t="n"/>
      <c r="AB36" s="55" t="n"/>
      <c r="AC36" s="49" t="inlineStr">
        <is>
          <t>pendiente</t>
        </is>
      </c>
      <c r="AD36" s="49" t="n"/>
      <c r="AE36" s="49" t="n"/>
      <c r="AF36" s="49" t="n"/>
      <c r="AG36" s="49" t="n"/>
      <c r="AH36" s="49" t="n"/>
      <c r="AI36" s="49" t="n"/>
      <c r="AJ36" s="49" t="n"/>
      <c r="AK36" s="49" t="n"/>
      <c r="AL36" s="49" t="n"/>
      <c r="AM36" s="49" t="n"/>
      <c r="AN36" s="49" t="n"/>
      <c r="AO36" s="49" t="n"/>
      <c r="AP36" s="49" t="n"/>
      <c r="AQ36" s="49" t="n"/>
      <c r="AR36" s="49" t="n"/>
      <c r="AS36" s="49" t="n"/>
      <c r="AT36" s="49" t="n"/>
      <c r="AU36" s="49" t="n"/>
      <c r="AV36" s="49" t="n"/>
      <c r="AW36" s="49" t="n"/>
      <c r="AX36" s="49" t="n"/>
      <c r="AY36" s="49" t="n"/>
    </row>
    <row r="37" ht="15" customHeight="1" s="27">
      <c r="A37" s="49" t="n"/>
      <c r="B37" s="49" t="inlineStr">
        <is>
          <t>E9_v1</t>
        </is>
      </c>
      <c r="C37" s="50" t="inlineStr">
        <is>
          <t>E9</t>
        </is>
      </c>
      <c r="D37" s="50" t="inlineStr">
        <is>
          <t>hibrido</t>
        </is>
      </c>
      <c r="E37" s="50" t="inlineStr">
        <is>
          <t>Stacking lineal + boosting + temporal</t>
        </is>
      </c>
      <c r="F37" s="50" t="n">
        <v>4</v>
      </c>
      <c r="G37" s="49" t="n"/>
      <c r="H37" s="50" t="inlineStr">
        <is>
          <t>senales complementarias</t>
        </is>
      </c>
      <c r="I37" s="50" t="inlineStr">
        <is>
          <t>variables mixtas</t>
        </is>
      </c>
      <c r="J37" s="50" t="inlineStr">
        <is>
          <t>original</t>
        </is>
      </c>
      <c r="K37" s="50" t="inlineStr">
        <is>
          <t>todas</t>
        </is>
      </c>
      <c r="L37" s="50" t="inlineStr">
        <is>
          <t>walk-forward</t>
        </is>
      </c>
      <c r="M37" s="49" t="n"/>
      <c r="N37" s="49" t="n"/>
      <c r="O37" s="51">
        <f>CONFIG_REFERENCIA!$E$3</f>
        <v/>
      </c>
      <c r="P37" s="51">
        <f>CONFIG_REFERENCIA!$E$4</f>
        <v/>
      </c>
      <c r="Q37" s="51">
        <f>CONFIG_REFERENCIA!$E$5</f>
        <v/>
      </c>
      <c r="R37" s="51">
        <f>CONFIG_REFERENCIA!$E$6</f>
        <v/>
      </c>
      <c r="S37" s="52">
        <f>IF($F37="","",INDEX(CONFIG_REFERENCIA!$B$3:$B$6,MATCH($F37,CONFIG_REFERENCIA!$A$3:$A$6,0)))</f>
        <v/>
      </c>
      <c r="T37" s="53" t="n"/>
      <c r="U37" s="53" t="n"/>
      <c r="V37" s="53" t="n"/>
      <c r="W37" s="53" t="n"/>
      <c r="X37" s="54">
        <f>IF(COUNTA($T37:$W37)&lt;4,"",$S37*($O37*$T37+$P37*$U37+$Q37*$V37+$R37*$W37))</f>
        <v/>
      </c>
      <c r="Y37" s="53" t="n"/>
      <c r="Z37" s="53" t="n"/>
      <c r="AA37" s="55" t="n"/>
      <c r="AB37" s="55" t="n"/>
      <c r="AC37" s="49" t="inlineStr">
        <is>
          <t>pendiente</t>
        </is>
      </c>
      <c r="AD37" s="49" t="n"/>
      <c r="AE37" s="49" t="n"/>
      <c r="AF37" s="49" t="n"/>
      <c r="AG37" s="49" t="n"/>
      <c r="AH37" s="49" t="n"/>
      <c r="AI37" s="49" t="n"/>
      <c r="AJ37" s="49" t="n"/>
      <c r="AK37" s="49" t="n"/>
      <c r="AL37" s="49" t="n"/>
      <c r="AM37" s="49" t="n"/>
      <c r="AN37" s="49" t="n"/>
      <c r="AO37" s="49" t="n"/>
      <c r="AP37" s="49" t="n"/>
      <c r="AQ37" s="49" t="n"/>
      <c r="AR37" s="49" t="n"/>
      <c r="AS37" s="49" t="n"/>
      <c r="AT37" s="49" t="n"/>
      <c r="AU37" s="49" t="n"/>
      <c r="AV37" s="49" t="n"/>
      <c r="AW37" s="49" t="n"/>
      <c r="AX37" s="49" t="n"/>
      <c r="AY37" s="49" t="n"/>
    </row>
    <row r="38" ht="26.5" customHeight="1" s="27">
      <c r="A38" s="49" t="n"/>
      <c r="B38" s="49" t="inlineStr">
        <is>
          <t>E10_v1</t>
        </is>
      </c>
      <c r="C38" s="50" t="inlineStr">
        <is>
          <t>E10</t>
        </is>
      </c>
      <c r="D38" s="50" t="inlineStr">
        <is>
          <t>ensemble</t>
        </is>
      </c>
      <c r="E38" s="50" t="inlineStr">
        <is>
          <t>Mejor modelo por horizonte + ensemble</t>
        </is>
      </c>
      <c r="F38" s="50" t="n">
        <v>1</v>
      </c>
      <c r="G38" s="49" t="n"/>
      <c r="H38" s="50" t="inlineStr">
        <is>
          <t>ganadores por horizonte</t>
        </is>
      </c>
      <c r="I38" s="50" t="inlineStr">
        <is>
          <t>senales complementarias</t>
        </is>
      </c>
      <c r="J38" s="50" t="inlineStr">
        <is>
          <t>original</t>
        </is>
      </c>
      <c r="K38" s="50" t="inlineStr">
        <is>
          <t>todas</t>
        </is>
      </c>
      <c r="L38" s="50" t="inlineStr">
        <is>
          <t>walk-forward</t>
        </is>
      </c>
      <c r="M38" s="49" t="n"/>
      <c r="N38" s="49" t="n"/>
      <c r="O38" s="51">
        <f>CONFIG_REFERENCIA!$E$3</f>
        <v/>
      </c>
      <c r="P38" s="51">
        <f>CONFIG_REFERENCIA!$E$4</f>
        <v/>
      </c>
      <c r="Q38" s="51">
        <f>CONFIG_REFERENCIA!$E$5</f>
        <v/>
      </c>
      <c r="R38" s="51">
        <f>CONFIG_REFERENCIA!$E$6</f>
        <v/>
      </c>
      <c r="S38" s="52">
        <f>IF($F38="","",INDEX(CONFIG_REFERENCIA!$B$3:$B$6,MATCH($F38,CONFIG_REFERENCIA!$A$3:$A$6,0)))</f>
        <v/>
      </c>
      <c r="T38" s="53" t="n"/>
      <c r="U38" s="53" t="n"/>
      <c r="V38" s="53" t="n"/>
      <c r="W38" s="53" t="n"/>
      <c r="X38" s="54">
        <f>IF(COUNTA($T38:$W38)&lt;4,"",$S38*($O38*$T38+$P38*$U38+$Q38*$V38+$R38*$W38))</f>
        <v/>
      </c>
      <c r="Y38" s="53" t="n"/>
      <c r="Z38" s="53" t="n"/>
      <c r="AA38" s="55" t="n"/>
      <c r="AB38" s="55" t="n"/>
      <c r="AC38" s="49" t="inlineStr">
        <is>
          <t>pendiente</t>
        </is>
      </c>
      <c r="AD38" s="49" t="n"/>
      <c r="AE38" s="49" t="n"/>
      <c r="AF38" s="49" t="n"/>
      <c r="AG38" s="49" t="n"/>
      <c r="AH38" s="49" t="n"/>
      <c r="AI38" s="49" t="n"/>
      <c r="AJ38" s="49" t="n"/>
      <c r="AK38" s="49" t="n"/>
      <c r="AL38" s="49" t="n"/>
      <c r="AM38" s="49" t="n"/>
      <c r="AN38" s="49" t="n"/>
      <c r="AO38" s="49" t="n"/>
      <c r="AP38" s="49" t="n"/>
      <c r="AQ38" s="49" t="n"/>
      <c r="AR38" s="49" t="n"/>
      <c r="AS38" s="49" t="n"/>
      <c r="AT38" s="49" t="n"/>
      <c r="AU38" s="49" t="n"/>
      <c r="AV38" s="49" t="n"/>
      <c r="AW38" s="49" t="n"/>
      <c r="AX38" s="49" t="n"/>
      <c r="AY38" s="49" t="n"/>
    </row>
    <row r="39" ht="26.5" customHeight="1" s="27">
      <c r="A39" s="49" t="n"/>
      <c r="B39" s="49" t="inlineStr">
        <is>
          <t>E10_v1</t>
        </is>
      </c>
      <c r="C39" s="50" t="inlineStr">
        <is>
          <t>E10</t>
        </is>
      </c>
      <c r="D39" s="50" t="inlineStr">
        <is>
          <t>ensemble</t>
        </is>
      </c>
      <c r="E39" s="50" t="inlineStr">
        <is>
          <t>Mejor modelo por horizonte + ensemble</t>
        </is>
      </c>
      <c r="F39" s="50" t="n">
        <v>2</v>
      </c>
      <c r="G39" s="49" t="n"/>
      <c r="H39" s="50" t="inlineStr">
        <is>
          <t>ganadores por horizonte</t>
        </is>
      </c>
      <c r="I39" s="50" t="inlineStr">
        <is>
          <t>senales complementarias</t>
        </is>
      </c>
      <c r="J39" s="50" t="inlineStr">
        <is>
          <t>original</t>
        </is>
      </c>
      <c r="K39" s="50" t="inlineStr">
        <is>
          <t>todas</t>
        </is>
      </c>
      <c r="L39" s="50" t="inlineStr">
        <is>
          <t>walk-forward</t>
        </is>
      </c>
      <c r="M39" s="49" t="n"/>
      <c r="N39" s="49" t="n"/>
      <c r="O39" s="51">
        <f>CONFIG_REFERENCIA!$E$3</f>
        <v/>
      </c>
      <c r="P39" s="51">
        <f>CONFIG_REFERENCIA!$E$4</f>
        <v/>
      </c>
      <c r="Q39" s="51">
        <f>CONFIG_REFERENCIA!$E$5</f>
        <v/>
      </c>
      <c r="R39" s="51">
        <f>CONFIG_REFERENCIA!$E$6</f>
        <v/>
      </c>
      <c r="S39" s="52">
        <f>IF($F39="","",INDEX(CONFIG_REFERENCIA!$B$3:$B$6,MATCH($F39,CONFIG_REFERENCIA!$A$3:$A$6,0)))</f>
        <v/>
      </c>
      <c r="T39" s="53" t="n"/>
      <c r="U39" s="53" t="n"/>
      <c r="V39" s="53" t="n"/>
      <c r="W39" s="53" t="n"/>
      <c r="X39" s="54">
        <f>IF(COUNTA($T39:$W39)&lt;4,"",$S39*($O39*$T39+$P39*$U39+$Q39*$V39+$R39*$W39))</f>
        <v/>
      </c>
      <c r="Y39" s="53" t="n"/>
      <c r="Z39" s="53" t="n"/>
      <c r="AA39" s="55" t="n"/>
      <c r="AB39" s="55" t="n"/>
      <c r="AC39" s="49" t="inlineStr">
        <is>
          <t>pendiente</t>
        </is>
      </c>
      <c r="AD39" s="49" t="n"/>
      <c r="AE39" s="49" t="n"/>
      <c r="AF39" s="49" t="n"/>
      <c r="AG39" s="49" t="n"/>
      <c r="AH39" s="49" t="n"/>
      <c r="AI39" s="49" t="n"/>
      <c r="AJ39" s="49" t="n"/>
      <c r="AK39" s="49" t="n"/>
      <c r="AL39" s="49" t="n"/>
      <c r="AM39" s="49" t="n"/>
      <c r="AN39" s="49" t="n"/>
      <c r="AO39" s="49" t="n"/>
      <c r="AP39" s="49" t="n"/>
      <c r="AQ39" s="49" t="n"/>
      <c r="AR39" s="49" t="n"/>
      <c r="AS39" s="49" t="n"/>
      <c r="AT39" s="49" t="n"/>
      <c r="AU39" s="49" t="n"/>
      <c r="AV39" s="49" t="n"/>
      <c r="AW39" s="49" t="n"/>
      <c r="AX39" s="49" t="n"/>
      <c r="AY39" s="49" t="n"/>
    </row>
    <row r="40" ht="26.5" customHeight="1" s="27">
      <c r="A40" s="49" t="n"/>
      <c r="B40" s="49" t="inlineStr">
        <is>
          <t>E10_v1</t>
        </is>
      </c>
      <c r="C40" s="50" t="inlineStr">
        <is>
          <t>E10</t>
        </is>
      </c>
      <c r="D40" s="50" t="inlineStr">
        <is>
          <t>ensemble</t>
        </is>
      </c>
      <c r="E40" s="50" t="inlineStr">
        <is>
          <t>Mejor modelo por horizonte + ensemble</t>
        </is>
      </c>
      <c r="F40" s="50" t="n">
        <v>3</v>
      </c>
      <c r="G40" s="49" t="n"/>
      <c r="H40" s="50" t="inlineStr">
        <is>
          <t>ganadores por horizonte</t>
        </is>
      </c>
      <c r="I40" s="50" t="inlineStr">
        <is>
          <t>senales complementarias</t>
        </is>
      </c>
      <c r="J40" s="50" t="inlineStr">
        <is>
          <t>original</t>
        </is>
      </c>
      <c r="K40" s="50" t="inlineStr">
        <is>
          <t>todas</t>
        </is>
      </c>
      <c r="L40" s="50" t="inlineStr">
        <is>
          <t>walk-forward</t>
        </is>
      </c>
      <c r="M40" s="49" t="n"/>
      <c r="N40" s="49" t="n"/>
      <c r="O40" s="51">
        <f>CONFIG_REFERENCIA!$E$3</f>
        <v/>
      </c>
      <c r="P40" s="51">
        <f>CONFIG_REFERENCIA!$E$4</f>
        <v/>
      </c>
      <c r="Q40" s="51">
        <f>CONFIG_REFERENCIA!$E$5</f>
        <v/>
      </c>
      <c r="R40" s="51">
        <f>CONFIG_REFERENCIA!$E$6</f>
        <v/>
      </c>
      <c r="S40" s="52">
        <f>IF($F40="","",INDEX(CONFIG_REFERENCIA!$B$3:$B$6,MATCH($F40,CONFIG_REFERENCIA!$A$3:$A$6,0)))</f>
        <v/>
      </c>
      <c r="T40" s="53" t="n"/>
      <c r="U40" s="53" t="n"/>
      <c r="V40" s="53" t="n"/>
      <c r="W40" s="53" t="n"/>
      <c r="X40" s="54">
        <f>IF(COUNTA($T40:$W40)&lt;4,"",$S40*($O40*$T40+$P40*$U40+$Q40*$V40+$R40*$W40))</f>
        <v/>
      </c>
      <c r="Y40" s="53" t="n"/>
      <c r="Z40" s="53" t="n"/>
      <c r="AA40" s="55" t="n"/>
      <c r="AB40" s="55" t="n"/>
      <c r="AC40" s="49" t="inlineStr">
        <is>
          <t>pendiente</t>
        </is>
      </c>
      <c r="AD40" s="49" t="n"/>
      <c r="AE40" s="49" t="n"/>
      <c r="AF40" s="49" t="n"/>
      <c r="AG40" s="49" t="n"/>
      <c r="AH40" s="49" t="n"/>
      <c r="AI40" s="49" t="n"/>
      <c r="AJ40" s="49" t="n"/>
      <c r="AK40" s="49" t="n"/>
      <c r="AL40" s="49" t="n"/>
      <c r="AM40" s="49" t="n"/>
      <c r="AN40" s="49" t="n"/>
      <c r="AO40" s="49" t="n"/>
      <c r="AP40" s="49" t="n"/>
      <c r="AQ40" s="49" t="n"/>
      <c r="AR40" s="49" t="n"/>
      <c r="AS40" s="49" t="n"/>
      <c r="AT40" s="49" t="n"/>
      <c r="AU40" s="49" t="n"/>
      <c r="AV40" s="49" t="n"/>
      <c r="AW40" s="49" t="n"/>
      <c r="AX40" s="49" t="n"/>
      <c r="AY40" s="49" t="n"/>
    </row>
    <row r="41" ht="26.5" customHeight="1" s="27">
      <c r="A41" s="49" t="n"/>
      <c r="B41" s="49" t="inlineStr">
        <is>
          <t>E10_v1</t>
        </is>
      </c>
      <c r="C41" s="50" t="inlineStr">
        <is>
          <t>E10</t>
        </is>
      </c>
      <c r="D41" s="50" t="inlineStr">
        <is>
          <t>ensemble</t>
        </is>
      </c>
      <c r="E41" s="50" t="inlineStr">
        <is>
          <t>Mejor modelo por horizonte + ensemble</t>
        </is>
      </c>
      <c r="F41" s="50" t="n">
        <v>4</v>
      </c>
      <c r="G41" s="49" t="n"/>
      <c r="H41" s="50" t="inlineStr">
        <is>
          <t>ganadores por horizonte</t>
        </is>
      </c>
      <c r="I41" s="50" t="inlineStr">
        <is>
          <t>senales complementarias</t>
        </is>
      </c>
      <c r="J41" s="50" t="inlineStr">
        <is>
          <t>original</t>
        </is>
      </c>
      <c r="K41" s="50" t="inlineStr">
        <is>
          <t>todas</t>
        </is>
      </c>
      <c r="L41" s="50" t="inlineStr">
        <is>
          <t>walk-forward</t>
        </is>
      </c>
      <c r="M41" s="49" t="n"/>
      <c r="N41" s="49" t="n"/>
      <c r="O41" s="51">
        <f>CONFIG_REFERENCIA!$E$3</f>
        <v/>
      </c>
      <c r="P41" s="51">
        <f>CONFIG_REFERENCIA!$E$4</f>
        <v/>
      </c>
      <c r="Q41" s="51">
        <f>CONFIG_REFERENCIA!$E$5</f>
        <v/>
      </c>
      <c r="R41" s="51">
        <f>CONFIG_REFERENCIA!$E$6</f>
        <v/>
      </c>
      <c r="S41" s="52">
        <f>IF($F41="","",INDEX(CONFIG_REFERENCIA!$B$3:$B$6,MATCH($F41,CONFIG_REFERENCIA!$A$3:$A$6,0)))</f>
        <v/>
      </c>
      <c r="T41" s="53" t="n"/>
      <c r="U41" s="53" t="n"/>
      <c r="V41" s="53" t="n"/>
      <c r="W41" s="53" t="n"/>
      <c r="X41" s="54">
        <f>IF(COUNTA($T41:$W41)&lt;4,"",$S41*($O41*$T41+$P41*$U41+$Q41*$V41+$R41*$W41))</f>
        <v/>
      </c>
      <c r="Y41" s="53" t="n"/>
      <c r="Z41" s="53" t="n"/>
      <c r="AA41" s="55" t="n"/>
      <c r="AB41" s="55" t="n"/>
      <c r="AC41" s="49" t="inlineStr">
        <is>
          <t>pendiente</t>
        </is>
      </c>
      <c r="AD41" s="49" t="n"/>
      <c r="AE41" s="49" t="n"/>
      <c r="AF41" s="49" t="n"/>
      <c r="AG41" s="49" t="n"/>
      <c r="AH41" s="49" t="n"/>
      <c r="AI41" s="49" t="n"/>
      <c r="AJ41" s="49" t="n"/>
      <c r="AK41" s="49" t="n"/>
      <c r="AL41" s="49" t="n"/>
      <c r="AM41" s="49" t="n"/>
      <c r="AN41" s="49" t="n"/>
      <c r="AO41" s="49" t="n"/>
      <c r="AP41" s="49" t="n"/>
      <c r="AQ41" s="49" t="n"/>
      <c r="AR41" s="49" t="n"/>
      <c r="AS41" s="49" t="n"/>
      <c r="AT41" s="49" t="n"/>
      <c r="AU41" s="49" t="n"/>
      <c r="AV41" s="49" t="n"/>
      <c r="AW41" s="49" t="n"/>
      <c r="AX41" s="49" t="n"/>
      <c r="AY41" s="49" t="n"/>
    </row>
    <row r="42" ht="15" customHeight="1" s="27">
      <c r="A42" s="49" t="n"/>
      <c r="B42" s="49" t="n"/>
      <c r="C42" s="49" t="n"/>
      <c r="D42" s="49" t="n"/>
      <c r="E42" s="49" t="n"/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51">
        <f>CONFIG_REFERENCIA!$E$3</f>
        <v/>
      </c>
      <c r="P42" s="51">
        <f>CONFIG_REFERENCIA!$E$4</f>
        <v/>
      </c>
      <c r="Q42" s="51">
        <f>CONFIG_REFERENCIA!$E$5</f>
        <v/>
      </c>
      <c r="R42" s="51">
        <f>CONFIG_REFERENCIA!$E$6</f>
        <v/>
      </c>
      <c r="S42" s="52">
        <f>IF($F42="","",INDEX(CONFIG_REFERENCIA!$B$3:$B$6,MATCH($F42,CONFIG_REFERENCIA!$A$3:$A$6,0)))</f>
        <v/>
      </c>
      <c r="T42" s="53" t="n"/>
      <c r="U42" s="53" t="n"/>
      <c r="V42" s="53" t="n"/>
      <c r="W42" s="53" t="n"/>
      <c r="X42" s="54">
        <f>IF(COUNTA($T42:$W42)&lt;4,"",$S42*($O42*$T42+$P42*$U42+$Q42*$V42+$R42*$W42))</f>
        <v/>
      </c>
      <c r="Y42" s="53" t="n"/>
      <c r="Z42" s="53" t="n"/>
      <c r="AA42" s="55" t="n"/>
      <c r="AB42" s="55" t="n"/>
      <c r="AC42" s="49" t="n"/>
      <c r="AD42" s="49" t="n"/>
      <c r="AE42" s="49" t="n"/>
      <c r="AF42" s="49" t="n"/>
      <c r="AG42" s="49" t="n"/>
      <c r="AH42" s="49" t="n"/>
      <c r="AI42" s="49" t="n"/>
      <c r="AJ42" s="49" t="n"/>
      <c r="AK42" s="49" t="n"/>
      <c r="AL42" s="49" t="n"/>
      <c r="AM42" s="49" t="n"/>
      <c r="AN42" s="49" t="n"/>
      <c r="AO42" s="49" t="n"/>
      <c r="AP42" s="49" t="n"/>
      <c r="AQ42" s="49" t="n"/>
      <c r="AR42" s="49" t="n"/>
      <c r="AS42" s="49" t="n"/>
      <c r="AT42" s="49" t="n"/>
      <c r="AU42" s="49" t="n"/>
      <c r="AV42" s="49" t="n"/>
      <c r="AW42" s="49" t="n"/>
      <c r="AX42" s="49" t="n"/>
      <c r="AY42" s="49" t="n"/>
    </row>
    <row r="43" ht="15" customHeight="1" s="27">
      <c r="A43" s="49" t="n"/>
      <c r="B43" s="49" t="n"/>
      <c r="C43" s="49" t="n"/>
      <c r="D43" s="49" t="n"/>
      <c r="E43" s="49" t="n"/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51">
        <f>CONFIG_REFERENCIA!$E$3</f>
        <v/>
      </c>
      <c r="P43" s="51">
        <f>CONFIG_REFERENCIA!$E$4</f>
        <v/>
      </c>
      <c r="Q43" s="51">
        <f>CONFIG_REFERENCIA!$E$5</f>
        <v/>
      </c>
      <c r="R43" s="51">
        <f>CONFIG_REFERENCIA!$E$6</f>
        <v/>
      </c>
      <c r="S43" s="52">
        <f>IF($F43="","",INDEX(CONFIG_REFERENCIA!$B$3:$B$6,MATCH($F43,CONFIG_REFERENCIA!$A$3:$A$6,0)))</f>
        <v/>
      </c>
      <c r="T43" s="53" t="n"/>
      <c r="U43" s="53" t="n"/>
      <c r="V43" s="53" t="n"/>
      <c r="W43" s="53" t="n"/>
      <c r="X43" s="54">
        <f>IF(COUNTA($T43:$W43)&lt;4,"",$S43*($O43*$T43+$P43*$U43+$Q43*$V43+$R43*$W43))</f>
        <v/>
      </c>
      <c r="Y43" s="53" t="n"/>
      <c r="Z43" s="53" t="n"/>
      <c r="AA43" s="55" t="n"/>
      <c r="AB43" s="55" t="n"/>
      <c r="AC43" s="49" t="n"/>
      <c r="AD43" s="49" t="n"/>
      <c r="AE43" s="49" t="n"/>
      <c r="AF43" s="49" t="n"/>
      <c r="AG43" s="49" t="n"/>
      <c r="AH43" s="49" t="n"/>
      <c r="AI43" s="49" t="n"/>
      <c r="AJ43" s="49" t="n"/>
      <c r="AK43" s="49" t="n"/>
      <c r="AL43" s="49" t="n"/>
      <c r="AM43" s="49" t="n"/>
      <c r="AN43" s="49" t="n"/>
      <c r="AO43" s="49" t="n"/>
      <c r="AP43" s="49" t="n"/>
      <c r="AQ43" s="49" t="n"/>
      <c r="AR43" s="49" t="n"/>
      <c r="AS43" s="49" t="n"/>
      <c r="AT43" s="49" t="n"/>
      <c r="AU43" s="49" t="n"/>
      <c r="AV43" s="49" t="n"/>
      <c r="AW43" s="49" t="n"/>
      <c r="AX43" s="49" t="n"/>
      <c r="AY43" s="49" t="n"/>
    </row>
    <row r="44" ht="15" customHeight="1" s="27">
      <c r="A44" s="49" t="n"/>
      <c r="B44" s="49" t="n"/>
      <c r="C44" s="49" t="n"/>
      <c r="D44" s="49" t="n"/>
      <c r="E44" s="49" t="n"/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51">
        <f>CONFIG_REFERENCIA!$E$3</f>
        <v/>
      </c>
      <c r="P44" s="51">
        <f>CONFIG_REFERENCIA!$E$4</f>
        <v/>
      </c>
      <c r="Q44" s="51">
        <f>CONFIG_REFERENCIA!$E$5</f>
        <v/>
      </c>
      <c r="R44" s="51">
        <f>CONFIG_REFERENCIA!$E$6</f>
        <v/>
      </c>
      <c r="S44" s="52">
        <f>IF($F44="","",INDEX(CONFIG_REFERENCIA!$B$3:$B$6,MATCH($F44,CONFIG_REFERENCIA!$A$3:$A$6,0)))</f>
        <v/>
      </c>
      <c r="T44" s="53" t="n"/>
      <c r="U44" s="53" t="n"/>
      <c r="V44" s="53" t="n"/>
      <c r="W44" s="53" t="n"/>
      <c r="X44" s="54">
        <f>IF(COUNTA($T44:$W44)&lt;4,"",$S44*($O44*$T44+$P44*$U44+$Q44*$V44+$R44*$W44))</f>
        <v/>
      </c>
      <c r="Y44" s="53" t="n"/>
      <c r="Z44" s="53" t="n"/>
      <c r="AA44" s="55" t="n"/>
      <c r="AB44" s="55" t="n"/>
      <c r="AC44" s="49" t="n"/>
      <c r="AD44" s="49" t="n"/>
      <c r="AE44" s="49" t="n"/>
      <c r="AF44" s="49" t="n"/>
      <c r="AG44" s="49" t="n"/>
      <c r="AH44" s="49" t="n"/>
      <c r="AI44" s="49" t="n"/>
      <c r="AJ44" s="49" t="n"/>
      <c r="AK44" s="49" t="n"/>
      <c r="AL44" s="49" t="n"/>
      <c r="AM44" s="49" t="n"/>
      <c r="AN44" s="49" t="n"/>
      <c r="AO44" s="49" t="n"/>
      <c r="AP44" s="49" t="n"/>
      <c r="AQ44" s="49" t="n"/>
      <c r="AR44" s="49" t="n"/>
      <c r="AS44" s="49" t="n"/>
      <c r="AT44" s="49" t="n"/>
      <c r="AU44" s="49" t="n"/>
      <c r="AV44" s="49" t="n"/>
      <c r="AW44" s="49" t="n"/>
      <c r="AX44" s="49" t="n"/>
      <c r="AY44" s="49" t="n"/>
    </row>
    <row r="45" ht="15" customHeight="1" s="27">
      <c r="A45" s="49" t="n"/>
      <c r="B45" s="49" t="n"/>
      <c r="C45" s="49" t="n"/>
      <c r="D45" s="49" t="n"/>
      <c r="E45" s="49" t="n"/>
      <c r="F45" s="49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51">
        <f>CONFIG_REFERENCIA!$E$3</f>
        <v/>
      </c>
      <c r="P45" s="51">
        <f>CONFIG_REFERENCIA!$E$4</f>
        <v/>
      </c>
      <c r="Q45" s="51">
        <f>CONFIG_REFERENCIA!$E$5</f>
        <v/>
      </c>
      <c r="R45" s="51">
        <f>CONFIG_REFERENCIA!$E$6</f>
        <v/>
      </c>
      <c r="S45" s="52">
        <f>IF($F45="","",INDEX(CONFIG_REFERENCIA!$B$3:$B$6,MATCH($F45,CONFIG_REFERENCIA!$A$3:$A$6,0)))</f>
        <v/>
      </c>
      <c r="T45" s="53" t="n"/>
      <c r="U45" s="53" t="n"/>
      <c r="V45" s="53" t="n"/>
      <c r="W45" s="53" t="n"/>
      <c r="X45" s="54">
        <f>IF(COUNTA($T45:$W45)&lt;4,"",$S45*($O45*$T45+$P45*$U45+$Q45*$V45+$R45*$W45))</f>
        <v/>
      </c>
      <c r="Y45" s="53" t="n"/>
      <c r="Z45" s="53" t="n"/>
      <c r="AA45" s="55" t="n"/>
      <c r="AB45" s="55" t="n"/>
      <c r="AC45" s="49" t="n"/>
      <c r="AD45" s="49" t="n"/>
      <c r="AE45" s="49" t="n"/>
      <c r="AF45" s="49" t="n"/>
      <c r="AG45" s="49" t="n"/>
      <c r="AH45" s="49" t="n"/>
      <c r="AI45" s="49" t="n"/>
      <c r="AJ45" s="49" t="n"/>
      <c r="AK45" s="49" t="n"/>
      <c r="AL45" s="49" t="n"/>
      <c r="AM45" s="49" t="n"/>
      <c r="AN45" s="49" t="n"/>
      <c r="AO45" s="49" t="n"/>
      <c r="AP45" s="49" t="n"/>
      <c r="AQ45" s="49" t="n"/>
      <c r="AR45" s="49" t="n"/>
      <c r="AS45" s="49" t="n"/>
      <c r="AT45" s="49" t="n"/>
      <c r="AU45" s="49" t="n"/>
      <c r="AV45" s="49" t="n"/>
      <c r="AW45" s="49" t="n"/>
      <c r="AX45" s="49" t="n"/>
      <c r="AY45" s="49" t="n"/>
    </row>
    <row r="46" ht="15" customHeight="1" s="27">
      <c r="A46" s="49" t="n"/>
      <c r="B46" s="49" t="n"/>
      <c r="C46" s="49" t="n"/>
      <c r="D46" s="49" t="n"/>
      <c r="E46" s="49" t="n"/>
      <c r="F46" s="49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51">
        <f>CONFIG_REFERENCIA!$E$3</f>
        <v/>
      </c>
      <c r="P46" s="51">
        <f>CONFIG_REFERENCIA!$E$4</f>
        <v/>
      </c>
      <c r="Q46" s="51">
        <f>CONFIG_REFERENCIA!$E$5</f>
        <v/>
      </c>
      <c r="R46" s="51">
        <f>CONFIG_REFERENCIA!$E$6</f>
        <v/>
      </c>
      <c r="S46" s="52">
        <f>IF($F46="","",INDEX(CONFIG_REFERENCIA!$B$3:$B$6,MATCH($F46,CONFIG_REFERENCIA!$A$3:$A$6,0)))</f>
        <v/>
      </c>
      <c r="T46" s="53" t="n"/>
      <c r="U46" s="53" t="n"/>
      <c r="V46" s="53" t="n"/>
      <c r="W46" s="53" t="n"/>
      <c r="X46" s="54">
        <f>IF(COUNTA($T46:$W46)&lt;4,"",$S46*($O46*$T46+$P46*$U46+$Q46*$V46+$R46*$W46))</f>
        <v/>
      </c>
      <c r="Y46" s="53" t="n"/>
      <c r="Z46" s="53" t="n"/>
      <c r="AA46" s="55" t="n"/>
      <c r="AB46" s="55" t="n"/>
      <c r="AC46" s="49" t="n"/>
      <c r="AD46" s="49" t="n"/>
      <c r="AE46" s="49" t="n"/>
      <c r="AF46" s="49" t="n"/>
      <c r="AG46" s="49" t="n"/>
      <c r="AH46" s="49" t="n"/>
      <c r="AI46" s="49" t="n"/>
      <c r="AJ46" s="49" t="n"/>
      <c r="AK46" s="49" t="n"/>
      <c r="AL46" s="49" t="n"/>
      <c r="AM46" s="49" t="n"/>
      <c r="AN46" s="49" t="n"/>
      <c r="AO46" s="49" t="n"/>
      <c r="AP46" s="49" t="n"/>
      <c r="AQ46" s="49" t="n"/>
      <c r="AR46" s="49" t="n"/>
      <c r="AS46" s="49" t="n"/>
      <c r="AT46" s="49" t="n"/>
      <c r="AU46" s="49" t="n"/>
      <c r="AV46" s="49" t="n"/>
      <c r="AW46" s="49" t="n"/>
      <c r="AX46" s="49" t="n"/>
      <c r="AY46" s="49" t="n"/>
    </row>
    <row r="47" ht="15" customHeight="1" s="27">
      <c r="A47" s="49" t="n"/>
      <c r="B47" s="49" t="n"/>
      <c r="C47" s="49" t="n"/>
      <c r="D47" s="49" t="n"/>
      <c r="E47" s="49" t="n"/>
      <c r="F47" s="49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51">
        <f>CONFIG_REFERENCIA!$E$3</f>
        <v/>
      </c>
      <c r="P47" s="51">
        <f>CONFIG_REFERENCIA!$E$4</f>
        <v/>
      </c>
      <c r="Q47" s="51">
        <f>CONFIG_REFERENCIA!$E$5</f>
        <v/>
      </c>
      <c r="R47" s="51">
        <f>CONFIG_REFERENCIA!$E$6</f>
        <v/>
      </c>
      <c r="S47" s="52">
        <f>IF($F47="","",INDEX(CONFIG_REFERENCIA!$B$3:$B$6,MATCH($F47,CONFIG_REFERENCIA!$A$3:$A$6,0)))</f>
        <v/>
      </c>
      <c r="T47" s="53" t="n"/>
      <c r="U47" s="53" t="n"/>
      <c r="V47" s="53" t="n"/>
      <c r="W47" s="53" t="n"/>
      <c r="X47" s="54">
        <f>IF(COUNTA($T47:$W47)&lt;4,"",$S47*($O47*$T47+$P47*$U47+$Q47*$V47+$R47*$W47))</f>
        <v/>
      </c>
      <c r="Y47" s="53" t="n"/>
      <c r="Z47" s="53" t="n"/>
      <c r="AA47" s="55" t="n"/>
      <c r="AB47" s="55" t="n"/>
      <c r="AC47" s="49" t="n"/>
      <c r="AD47" s="49" t="n"/>
      <c r="AE47" s="49" t="n"/>
      <c r="AF47" s="49" t="n"/>
      <c r="AG47" s="49" t="n"/>
      <c r="AH47" s="49" t="n"/>
      <c r="AI47" s="49" t="n"/>
      <c r="AJ47" s="49" t="n"/>
      <c r="AK47" s="49" t="n"/>
      <c r="AL47" s="49" t="n"/>
      <c r="AM47" s="49" t="n"/>
      <c r="AN47" s="49" t="n"/>
      <c r="AO47" s="49" t="n"/>
      <c r="AP47" s="49" t="n"/>
      <c r="AQ47" s="49" t="n"/>
      <c r="AR47" s="49" t="n"/>
      <c r="AS47" s="49" t="n"/>
      <c r="AT47" s="49" t="n"/>
      <c r="AU47" s="49" t="n"/>
      <c r="AV47" s="49" t="n"/>
      <c r="AW47" s="49" t="n"/>
      <c r="AX47" s="49" t="n"/>
      <c r="AY47" s="49" t="n"/>
    </row>
    <row r="48" ht="15" customHeight="1" s="27">
      <c r="A48" s="49" t="n"/>
      <c r="B48" s="49" t="n"/>
      <c r="C48" s="49" t="n"/>
      <c r="D48" s="49" t="n"/>
      <c r="E48" s="49" t="n"/>
      <c r="F48" s="49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51">
        <f>CONFIG_REFERENCIA!$E$3</f>
        <v/>
      </c>
      <c r="P48" s="51">
        <f>CONFIG_REFERENCIA!$E$4</f>
        <v/>
      </c>
      <c r="Q48" s="51">
        <f>CONFIG_REFERENCIA!$E$5</f>
        <v/>
      </c>
      <c r="R48" s="51">
        <f>CONFIG_REFERENCIA!$E$6</f>
        <v/>
      </c>
      <c r="S48" s="52">
        <f>IF($F48="","",INDEX(CONFIG_REFERENCIA!$B$3:$B$6,MATCH($F48,CONFIG_REFERENCIA!$A$3:$A$6,0)))</f>
        <v/>
      </c>
      <c r="T48" s="53" t="n"/>
      <c r="U48" s="53" t="n"/>
      <c r="V48" s="53" t="n"/>
      <c r="W48" s="53" t="n"/>
      <c r="X48" s="54">
        <f>IF(COUNTA($T48:$W48)&lt;4,"",$S48*($O48*$T48+$P48*$U48+$Q48*$V48+$R48*$W48))</f>
        <v/>
      </c>
      <c r="Y48" s="53" t="n"/>
      <c r="Z48" s="53" t="n"/>
      <c r="AA48" s="55" t="n"/>
      <c r="AB48" s="55" t="n"/>
      <c r="AC48" s="49" t="n"/>
      <c r="AD48" s="49" t="n"/>
      <c r="AE48" s="49" t="n"/>
      <c r="AF48" s="49" t="n"/>
      <c r="AG48" s="49" t="n"/>
      <c r="AH48" s="49" t="n"/>
      <c r="AI48" s="49" t="n"/>
      <c r="AJ48" s="49" t="n"/>
      <c r="AK48" s="49" t="n"/>
      <c r="AL48" s="49" t="n"/>
      <c r="AM48" s="49" t="n"/>
      <c r="AN48" s="49" t="n"/>
      <c r="AO48" s="49" t="n"/>
      <c r="AP48" s="49" t="n"/>
      <c r="AQ48" s="49" t="n"/>
      <c r="AR48" s="49" t="n"/>
      <c r="AS48" s="49" t="n"/>
      <c r="AT48" s="49" t="n"/>
      <c r="AU48" s="49" t="n"/>
      <c r="AV48" s="49" t="n"/>
      <c r="AW48" s="49" t="n"/>
      <c r="AX48" s="49" t="n"/>
      <c r="AY48" s="49" t="n"/>
    </row>
    <row r="49" ht="15" customHeight="1" s="27">
      <c r="A49" s="49" t="n"/>
      <c r="B49" s="49" t="n"/>
      <c r="C49" s="49" t="n"/>
      <c r="D49" s="49" t="n"/>
      <c r="E49" s="49" t="n"/>
      <c r="F49" s="49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51">
        <f>CONFIG_REFERENCIA!$E$3</f>
        <v/>
      </c>
      <c r="P49" s="51">
        <f>CONFIG_REFERENCIA!$E$4</f>
        <v/>
      </c>
      <c r="Q49" s="51">
        <f>CONFIG_REFERENCIA!$E$5</f>
        <v/>
      </c>
      <c r="R49" s="51">
        <f>CONFIG_REFERENCIA!$E$6</f>
        <v/>
      </c>
      <c r="S49" s="52">
        <f>IF($F49="","",INDEX(CONFIG_REFERENCIA!$B$3:$B$6,MATCH($F49,CONFIG_REFERENCIA!$A$3:$A$6,0)))</f>
        <v/>
      </c>
      <c r="T49" s="53" t="n"/>
      <c r="U49" s="53" t="n"/>
      <c r="V49" s="53" t="n"/>
      <c r="W49" s="53" t="n"/>
      <c r="X49" s="54">
        <f>IF(COUNTA($T49:$W49)&lt;4,"",$S49*($O49*$T49+$P49*$U49+$Q49*$V49+$R49*$W49))</f>
        <v/>
      </c>
      <c r="Y49" s="53" t="n"/>
      <c r="Z49" s="53" t="n"/>
      <c r="AA49" s="55" t="n"/>
      <c r="AB49" s="55" t="n"/>
      <c r="AC49" s="49" t="n"/>
      <c r="AD49" s="49" t="n"/>
      <c r="AE49" s="49" t="n"/>
      <c r="AF49" s="49" t="n"/>
      <c r="AG49" s="49" t="n"/>
      <c r="AH49" s="49" t="n"/>
      <c r="AI49" s="49" t="n"/>
      <c r="AJ49" s="49" t="n"/>
      <c r="AK49" s="49" t="n"/>
      <c r="AL49" s="49" t="n"/>
      <c r="AM49" s="49" t="n"/>
      <c r="AN49" s="49" t="n"/>
      <c r="AO49" s="49" t="n"/>
      <c r="AP49" s="49" t="n"/>
      <c r="AQ49" s="49" t="n"/>
      <c r="AR49" s="49" t="n"/>
      <c r="AS49" s="49" t="n"/>
      <c r="AT49" s="49" t="n"/>
      <c r="AU49" s="49" t="n"/>
      <c r="AV49" s="49" t="n"/>
      <c r="AW49" s="49" t="n"/>
      <c r="AX49" s="49" t="n"/>
      <c r="AY49" s="49" t="n"/>
    </row>
    <row r="50" ht="15" customHeight="1" s="27">
      <c r="A50" s="49" t="n"/>
      <c r="B50" s="49" t="n"/>
      <c r="C50" s="49" t="n"/>
      <c r="D50" s="49" t="n"/>
      <c r="E50" s="49" t="n"/>
      <c r="F50" s="49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51">
        <f>CONFIG_REFERENCIA!$E$3</f>
        <v/>
      </c>
      <c r="P50" s="51">
        <f>CONFIG_REFERENCIA!$E$4</f>
        <v/>
      </c>
      <c r="Q50" s="51">
        <f>CONFIG_REFERENCIA!$E$5</f>
        <v/>
      </c>
      <c r="R50" s="51">
        <f>CONFIG_REFERENCIA!$E$6</f>
        <v/>
      </c>
      <c r="S50" s="52">
        <f>IF($F50="","",INDEX(CONFIG_REFERENCIA!$B$3:$B$6,MATCH($F50,CONFIG_REFERENCIA!$A$3:$A$6,0)))</f>
        <v/>
      </c>
      <c r="T50" s="53" t="n"/>
      <c r="U50" s="53" t="n"/>
      <c r="V50" s="53" t="n"/>
      <c r="W50" s="53" t="n"/>
      <c r="X50" s="54">
        <f>IF(COUNTA($T50:$W50)&lt;4,"",$S50*($O50*$T50+$P50*$U50+$Q50*$V50+$R50*$W50))</f>
        <v/>
      </c>
      <c r="Y50" s="53" t="n"/>
      <c r="Z50" s="53" t="n"/>
      <c r="AA50" s="55" t="n"/>
      <c r="AB50" s="55" t="n"/>
      <c r="AC50" s="49" t="n"/>
      <c r="AD50" s="49" t="n"/>
      <c r="AE50" s="49" t="n"/>
      <c r="AF50" s="49" t="n"/>
      <c r="AG50" s="49" t="n"/>
      <c r="AH50" s="49" t="n"/>
      <c r="AI50" s="49" t="n"/>
      <c r="AJ50" s="49" t="n"/>
      <c r="AK50" s="49" t="n"/>
      <c r="AL50" s="49" t="n"/>
      <c r="AM50" s="49" t="n"/>
      <c r="AN50" s="49" t="n"/>
      <c r="AO50" s="49" t="n"/>
      <c r="AP50" s="49" t="n"/>
      <c r="AQ50" s="49" t="n"/>
      <c r="AR50" s="49" t="n"/>
      <c r="AS50" s="49" t="n"/>
      <c r="AT50" s="49" t="n"/>
      <c r="AU50" s="49" t="n"/>
      <c r="AV50" s="49" t="n"/>
      <c r="AW50" s="49" t="n"/>
      <c r="AX50" s="49" t="n"/>
      <c r="AY50" s="49" t="n"/>
    </row>
    <row r="51" ht="15" customHeight="1" s="27">
      <c r="A51" s="49" t="n"/>
      <c r="B51" s="49" t="n"/>
      <c r="C51" s="49" t="n"/>
      <c r="D51" s="49" t="n"/>
      <c r="E51" s="49" t="n"/>
      <c r="F51" s="49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51">
        <f>CONFIG_REFERENCIA!$E$3</f>
        <v/>
      </c>
      <c r="P51" s="51">
        <f>CONFIG_REFERENCIA!$E$4</f>
        <v/>
      </c>
      <c r="Q51" s="51">
        <f>CONFIG_REFERENCIA!$E$5</f>
        <v/>
      </c>
      <c r="R51" s="51">
        <f>CONFIG_REFERENCIA!$E$6</f>
        <v/>
      </c>
      <c r="S51" s="52">
        <f>IF($F51="","",INDEX(CONFIG_REFERENCIA!$B$3:$B$6,MATCH($F51,CONFIG_REFERENCIA!$A$3:$A$6,0)))</f>
        <v/>
      </c>
      <c r="T51" s="53" t="n"/>
      <c r="U51" s="53" t="n"/>
      <c r="V51" s="53" t="n"/>
      <c r="W51" s="53" t="n"/>
      <c r="X51" s="54">
        <f>IF(COUNTA($T51:$W51)&lt;4,"",$S51*($O51*$T51+$P51*$U51+$Q51*$V51+$R51*$W51))</f>
        <v/>
      </c>
      <c r="Y51" s="53" t="n"/>
      <c r="Z51" s="53" t="n"/>
      <c r="AA51" s="55" t="n"/>
      <c r="AB51" s="55" t="n"/>
      <c r="AC51" s="49" t="n"/>
      <c r="AD51" s="49" t="n"/>
      <c r="AE51" s="49" t="n"/>
      <c r="AF51" s="49" t="n"/>
      <c r="AG51" s="49" t="n"/>
      <c r="AH51" s="49" t="n"/>
      <c r="AI51" s="49" t="n"/>
      <c r="AJ51" s="49" t="n"/>
      <c r="AK51" s="49" t="n"/>
      <c r="AL51" s="49" t="n"/>
      <c r="AM51" s="49" t="n"/>
      <c r="AN51" s="49" t="n"/>
      <c r="AO51" s="49" t="n"/>
      <c r="AP51" s="49" t="n"/>
      <c r="AQ51" s="49" t="n"/>
      <c r="AR51" s="49" t="n"/>
      <c r="AS51" s="49" t="n"/>
      <c r="AT51" s="49" t="n"/>
      <c r="AU51" s="49" t="n"/>
      <c r="AV51" s="49" t="n"/>
      <c r="AW51" s="49" t="n"/>
      <c r="AX51" s="49" t="n"/>
      <c r="AY51" s="49" t="n"/>
    </row>
    <row r="52" ht="15" customHeight="1" s="27">
      <c r="A52" s="49" t="n"/>
      <c r="B52" s="49" t="n"/>
      <c r="C52" s="49" t="n"/>
      <c r="D52" s="49" t="n"/>
      <c r="E52" s="49" t="n"/>
      <c r="F52" s="49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51">
        <f>CONFIG_REFERENCIA!$E$3</f>
        <v/>
      </c>
      <c r="P52" s="51">
        <f>CONFIG_REFERENCIA!$E$4</f>
        <v/>
      </c>
      <c r="Q52" s="51">
        <f>CONFIG_REFERENCIA!$E$5</f>
        <v/>
      </c>
      <c r="R52" s="51">
        <f>CONFIG_REFERENCIA!$E$6</f>
        <v/>
      </c>
      <c r="S52" s="52">
        <f>IF($F52="","",INDEX(CONFIG_REFERENCIA!$B$3:$B$6,MATCH($F52,CONFIG_REFERENCIA!$A$3:$A$6,0)))</f>
        <v/>
      </c>
      <c r="T52" s="53" t="n"/>
      <c r="U52" s="53" t="n"/>
      <c r="V52" s="53" t="n"/>
      <c r="W52" s="53" t="n"/>
      <c r="X52" s="54">
        <f>IF(COUNTA($T52:$W52)&lt;4,"",$S52*($O52*$T52+$P52*$U52+$Q52*$V52+$R52*$W52))</f>
        <v/>
      </c>
      <c r="Y52" s="53" t="n"/>
      <c r="Z52" s="53" t="n"/>
      <c r="AA52" s="55" t="n"/>
      <c r="AB52" s="55" t="n"/>
      <c r="AC52" s="49" t="n"/>
      <c r="AD52" s="49" t="n"/>
      <c r="AE52" s="49" t="n"/>
      <c r="AF52" s="49" t="n"/>
      <c r="AG52" s="49" t="n"/>
      <c r="AH52" s="49" t="n"/>
      <c r="AI52" s="49" t="n"/>
      <c r="AJ52" s="49" t="n"/>
      <c r="AK52" s="49" t="n"/>
      <c r="AL52" s="49" t="n"/>
      <c r="AM52" s="49" t="n"/>
      <c r="AN52" s="49" t="n"/>
      <c r="AO52" s="49" t="n"/>
      <c r="AP52" s="49" t="n"/>
      <c r="AQ52" s="49" t="n"/>
      <c r="AR52" s="49" t="n"/>
      <c r="AS52" s="49" t="n"/>
      <c r="AT52" s="49" t="n"/>
      <c r="AU52" s="49" t="n"/>
      <c r="AV52" s="49" t="n"/>
      <c r="AW52" s="49" t="n"/>
      <c r="AX52" s="49" t="n"/>
      <c r="AY52" s="49" t="n"/>
    </row>
    <row r="53" ht="15" customHeight="1" s="27">
      <c r="A53" s="49" t="n"/>
      <c r="B53" s="49" t="n"/>
      <c r="C53" s="49" t="n"/>
      <c r="D53" s="49" t="n"/>
      <c r="E53" s="49" t="n"/>
      <c r="F53" s="49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51">
        <f>CONFIG_REFERENCIA!$E$3</f>
        <v/>
      </c>
      <c r="P53" s="51">
        <f>CONFIG_REFERENCIA!$E$4</f>
        <v/>
      </c>
      <c r="Q53" s="51">
        <f>CONFIG_REFERENCIA!$E$5</f>
        <v/>
      </c>
      <c r="R53" s="51">
        <f>CONFIG_REFERENCIA!$E$6</f>
        <v/>
      </c>
      <c r="S53" s="52">
        <f>IF($F53="","",INDEX(CONFIG_REFERENCIA!$B$3:$B$6,MATCH($F53,CONFIG_REFERENCIA!$A$3:$A$6,0)))</f>
        <v/>
      </c>
      <c r="T53" s="53" t="n"/>
      <c r="U53" s="53" t="n"/>
      <c r="V53" s="53" t="n"/>
      <c r="W53" s="53" t="n"/>
      <c r="X53" s="54">
        <f>IF(COUNTA($T53:$W53)&lt;4,"",$S53*($O53*$T53+$P53*$U53+$Q53*$V53+$R53*$W53))</f>
        <v/>
      </c>
      <c r="Y53" s="53" t="n"/>
      <c r="Z53" s="53" t="n"/>
      <c r="AA53" s="55" t="n"/>
      <c r="AB53" s="55" t="n"/>
      <c r="AC53" s="49" t="n"/>
      <c r="AD53" s="49" t="n"/>
      <c r="AE53" s="49" t="n"/>
      <c r="AF53" s="49" t="n"/>
      <c r="AG53" s="49" t="n"/>
      <c r="AH53" s="49" t="n"/>
      <c r="AI53" s="49" t="n"/>
      <c r="AJ53" s="49" t="n"/>
      <c r="AK53" s="49" t="n"/>
      <c r="AL53" s="49" t="n"/>
      <c r="AM53" s="49" t="n"/>
      <c r="AN53" s="49" t="n"/>
      <c r="AO53" s="49" t="n"/>
      <c r="AP53" s="49" t="n"/>
      <c r="AQ53" s="49" t="n"/>
      <c r="AR53" s="49" t="n"/>
      <c r="AS53" s="49" t="n"/>
      <c r="AT53" s="49" t="n"/>
      <c r="AU53" s="49" t="n"/>
      <c r="AV53" s="49" t="n"/>
      <c r="AW53" s="49" t="n"/>
      <c r="AX53" s="49" t="n"/>
      <c r="AY53" s="49" t="n"/>
    </row>
    <row r="54" ht="15" customHeight="1" s="27">
      <c r="A54" s="49" t="n"/>
      <c r="B54" s="49" t="n"/>
      <c r="C54" s="49" t="n"/>
      <c r="D54" s="49" t="n"/>
      <c r="E54" s="49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51">
        <f>CONFIG_REFERENCIA!$E$3</f>
        <v/>
      </c>
      <c r="P54" s="51">
        <f>CONFIG_REFERENCIA!$E$4</f>
        <v/>
      </c>
      <c r="Q54" s="51">
        <f>CONFIG_REFERENCIA!$E$5</f>
        <v/>
      </c>
      <c r="R54" s="51">
        <f>CONFIG_REFERENCIA!$E$6</f>
        <v/>
      </c>
      <c r="S54" s="52">
        <f>IF($F54="","",INDEX(CONFIG_REFERENCIA!$B$3:$B$6,MATCH($F54,CONFIG_REFERENCIA!$A$3:$A$6,0)))</f>
        <v/>
      </c>
      <c r="T54" s="53" t="n"/>
      <c r="U54" s="53" t="n"/>
      <c r="V54" s="53" t="n"/>
      <c r="W54" s="53" t="n"/>
      <c r="X54" s="54">
        <f>IF(COUNTA($T54:$W54)&lt;4,"",$S54*($O54*$T54+$P54*$U54+$Q54*$V54+$R54*$W54))</f>
        <v/>
      </c>
      <c r="Y54" s="53" t="n"/>
      <c r="Z54" s="53" t="n"/>
      <c r="AA54" s="55" t="n"/>
      <c r="AB54" s="55" t="n"/>
      <c r="AC54" s="49" t="n"/>
      <c r="AD54" s="49" t="n"/>
      <c r="AE54" s="49" t="n"/>
      <c r="AF54" s="49" t="n"/>
      <c r="AG54" s="49" t="n"/>
      <c r="AH54" s="49" t="n"/>
      <c r="AI54" s="49" t="n"/>
      <c r="AJ54" s="49" t="n"/>
      <c r="AK54" s="49" t="n"/>
      <c r="AL54" s="49" t="n"/>
      <c r="AM54" s="49" t="n"/>
      <c r="AN54" s="49" t="n"/>
      <c r="AO54" s="49" t="n"/>
      <c r="AP54" s="49" t="n"/>
      <c r="AQ54" s="49" t="n"/>
      <c r="AR54" s="49" t="n"/>
      <c r="AS54" s="49" t="n"/>
      <c r="AT54" s="49" t="n"/>
      <c r="AU54" s="49" t="n"/>
      <c r="AV54" s="49" t="n"/>
      <c r="AW54" s="49" t="n"/>
      <c r="AX54" s="49" t="n"/>
      <c r="AY54" s="49" t="n"/>
    </row>
    <row r="55" ht="15" customHeight="1" s="27">
      <c r="A55" s="49" t="n"/>
      <c r="B55" s="49" t="n"/>
      <c r="C55" s="49" t="n"/>
      <c r="D55" s="49" t="n"/>
      <c r="E55" s="49" t="n"/>
      <c r="F55" s="49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51">
        <f>CONFIG_REFERENCIA!$E$3</f>
        <v/>
      </c>
      <c r="P55" s="51">
        <f>CONFIG_REFERENCIA!$E$4</f>
        <v/>
      </c>
      <c r="Q55" s="51">
        <f>CONFIG_REFERENCIA!$E$5</f>
        <v/>
      </c>
      <c r="R55" s="51">
        <f>CONFIG_REFERENCIA!$E$6</f>
        <v/>
      </c>
      <c r="S55" s="52">
        <f>IF($F55="","",INDEX(CONFIG_REFERENCIA!$B$3:$B$6,MATCH($F55,CONFIG_REFERENCIA!$A$3:$A$6,0)))</f>
        <v/>
      </c>
      <c r="T55" s="53" t="n"/>
      <c r="U55" s="53" t="n"/>
      <c r="V55" s="53" t="n"/>
      <c r="W55" s="53" t="n"/>
      <c r="X55" s="54">
        <f>IF(COUNTA($T55:$W55)&lt;4,"",$S55*($O55*$T55+$P55*$U55+$Q55*$V55+$R55*$W55))</f>
        <v/>
      </c>
      <c r="Y55" s="53" t="n"/>
      <c r="Z55" s="53" t="n"/>
      <c r="AA55" s="55" t="n"/>
      <c r="AB55" s="55" t="n"/>
      <c r="AC55" s="49" t="n"/>
      <c r="AD55" s="49" t="n"/>
      <c r="AE55" s="49" t="n"/>
      <c r="AF55" s="49" t="n"/>
      <c r="AG55" s="49" t="n"/>
      <c r="AH55" s="49" t="n"/>
      <c r="AI55" s="49" t="n"/>
      <c r="AJ55" s="49" t="n"/>
      <c r="AK55" s="49" t="n"/>
      <c r="AL55" s="49" t="n"/>
      <c r="AM55" s="49" t="n"/>
      <c r="AN55" s="49" t="n"/>
      <c r="AO55" s="49" t="n"/>
      <c r="AP55" s="49" t="n"/>
      <c r="AQ55" s="49" t="n"/>
      <c r="AR55" s="49" t="n"/>
      <c r="AS55" s="49" t="n"/>
      <c r="AT55" s="49" t="n"/>
      <c r="AU55" s="49" t="n"/>
      <c r="AV55" s="49" t="n"/>
      <c r="AW55" s="49" t="n"/>
      <c r="AX55" s="49" t="n"/>
      <c r="AY55" s="49" t="n"/>
    </row>
    <row r="56" ht="15" customHeight="1" s="27">
      <c r="A56" s="49" t="n"/>
      <c r="B56" s="49" t="n"/>
      <c r="C56" s="49" t="n"/>
      <c r="D56" s="49" t="n"/>
      <c r="E56" s="49" t="n"/>
      <c r="F56" s="49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51">
        <f>CONFIG_REFERENCIA!$E$3</f>
        <v/>
      </c>
      <c r="P56" s="51">
        <f>CONFIG_REFERENCIA!$E$4</f>
        <v/>
      </c>
      <c r="Q56" s="51">
        <f>CONFIG_REFERENCIA!$E$5</f>
        <v/>
      </c>
      <c r="R56" s="51">
        <f>CONFIG_REFERENCIA!$E$6</f>
        <v/>
      </c>
      <c r="S56" s="52">
        <f>IF($F56="","",INDEX(CONFIG_REFERENCIA!$B$3:$B$6,MATCH($F56,CONFIG_REFERENCIA!$A$3:$A$6,0)))</f>
        <v/>
      </c>
      <c r="T56" s="53" t="n"/>
      <c r="U56" s="53" t="n"/>
      <c r="V56" s="53" t="n"/>
      <c r="W56" s="53" t="n"/>
      <c r="X56" s="54">
        <f>IF(COUNTA($T56:$W56)&lt;4,"",$S56*($O56*$T56+$P56*$U56+$Q56*$V56+$R56*$W56))</f>
        <v/>
      </c>
      <c r="Y56" s="53" t="n"/>
      <c r="Z56" s="53" t="n"/>
      <c r="AA56" s="55" t="n"/>
      <c r="AB56" s="55" t="n"/>
      <c r="AC56" s="49" t="n"/>
      <c r="AD56" s="49" t="n"/>
      <c r="AE56" s="49" t="n"/>
      <c r="AF56" s="49" t="n"/>
      <c r="AG56" s="49" t="n"/>
      <c r="AH56" s="49" t="n"/>
      <c r="AI56" s="49" t="n"/>
      <c r="AJ56" s="49" t="n"/>
      <c r="AK56" s="49" t="n"/>
      <c r="AL56" s="49" t="n"/>
      <c r="AM56" s="49" t="n"/>
      <c r="AN56" s="49" t="n"/>
      <c r="AO56" s="49" t="n"/>
      <c r="AP56" s="49" t="n"/>
      <c r="AQ56" s="49" t="n"/>
      <c r="AR56" s="49" t="n"/>
      <c r="AS56" s="49" t="n"/>
      <c r="AT56" s="49" t="n"/>
      <c r="AU56" s="49" t="n"/>
      <c r="AV56" s="49" t="n"/>
      <c r="AW56" s="49" t="n"/>
      <c r="AX56" s="49" t="n"/>
      <c r="AY56" s="49" t="n"/>
    </row>
    <row r="57" ht="15" customHeight="1" s="27">
      <c r="A57" s="49" t="n"/>
      <c r="B57" s="49" t="n"/>
      <c r="C57" s="49" t="n"/>
      <c r="D57" s="49" t="n"/>
      <c r="E57" s="49" t="n"/>
      <c r="F57" s="49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51">
        <f>CONFIG_REFERENCIA!$E$3</f>
        <v/>
      </c>
      <c r="P57" s="51">
        <f>CONFIG_REFERENCIA!$E$4</f>
        <v/>
      </c>
      <c r="Q57" s="51">
        <f>CONFIG_REFERENCIA!$E$5</f>
        <v/>
      </c>
      <c r="R57" s="51">
        <f>CONFIG_REFERENCIA!$E$6</f>
        <v/>
      </c>
      <c r="S57" s="52">
        <f>IF($F57="","",INDEX(CONFIG_REFERENCIA!$B$3:$B$6,MATCH($F57,CONFIG_REFERENCIA!$A$3:$A$6,0)))</f>
        <v/>
      </c>
      <c r="T57" s="53" t="n"/>
      <c r="U57" s="53" t="n"/>
      <c r="V57" s="53" t="n"/>
      <c r="W57" s="53" t="n"/>
      <c r="X57" s="54">
        <f>IF(COUNTA($T57:$W57)&lt;4,"",$S57*($O57*$T57+$P57*$U57+$Q57*$V57+$R57*$W57))</f>
        <v/>
      </c>
      <c r="Y57" s="53" t="n"/>
      <c r="Z57" s="53" t="n"/>
      <c r="AA57" s="55" t="n"/>
      <c r="AB57" s="55" t="n"/>
      <c r="AC57" s="49" t="n"/>
      <c r="AD57" s="49" t="n"/>
      <c r="AE57" s="49" t="n"/>
      <c r="AF57" s="49" t="n"/>
      <c r="AG57" s="49" t="n"/>
      <c r="AH57" s="49" t="n"/>
      <c r="AI57" s="49" t="n"/>
      <c r="AJ57" s="49" t="n"/>
      <c r="AK57" s="49" t="n"/>
      <c r="AL57" s="49" t="n"/>
      <c r="AM57" s="49" t="n"/>
      <c r="AN57" s="49" t="n"/>
      <c r="AO57" s="49" t="n"/>
      <c r="AP57" s="49" t="n"/>
      <c r="AQ57" s="49" t="n"/>
      <c r="AR57" s="49" t="n"/>
      <c r="AS57" s="49" t="n"/>
      <c r="AT57" s="49" t="n"/>
      <c r="AU57" s="49" t="n"/>
      <c r="AV57" s="49" t="n"/>
      <c r="AW57" s="49" t="n"/>
      <c r="AX57" s="49" t="n"/>
      <c r="AY57" s="49" t="n"/>
    </row>
    <row r="58" ht="15" customHeight="1" s="27">
      <c r="A58" s="49" t="n"/>
      <c r="B58" s="49" t="n"/>
      <c r="C58" s="49" t="n"/>
      <c r="D58" s="49" t="n"/>
      <c r="E58" s="49" t="n"/>
      <c r="F58" s="49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51">
        <f>CONFIG_REFERENCIA!$E$3</f>
        <v/>
      </c>
      <c r="P58" s="51">
        <f>CONFIG_REFERENCIA!$E$4</f>
        <v/>
      </c>
      <c r="Q58" s="51">
        <f>CONFIG_REFERENCIA!$E$5</f>
        <v/>
      </c>
      <c r="R58" s="51">
        <f>CONFIG_REFERENCIA!$E$6</f>
        <v/>
      </c>
      <c r="S58" s="52">
        <f>IF($F58="","",INDEX(CONFIG_REFERENCIA!$B$3:$B$6,MATCH($F58,CONFIG_REFERENCIA!$A$3:$A$6,0)))</f>
        <v/>
      </c>
      <c r="T58" s="53" t="n"/>
      <c r="U58" s="53" t="n"/>
      <c r="V58" s="53" t="n"/>
      <c r="W58" s="53" t="n"/>
      <c r="X58" s="54">
        <f>IF(COUNTA($T58:$W58)&lt;4,"",$S58*($O58*$T58+$P58*$U58+$Q58*$V58+$R58*$W58))</f>
        <v/>
      </c>
      <c r="Y58" s="53" t="n"/>
      <c r="Z58" s="53" t="n"/>
      <c r="AA58" s="55" t="n"/>
      <c r="AB58" s="55" t="n"/>
      <c r="AC58" s="49" t="n"/>
      <c r="AD58" s="49" t="n"/>
      <c r="AE58" s="49" t="n"/>
      <c r="AF58" s="49" t="n"/>
      <c r="AG58" s="49" t="n"/>
      <c r="AH58" s="49" t="n"/>
      <c r="AI58" s="49" t="n"/>
      <c r="AJ58" s="49" t="n"/>
      <c r="AK58" s="49" t="n"/>
      <c r="AL58" s="49" t="n"/>
      <c r="AM58" s="49" t="n"/>
      <c r="AN58" s="49" t="n"/>
      <c r="AO58" s="49" t="n"/>
      <c r="AP58" s="49" t="n"/>
      <c r="AQ58" s="49" t="n"/>
      <c r="AR58" s="49" t="n"/>
      <c r="AS58" s="49" t="n"/>
      <c r="AT58" s="49" t="n"/>
      <c r="AU58" s="49" t="n"/>
      <c r="AV58" s="49" t="n"/>
      <c r="AW58" s="49" t="n"/>
      <c r="AX58" s="49" t="n"/>
      <c r="AY58" s="49" t="n"/>
    </row>
    <row r="59" ht="15" customHeight="1" s="27">
      <c r="A59" s="49" t="n"/>
      <c r="B59" s="49" t="n"/>
      <c r="C59" s="49" t="n"/>
      <c r="D59" s="49" t="n"/>
      <c r="E59" s="49" t="n"/>
      <c r="F59" s="49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51">
        <f>CONFIG_REFERENCIA!$E$3</f>
        <v/>
      </c>
      <c r="P59" s="51">
        <f>CONFIG_REFERENCIA!$E$4</f>
        <v/>
      </c>
      <c r="Q59" s="51">
        <f>CONFIG_REFERENCIA!$E$5</f>
        <v/>
      </c>
      <c r="R59" s="51">
        <f>CONFIG_REFERENCIA!$E$6</f>
        <v/>
      </c>
      <c r="S59" s="52">
        <f>IF($F59="","",INDEX(CONFIG_REFERENCIA!$B$3:$B$6,MATCH($F59,CONFIG_REFERENCIA!$A$3:$A$6,0)))</f>
        <v/>
      </c>
      <c r="T59" s="53" t="n"/>
      <c r="U59" s="53" t="n"/>
      <c r="V59" s="53" t="n"/>
      <c r="W59" s="53" t="n"/>
      <c r="X59" s="54">
        <f>IF(COUNTA($T59:$W59)&lt;4,"",$S59*($O59*$T59+$P59*$U59+$Q59*$V59+$R59*$W59))</f>
        <v/>
      </c>
      <c r="Y59" s="53" t="n"/>
      <c r="Z59" s="53" t="n"/>
      <c r="AA59" s="55" t="n"/>
      <c r="AB59" s="55" t="n"/>
      <c r="AC59" s="49" t="n"/>
      <c r="AD59" s="49" t="n"/>
      <c r="AE59" s="49" t="n"/>
      <c r="AF59" s="49" t="n"/>
      <c r="AG59" s="49" t="n"/>
      <c r="AH59" s="49" t="n"/>
      <c r="AI59" s="49" t="n"/>
      <c r="AJ59" s="49" t="n"/>
      <c r="AK59" s="49" t="n"/>
      <c r="AL59" s="49" t="n"/>
      <c r="AM59" s="49" t="n"/>
      <c r="AN59" s="49" t="n"/>
      <c r="AO59" s="49" t="n"/>
      <c r="AP59" s="49" t="n"/>
      <c r="AQ59" s="49" t="n"/>
      <c r="AR59" s="49" t="n"/>
      <c r="AS59" s="49" t="n"/>
      <c r="AT59" s="49" t="n"/>
      <c r="AU59" s="49" t="n"/>
      <c r="AV59" s="49" t="n"/>
      <c r="AW59" s="49" t="n"/>
      <c r="AX59" s="49" t="n"/>
      <c r="AY59" s="49" t="n"/>
    </row>
    <row r="60" ht="15" customHeight="1" s="27">
      <c r="A60" s="49" t="n"/>
      <c r="B60" s="49" t="n"/>
      <c r="C60" s="49" t="n"/>
      <c r="D60" s="49" t="n"/>
      <c r="E60" s="49" t="n"/>
      <c r="F60" s="49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51">
        <f>CONFIG_REFERENCIA!$E$3</f>
        <v/>
      </c>
      <c r="P60" s="51">
        <f>CONFIG_REFERENCIA!$E$4</f>
        <v/>
      </c>
      <c r="Q60" s="51">
        <f>CONFIG_REFERENCIA!$E$5</f>
        <v/>
      </c>
      <c r="R60" s="51">
        <f>CONFIG_REFERENCIA!$E$6</f>
        <v/>
      </c>
      <c r="S60" s="52">
        <f>IF($F60="","",INDEX(CONFIG_REFERENCIA!$B$3:$B$6,MATCH($F60,CONFIG_REFERENCIA!$A$3:$A$6,0)))</f>
        <v/>
      </c>
      <c r="T60" s="53" t="n"/>
      <c r="U60" s="53" t="n"/>
      <c r="V60" s="53" t="n"/>
      <c r="W60" s="53" t="n"/>
      <c r="X60" s="54">
        <f>IF(COUNTA($T60:$W60)&lt;4,"",$S60*($O60*$T60+$P60*$U60+$Q60*$V60+$R60*$W60))</f>
        <v/>
      </c>
      <c r="Y60" s="53" t="n"/>
      <c r="Z60" s="53" t="n"/>
      <c r="AA60" s="55" t="n"/>
      <c r="AB60" s="55" t="n"/>
      <c r="AC60" s="49" t="n"/>
      <c r="AD60" s="49" t="n"/>
      <c r="AE60" s="49" t="n"/>
      <c r="AF60" s="49" t="n"/>
      <c r="AG60" s="49" t="n"/>
      <c r="AH60" s="49" t="n"/>
      <c r="AI60" s="49" t="n"/>
      <c r="AJ60" s="49" t="n"/>
      <c r="AK60" s="49" t="n"/>
      <c r="AL60" s="49" t="n"/>
      <c r="AM60" s="49" t="n"/>
      <c r="AN60" s="49" t="n"/>
      <c r="AO60" s="49" t="n"/>
      <c r="AP60" s="49" t="n"/>
      <c r="AQ60" s="49" t="n"/>
      <c r="AR60" s="49" t="n"/>
      <c r="AS60" s="49" t="n"/>
      <c r="AT60" s="49" t="n"/>
      <c r="AU60" s="49" t="n"/>
      <c r="AV60" s="49" t="n"/>
      <c r="AW60" s="49" t="n"/>
      <c r="AX60" s="49" t="n"/>
      <c r="AY60" s="49" t="n"/>
    </row>
    <row r="61" ht="15" customHeight="1" s="27">
      <c r="A61" s="49" t="n"/>
      <c r="B61" s="49" t="n"/>
      <c r="C61" s="49" t="n"/>
      <c r="D61" s="49" t="n"/>
      <c r="E61" s="49" t="n"/>
      <c r="F61" s="49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51">
        <f>CONFIG_REFERENCIA!$E$3</f>
        <v/>
      </c>
      <c r="P61" s="51">
        <f>CONFIG_REFERENCIA!$E$4</f>
        <v/>
      </c>
      <c r="Q61" s="51">
        <f>CONFIG_REFERENCIA!$E$5</f>
        <v/>
      </c>
      <c r="R61" s="51">
        <f>CONFIG_REFERENCIA!$E$6</f>
        <v/>
      </c>
      <c r="S61" s="52">
        <f>IF($F61="","",INDEX(CONFIG_REFERENCIA!$B$3:$B$6,MATCH($F61,CONFIG_REFERENCIA!$A$3:$A$6,0)))</f>
        <v/>
      </c>
      <c r="T61" s="53" t="n"/>
      <c r="U61" s="53" t="n"/>
      <c r="V61" s="53" t="n"/>
      <c r="W61" s="53" t="n"/>
      <c r="X61" s="54">
        <f>IF(COUNTA($T61:$W61)&lt;4,"",$S61*($O61*$T61+$P61*$U61+$Q61*$V61+$R61*$W61))</f>
        <v/>
      </c>
      <c r="Y61" s="53" t="n"/>
      <c r="Z61" s="53" t="n"/>
      <c r="AA61" s="55" t="n"/>
      <c r="AB61" s="55" t="n"/>
      <c r="AC61" s="49" t="n"/>
      <c r="AD61" s="49" t="n"/>
      <c r="AE61" s="49" t="n"/>
      <c r="AF61" s="49" t="n"/>
      <c r="AG61" s="49" t="n"/>
      <c r="AH61" s="49" t="n"/>
      <c r="AI61" s="49" t="n"/>
      <c r="AJ61" s="49" t="n"/>
      <c r="AK61" s="49" t="n"/>
      <c r="AL61" s="49" t="n"/>
      <c r="AM61" s="49" t="n"/>
      <c r="AN61" s="49" t="n"/>
      <c r="AO61" s="49" t="n"/>
      <c r="AP61" s="49" t="n"/>
      <c r="AQ61" s="49" t="n"/>
      <c r="AR61" s="49" t="n"/>
      <c r="AS61" s="49" t="n"/>
      <c r="AT61" s="49" t="n"/>
      <c r="AU61" s="49" t="n"/>
      <c r="AV61" s="49" t="n"/>
      <c r="AW61" s="49" t="n"/>
      <c r="AX61" s="49" t="n"/>
      <c r="AY61" s="49" t="n"/>
    </row>
    <row r="62" ht="15" customHeight="1" s="27">
      <c r="A62" s="49" t="n"/>
      <c r="B62" s="49" t="n"/>
      <c r="C62" s="49" t="n"/>
      <c r="D62" s="49" t="n"/>
      <c r="E62" s="49" t="n"/>
      <c r="F62" s="49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51">
        <f>CONFIG_REFERENCIA!$E$3</f>
        <v/>
      </c>
      <c r="P62" s="51">
        <f>CONFIG_REFERENCIA!$E$4</f>
        <v/>
      </c>
      <c r="Q62" s="51">
        <f>CONFIG_REFERENCIA!$E$5</f>
        <v/>
      </c>
      <c r="R62" s="51">
        <f>CONFIG_REFERENCIA!$E$6</f>
        <v/>
      </c>
      <c r="S62" s="52">
        <f>IF($F62="","",INDEX(CONFIG_REFERENCIA!$B$3:$B$6,MATCH($F62,CONFIG_REFERENCIA!$A$3:$A$6,0)))</f>
        <v/>
      </c>
      <c r="T62" s="53" t="n"/>
      <c r="U62" s="53" t="n"/>
      <c r="V62" s="53" t="n"/>
      <c r="W62" s="53" t="n"/>
      <c r="X62" s="54">
        <f>IF(COUNTA($T62:$W62)&lt;4,"",$S62*($O62*$T62+$P62*$U62+$Q62*$V62+$R62*$W62))</f>
        <v/>
      </c>
      <c r="Y62" s="53" t="n"/>
      <c r="Z62" s="53" t="n"/>
      <c r="AA62" s="55" t="n"/>
      <c r="AB62" s="55" t="n"/>
      <c r="AC62" s="49" t="n"/>
      <c r="AD62" s="49" t="n"/>
      <c r="AE62" s="49" t="n"/>
      <c r="AF62" s="49" t="n"/>
      <c r="AG62" s="49" t="n"/>
      <c r="AH62" s="49" t="n"/>
      <c r="AI62" s="49" t="n"/>
      <c r="AJ62" s="49" t="n"/>
      <c r="AK62" s="49" t="n"/>
      <c r="AL62" s="49" t="n"/>
      <c r="AM62" s="49" t="n"/>
      <c r="AN62" s="49" t="n"/>
      <c r="AO62" s="49" t="n"/>
      <c r="AP62" s="49" t="n"/>
      <c r="AQ62" s="49" t="n"/>
      <c r="AR62" s="49" t="n"/>
      <c r="AS62" s="49" t="n"/>
      <c r="AT62" s="49" t="n"/>
      <c r="AU62" s="49" t="n"/>
      <c r="AV62" s="49" t="n"/>
      <c r="AW62" s="49" t="n"/>
      <c r="AX62" s="49" t="n"/>
      <c r="AY62" s="49" t="n"/>
    </row>
    <row r="63" ht="15" customHeight="1" s="27">
      <c r="A63" s="49" t="n"/>
      <c r="B63" s="49" t="n"/>
      <c r="C63" s="49" t="n"/>
      <c r="D63" s="49" t="n"/>
      <c r="E63" s="49" t="n"/>
      <c r="F63" s="49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51">
        <f>CONFIG_REFERENCIA!$E$3</f>
        <v/>
      </c>
      <c r="P63" s="51">
        <f>CONFIG_REFERENCIA!$E$4</f>
        <v/>
      </c>
      <c r="Q63" s="51">
        <f>CONFIG_REFERENCIA!$E$5</f>
        <v/>
      </c>
      <c r="R63" s="51">
        <f>CONFIG_REFERENCIA!$E$6</f>
        <v/>
      </c>
      <c r="S63" s="52">
        <f>IF($F63="","",INDEX(CONFIG_REFERENCIA!$B$3:$B$6,MATCH($F63,CONFIG_REFERENCIA!$A$3:$A$6,0)))</f>
        <v/>
      </c>
      <c r="T63" s="53" t="n"/>
      <c r="U63" s="53" t="n"/>
      <c r="V63" s="53" t="n"/>
      <c r="W63" s="53" t="n"/>
      <c r="X63" s="54">
        <f>IF(COUNTA($T63:$W63)&lt;4,"",$S63*($O63*$T63+$P63*$U63+$Q63*$V63+$R63*$W63))</f>
        <v/>
      </c>
      <c r="Y63" s="53" t="n"/>
      <c r="Z63" s="53" t="n"/>
      <c r="AA63" s="55" t="n"/>
      <c r="AB63" s="55" t="n"/>
      <c r="AC63" s="49" t="n"/>
      <c r="AD63" s="49" t="n"/>
      <c r="AE63" s="49" t="n"/>
      <c r="AF63" s="49" t="n"/>
      <c r="AG63" s="49" t="n"/>
      <c r="AH63" s="49" t="n"/>
      <c r="AI63" s="49" t="n"/>
      <c r="AJ63" s="49" t="n"/>
      <c r="AK63" s="49" t="n"/>
      <c r="AL63" s="49" t="n"/>
      <c r="AM63" s="49" t="n"/>
      <c r="AN63" s="49" t="n"/>
      <c r="AO63" s="49" t="n"/>
      <c r="AP63" s="49" t="n"/>
      <c r="AQ63" s="49" t="n"/>
      <c r="AR63" s="49" t="n"/>
      <c r="AS63" s="49" t="n"/>
      <c r="AT63" s="49" t="n"/>
      <c r="AU63" s="49" t="n"/>
      <c r="AV63" s="49" t="n"/>
      <c r="AW63" s="49" t="n"/>
      <c r="AX63" s="49" t="n"/>
      <c r="AY63" s="49" t="n"/>
    </row>
    <row r="64" ht="15" customHeight="1" s="27">
      <c r="A64" s="49" t="n"/>
      <c r="B64" s="49" t="n"/>
      <c r="C64" s="49" t="n"/>
      <c r="D64" s="49" t="n"/>
      <c r="E64" s="49" t="n"/>
      <c r="F64" s="49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51">
        <f>CONFIG_REFERENCIA!$E$3</f>
        <v/>
      </c>
      <c r="P64" s="51">
        <f>CONFIG_REFERENCIA!$E$4</f>
        <v/>
      </c>
      <c r="Q64" s="51">
        <f>CONFIG_REFERENCIA!$E$5</f>
        <v/>
      </c>
      <c r="R64" s="51">
        <f>CONFIG_REFERENCIA!$E$6</f>
        <v/>
      </c>
      <c r="S64" s="52">
        <f>IF($F64="","",INDEX(CONFIG_REFERENCIA!$B$3:$B$6,MATCH($F64,CONFIG_REFERENCIA!$A$3:$A$6,0)))</f>
        <v/>
      </c>
      <c r="T64" s="53" t="n"/>
      <c r="U64" s="53" t="n"/>
      <c r="V64" s="53" t="n"/>
      <c r="W64" s="53" t="n"/>
      <c r="X64" s="54">
        <f>IF(COUNTA($T64:$W64)&lt;4,"",$S64*($O64*$T64+$P64*$U64+$Q64*$V64+$R64*$W64))</f>
        <v/>
      </c>
      <c r="Y64" s="53" t="n"/>
      <c r="Z64" s="53" t="n"/>
      <c r="AA64" s="55" t="n"/>
      <c r="AB64" s="55" t="n"/>
      <c r="AC64" s="49" t="n"/>
      <c r="AD64" s="49" t="n"/>
      <c r="AE64" s="49" t="n"/>
      <c r="AF64" s="49" t="n"/>
      <c r="AG64" s="49" t="n"/>
      <c r="AH64" s="49" t="n"/>
      <c r="AI64" s="49" t="n"/>
      <c r="AJ64" s="49" t="n"/>
      <c r="AK64" s="49" t="n"/>
      <c r="AL64" s="49" t="n"/>
      <c r="AM64" s="49" t="n"/>
      <c r="AN64" s="49" t="n"/>
      <c r="AO64" s="49" t="n"/>
      <c r="AP64" s="49" t="n"/>
      <c r="AQ64" s="49" t="n"/>
      <c r="AR64" s="49" t="n"/>
      <c r="AS64" s="49" t="n"/>
      <c r="AT64" s="49" t="n"/>
      <c r="AU64" s="49" t="n"/>
      <c r="AV64" s="49" t="n"/>
      <c r="AW64" s="49" t="n"/>
      <c r="AX64" s="49" t="n"/>
      <c r="AY64" s="49" t="n"/>
    </row>
    <row r="65" ht="15" customHeight="1" s="27">
      <c r="A65" s="49" t="n"/>
      <c r="B65" s="49" t="n"/>
      <c r="C65" s="49" t="n"/>
      <c r="D65" s="49" t="n"/>
      <c r="E65" s="49" t="n"/>
      <c r="F65" s="49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51">
        <f>CONFIG_REFERENCIA!$E$3</f>
        <v/>
      </c>
      <c r="P65" s="51">
        <f>CONFIG_REFERENCIA!$E$4</f>
        <v/>
      </c>
      <c r="Q65" s="51">
        <f>CONFIG_REFERENCIA!$E$5</f>
        <v/>
      </c>
      <c r="R65" s="51">
        <f>CONFIG_REFERENCIA!$E$6</f>
        <v/>
      </c>
      <c r="S65" s="52">
        <f>IF($F65="","",INDEX(CONFIG_REFERENCIA!$B$3:$B$6,MATCH($F65,CONFIG_REFERENCIA!$A$3:$A$6,0)))</f>
        <v/>
      </c>
      <c r="T65" s="53" t="n"/>
      <c r="U65" s="53" t="n"/>
      <c r="V65" s="53" t="n"/>
      <c r="W65" s="53" t="n"/>
      <c r="X65" s="54">
        <f>IF(COUNTA($T65:$W65)&lt;4,"",$S65*($O65*$T65+$P65*$U65+$Q65*$V65+$R65*$W65))</f>
        <v/>
      </c>
      <c r="Y65" s="53" t="n"/>
      <c r="Z65" s="53" t="n"/>
      <c r="AA65" s="55" t="n"/>
      <c r="AB65" s="55" t="n"/>
      <c r="AC65" s="49" t="n"/>
      <c r="AD65" s="49" t="n"/>
      <c r="AE65" s="49" t="n"/>
      <c r="AF65" s="49" t="n"/>
      <c r="AG65" s="49" t="n"/>
      <c r="AH65" s="49" t="n"/>
      <c r="AI65" s="49" t="n"/>
      <c r="AJ65" s="49" t="n"/>
      <c r="AK65" s="49" t="n"/>
      <c r="AL65" s="49" t="n"/>
      <c r="AM65" s="49" t="n"/>
      <c r="AN65" s="49" t="n"/>
      <c r="AO65" s="49" t="n"/>
      <c r="AP65" s="49" t="n"/>
      <c r="AQ65" s="49" t="n"/>
      <c r="AR65" s="49" t="n"/>
      <c r="AS65" s="49" t="n"/>
      <c r="AT65" s="49" t="n"/>
      <c r="AU65" s="49" t="n"/>
      <c r="AV65" s="49" t="n"/>
      <c r="AW65" s="49" t="n"/>
      <c r="AX65" s="49" t="n"/>
      <c r="AY65" s="49" t="n"/>
    </row>
    <row r="66" ht="15" customHeight="1" s="27">
      <c r="A66" s="49" t="n"/>
      <c r="B66" s="49" t="n"/>
      <c r="C66" s="49" t="n"/>
      <c r="D66" s="49" t="n"/>
      <c r="E66" s="49" t="n"/>
      <c r="F66" s="49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51">
        <f>CONFIG_REFERENCIA!$E$3</f>
        <v/>
      </c>
      <c r="P66" s="51">
        <f>CONFIG_REFERENCIA!$E$4</f>
        <v/>
      </c>
      <c r="Q66" s="51">
        <f>CONFIG_REFERENCIA!$E$5</f>
        <v/>
      </c>
      <c r="R66" s="51">
        <f>CONFIG_REFERENCIA!$E$6</f>
        <v/>
      </c>
      <c r="S66" s="52">
        <f>IF($F66="","",INDEX(CONFIG_REFERENCIA!$B$3:$B$6,MATCH($F66,CONFIG_REFERENCIA!$A$3:$A$6,0)))</f>
        <v/>
      </c>
      <c r="T66" s="53" t="n"/>
      <c r="U66" s="53" t="n"/>
      <c r="V66" s="53" t="n"/>
      <c r="W66" s="53" t="n"/>
      <c r="X66" s="54">
        <f>IF(COUNTA($T66:$W66)&lt;4,"",$S66*($O66*$T66+$P66*$U66+$Q66*$V66+$R66*$W66))</f>
        <v/>
      </c>
      <c r="Y66" s="53" t="n"/>
      <c r="Z66" s="53" t="n"/>
      <c r="AA66" s="55" t="n"/>
      <c r="AB66" s="55" t="n"/>
      <c r="AC66" s="49" t="n"/>
      <c r="AD66" s="49" t="n"/>
      <c r="AE66" s="49" t="n"/>
      <c r="AF66" s="49" t="n"/>
      <c r="AG66" s="49" t="n"/>
      <c r="AH66" s="49" t="n"/>
      <c r="AI66" s="49" t="n"/>
      <c r="AJ66" s="49" t="n"/>
      <c r="AK66" s="49" t="n"/>
      <c r="AL66" s="49" t="n"/>
      <c r="AM66" s="49" t="n"/>
      <c r="AN66" s="49" t="n"/>
      <c r="AO66" s="49" t="n"/>
      <c r="AP66" s="49" t="n"/>
      <c r="AQ66" s="49" t="n"/>
      <c r="AR66" s="49" t="n"/>
      <c r="AS66" s="49" t="n"/>
      <c r="AT66" s="49" t="n"/>
      <c r="AU66" s="49" t="n"/>
      <c r="AV66" s="49" t="n"/>
      <c r="AW66" s="49" t="n"/>
      <c r="AX66" s="49" t="n"/>
      <c r="AY66" s="49" t="n"/>
    </row>
    <row r="67" ht="15" customHeight="1" s="27">
      <c r="A67" s="49" t="n"/>
      <c r="B67" s="49" t="n"/>
      <c r="C67" s="49" t="n"/>
      <c r="D67" s="49" t="n"/>
      <c r="E67" s="49" t="n"/>
      <c r="F67" s="49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51">
        <f>CONFIG_REFERENCIA!$E$3</f>
        <v/>
      </c>
      <c r="P67" s="51">
        <f>CONFIG_REFERENCIA!$E$4</f>
        <v/>
      </c>
      <c r="Q67" s="51">
        <f>CONFIG_REFERENCIA!$E$5</f>
        <v/>
      </c>
      <c r="R67" s="51">
        <f>CONFIG_REFERENCIA!$E$6</f>
        <v/>
      </c>
      <c r="S67" s="52">
        <f>IF($F67="","",INDEX(CONFIG_REFERENCIA!$B$3:$B$6,MATCH($F67,CONFIG_REFERENCIA!$A$3:$A$6,0)))</f>
        <v/>
      </c>
      <c r="T67" s="53" t="n"/>
      <c r="U67" s="53" t="n"/>
      <c r="V67" s="53" t="n"/>
      <c r="W67" s="53" t="n"/>
      <c r="X67" s="54">
        <f>IF(COUNTA($T67:$W67)&lt;4,"",$S67*($O67*$T67+$P67*$U67+$Q67*$V67+$R67*$W67))</f>
        <v/>
      </c>
      <c r="Y67" s="53" t="n"/>
      <c r="Z67" s="53" t="n"/>
      <c r="AA67" s="55" t="n"/>
      <c r="AB67" s="55" t="n"/>
      <c r="AC67" s="49" t="n"/>
      <c r="AD67" s="49" t="n"/>
      <c r="AE67" s="49" t="n"/>
      <c r="AF67" s="49" t="n"/>
      <c r="AG67" s="49" t="n"/>
      <c r="AH67" s="49" t="n"/>
      <c r="AI67" s="49" t="n"/>
      <c r="AJ67" s="49" t="n"/>
      <c r="AK67" s="49" t="n"/>
      <c r="AL67" s="49" t="n"/>
      <c r="AM67" s="49" t="n"/>
      <c r="AN67" s="49" t="n"/>
      <c r="AO67" s="49" t="n"/>
      <c r="AP67" s="49" t="n"/>
      <c r="AQ67" s="49" t="n"/>
      <c r="AR67" s="49" t="n"/>
      <c r="AS67" s="49" t="n"/>
      <c r="AT67" s="49" t="n"/>
      <c r="AU67" s="49" t="n"/>
      <c r="AV67" s="49" t="n"/>
      <c r="AW67" s="49" t="n"/>
      <c r="AX67" s="49" t="n"/>
      <c r="AY67" s="49" t="n"/>
    </row>
    <row r="68" ht="15" customHeight="1" s="27">
      <c r="A68" s="49" t="n"/>
      <c r="B68" s="49" t="n"/>
      <c r="C68" s="49" t="n"/>
      <c r="D68" s="49" t="n"/>
      <c r="E68" s="49" t="n"/>
      <c r="F68" s="49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51">
        <f>CONFIG_REFERENCIA!$E$3</f>
        <v/>
      </c>
      <c r="P68" s="51">
        <f>CONFIG_REFERENCIA!$E$4</f>
        <v/>
      </c>
      <c r="Q68" s="51">
        <f>CONFIG_REFERENCIA!$E$5</f>
        <v/>
      </c>
      <c r="R68" s="51">
        <f>CONFIG_REFERENCIA!$E$6</f>
        <v/>
      </c>
      <c r="S68" s="52">
        <f>IF($F68="","",INDEX(CONFIG_REFERENCIA!$B$3:$B$6,MATCH($F68,CONFIG_REFERENCIA!$A$3:$A$6,0)))</f>
        <v/>
      </c>
      <c r="T68" s="53" t="n"/>
      <c r="U68" s="53" t="n"/>
      <c r="V68" s="53" t="n"/>
      <c r="W68" s="53" t="n"/>
      <c r="X68" s="54">
        <f>IF(COUNTA($T68:$W68)&lt;4,"",$S68*($O68*$T68+$P68*$U68+$Q68*$V68+$R68*$W68))</f>
        <v/>
      </c>
      <c r="Y68" s="53" t="n"/>
      <c r="Z68" s="53" t="n"/>
      <c r="AA68" s="55" t="n"/>
      <c r="AB68" s="55" t="n"/>
      <c r="AC68" s="49" t="n"/>
      <c r="AD68" s="49" t="n"/>
      <c r="AE68" s="49" t="n"/>
      <c r="AF68" s="49" t="n"/>
      <c r="AG68" s="49" t="n"/>
      <c r="AH68" s="49" t="n"/>
      <c r="AI68" s="49" t="n"/>
      <c r="AJ68" s="49" t="n"/>
      <c r="AK68" s="49" t="n"/>
      <c r="AL68" s="49" t="n"/>
      <c r="AM68" s="49" t="n"/>
      <c r="AN68" s="49" t="n"/>
      <c r="AO68" s="49" t="n"/>
      <c r="AP68" s="49" t="n"/>
      <c r="AQ68" s="49" t="n"/>
      <c r="AR68" s="49" t="n"/>
      <c r="AS68" s="49" t="n"/>
      <c r="AT68" s="49" t="n"/>
      <c r="AU68" s="49" t="n"/>
      <c r="AV68" s="49" t="n"/>
      <c r="AW68" s="49" t="n"/>
      <c r="AX68" s="49" t="n"/>
      <c r="AY68" s="49" t="n"/>
    </row>
    <row r="69" ht="15" customHeight="1" s="27">
      <c r="A69" s="49" t="n"/>
      <c r="B69" s="49" t="n"/>
      <c r="C69" s="49" t="n"/>
      <c r="D69" s="49" t="n"/>
      <c r="E69" s="49" t="n"/>
      <c r="F69" s="49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51">
        <f>CONFIG_REFERENCIA!$E$3</f>
        <v/>
      </c>
      <c r="P69" s="51">
        <f>CONFIG_REFERENCIA!$E$4</f>
        <v/>
      </c>
      <c r="Q69" s="51">
        <f>CONFIG_REFERENCIA!$E$5</f>
        <v/>
      </c>
      <c r="R69" s="51">
        <f>CONFIG_REFERENCIA!$E$6</f>
        <v/>
      </c>
      <c r="S69" s="52">
        <f>IF($F69="","",INDEX(CONFIG_REFERENCIA!$B$3:$B$6,MATCH($F69,CONFIG_REFERENCIA!$A$3:$A$6,0)))</f>
        <v/>
      </c>
      <c r="T69" s="53" t="n"/>
      <c r="U69" s="53" t="n"/>
      <c r="V69" s="53" t="n"/>
      <c r="W69" s="53" t="n"/>
      <c r="X69" s="54">
        <f>IF(COUNTA($T69:$W69)&lt;4,"",$S69*($O69*$T69+$P69*$U69+$Q69*$V69+$R69*$W69))</f>
        <v/>
      </c>
      <c r="Y69" s="53" t="n"/>
      <c r="Z69" s="53" t="n"/>
      <c r="AA69" s="55" t="n"/>
      <c r="AB69" s="55" t="n"/>
      <c r="AC69" s="49" t="n"/>
      <c r="AD69" s="49" t="n"/>
      <c r="AE69" s="49" t="n"/>
      <c r="AF69" s="49" t="n"/>
      <c r="AG69" s="49" t="n"/>
      <c r="AH69" s="49" t="n"/>
      <c r="AI69" s="49" t="n"/>
      <c r="AJ69" s="49" t="n"/>
      <c r="AK69" s="49" t="n"/>
      <c r="AL69" s="49" t="n"/>
      <c r="AM69" s="49" t="n"/>
      <c r="AN69" s="49" t="n"/>
      <c r="AO69" s="49" t="n"/>
      <c r="AP69" s="49" t="n"/>
      <c r="AQ69" s="49" t="n"/>
      <c r="AR69" s="49" t="n"/>
      <c r="AS69" s="49" t="n"/>
      <c r="AT69" s="49" t="n"/>
      <c r="AU69" s="49" t="n"/>
      <c r="AV69" s="49" t="n"/>
      <c r="AW69" s="49" t="n"/>
      <c r="AX69" s="49" t="n"/>
      <c r="AY69" s="49" t="n"/>
    </row>
    <row r="70" ht="15" customHeight="1" s="27">
      <c r="A70" s="49" t="n"/>
      <c r="B70" s="49" t="n"/>
      <c r="C70" s="49" t="n"/>
      <c r="D70" s="49" t="n"/>
      <c r="E70" s="49" t="n"/>
      <c r="F70" s="49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51">
        <f>CONFIG_REFERENCIA!$E$3</f>
        <v/>
      </c>
      <c r="P70" s="51">
        <f>CONFIG_REFERENCIA!$E$4</f>
        <v/>
      </c>
      <c r="Q70" s="51">
        <f>CONFIG_REFERENCIA!$E$5</f>
        <v/>
      </c>
      <c r="R70" s="51">
        <f>CONFIG_REFERENCIA!$E$6</f>
        <v/>
      </c>
      <c r="S70" s="52">
        <f>IF($F70="","",INDEX(CONFIG_REFERENCIA!$B$3:$B$6,MATCH($F70,CONFIG_REFERENCIA!$A$3:$A$6,0)))</f>
        <v/>
      </c>
      <c r="T70" s="53" t="n"/>
      <c r="U70" s="53" t="n"/>
      <c r="V70" s="53" t="n"/>
      <c r="W70" s="53" t="n"/>
      <c r="X70" s="54">
        <f>IF(COUNTA($T70:$W70)&lt;4,"",$S70*($O70*$T70+$P70*$U70+$Q70*$V70+$R70*$W70))</f>
        <v/>
      </c>
      <c r="Y70" s="53" t="n"/>
      <c r="Z70" s="53" t="n"/>
      <c r="AA70" s="55" t="n"/>
      <c r="AB70" s="55" t="n"/>
      <c r="AC70" s="49" t="n"/>
      <c r="AD70" s="49" t="n"/>
      <c r="AE70" s="49" t="n"/>
      <c r="AF70" s="49" t="n"/>
      <c r="AG70" s="49" t="n"/>
      <c r="AH70" s="49" t="n"/>
      <c r="AI70" s="49" t="n"/>
      <c r="AJ70" s="49" t="n"/>
      <c r="AK70" s="49" t="n"/>
      <c r="AL70" s="49" t="n"/>
      <c r="AM70" s="49" t="n"/>
      <c r="AN70" s="49" t="n"/>
      <c r="AO70" s="49" t="n"/>
      <c r="AP70" s="49" t="n"/>
      <c r="AQ70" s="49" t="n"/>
      <c r="AR70" s="49" t="n"/>
      <c r="AS70" s="49" t="n"/>
      <c r="AT70" s="49" t="n"/>
      <c r="AU70" s="49" t="n"/>
      <c r="AV70" s="49" t="n"/>
      <c r="AW70" s="49" t="n"/>
      <c r="AX70" s="49" t="n"/>
      <c r="AY70" s="49" t="n"/>
    </row>
    <row r="71" ht="15" customHeight="1" s="27">
      <c r="A71" s="49" t="n"/>
      <c r="B71" s="49" t="n"/>
      <c r="C71" s="49" t="n"/>
      <c r="D71" s="49" t="n"/>
      <c r="E71" s="49" t="n"/>
      <c r="F71" s="49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51">
        <f>CONFIG_REFERENCIA!$E$3</f>
        <v/>
      </c>
      <c r="P71" s="51">
        <f>CONFIG_REFERENCIA!$E$4</f>
        <v/>
      </c>
      <c r="Q71" s="51">
        <f>CONFIG_REFERENCIA!$E$5</f>
        <v/>
      </c>
      <c r="R71" s="51">
        <f>CONFIG_REFERENCIA!$E$6</f>
        <v/>
      </c>
      <c r="S71" s="52">
        <f>IF($F71="","",INDEX(CONFIG_REFERENCIA!$B$3:$B$6,MATCH($F71,CONFIG_REFERENCIA!$A$3:$A$6,0)))</f>
        <v/>
      </c>
      <c r="T71" s="53" t="n"/>
      <c r="U71" s="53" t="n"/>
      <c r="V71" s="53" t="n"/>
      <c r="W71" s="53" t="n"/>
      <c r="X71" s="54">
        <f>IF(COUNTA($T71:$W71)&lt;4,"",$S71*($O71*$T71+$P71*$U71+$Q71*$V71+$R71*$W71))</f>
        <v/>
      </c>
      <c r="Y71" s="53" t="n"/>
      <c r="Z71" s="53" t="n"/>
      <c r="AA71" s="55" t="n"/>
      <c r="AB71" s="55" t="n"/>
      <c r="AC71" s="49" t="n"/>
      <c r="AD71" s="49" t="n"/>
      <c r="AE71" s="49" t="n"/>
      <c r="AF71" s="49" t="n"/>
      <c r="AG71" s="49" t="n"/>
      <c r="AH71" s="49" t="n"/>
      <c r="AI71" s="49" t="n"/>
      <c r="AJ71" s="49" t="n"/>
      <c r="AK71" s="49" t="n"/>
      <c r="AL71" s="49" t="n"/>
      <c r="AM71" s="49" t="n"/>
      <c r="AN71" s="49" t="n"/>
      <c r="AO71" s="49" t="n"/>
      <c r="AP71" s="49" t="n"/>
      <c r="AQ71" s="49" t="n"/>
      <c r="AR71" s="49" t="n"/>
      <c r="AS71" s="49" t="n"/>
      <c r="AT71" s="49" t="n"/>
      <c r="AU71" s="49" t="n"/>
      <c r="AV71" s="49" t="n"/>
      <c r="AW71" s="49" t="n"/>
      <c r="AX71" s="49" t="n"/>
      <c r="AY71" s="49" t="n"/>
    </row>
    <row r="72" ht="15" customHeight="1" s="27">
      <c r="A72" s="49" t="n"/>
      <c r="B72" s="49" t="n"/>
      <c r="C72" s="49" t="n"/>
      <c r="D72" s="49" t="n"/>
      <c r="E72" s="49" t="n"/>
      <c r="F72" s="49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51">
        <f>CONFIG_REFERENCIA!$E$3</f>
        <v/>
      </c>
      <c r="P72" s="51">
        <f>CONFIG_REFERENCIA!$E$4</f>
        <v/>
      </c>
      <c r="Q72" s="51">
        <f>CONFIG_REFERENCIA!$E$5</f>
        <v/>
      </c>
      <c r="R72" s="51">
        <f>CONFIG_REFERENCIA!$E$6</f>
        <v/>
      </c>
      <c r="S72" s="52">
        <f>IF($F72="","",INDEX(CONFIG_REFERENCIA!$B$3:$B$6,MATCH($F72,CONFIG_REFERENCIA!$A$3:$A$6,0)))</f>
        <v/>
      </c>
      <c r="T72" s="53" t="n"/>
      <c r="U72" s="53" t="n"/>
      <c r="V72" s="53" t="n"/>
      <c r="W72" s="53" t="n"/>
      <c r="X72" s="54">
        <f>IF(COUNTA($T72:$W72)&lt;4,"",$S72*($O72*$T72+$P72*$U72+$Q72*$V72+$R72*$W72))</f>
        <v/>
      </c>
      <c r="Y72" s="53" t="n"/>
      <c r="Z72" s="53" t="n"/>
      <c r="AA72" s="55" t="n"/>
      <c r="AB72" s="55" t="n"/>
      <c r="AC72" s="49" t="n"/>
      <c r="AD72" s="49" t="n"/>
      <c r="AE72" s="49" t="n"/>
      <c r="AF72" s="49" t="n"/>
      <c r="AG72" s="49" t="n"/>
      <c r="AH72" s="49" t="n"/>
      <c r="AI72" s="49" t="n"/>
      <c r="AJ72" s="49" t="n"/>
      <c r="AK72" s="49" t="n"/>
      <c r="AL72" s="49" t="n"/>
      <c r="AM72" s="49" t="n"/>
      <c r="AN72" s="49" t="n"/>
      <c r="AO72" s="49" t="n"/>
      <c r="AP72" s="49" t="n"/>
      <c r="AQ72" s="49" t="n"/>
      <c r="AR72" s="49" t="n"/>
      <c r="AS72" s="49" t="n"/>
      <c r="AT72" s="49" t="n"/>
      <c r="AU72" s="49" t="n"/>
      <c r="AV72" s="49" t="n"/>
      <c r="AW72" s="49" t="n"/>
      <c r="AX72" s="49" t="n"/>
      <c r="AY72" s="49" t="n"/>
    </row>
    <row r="73" ht="15" customHeight="1" s="27">
      <c r="A73" s="49" t="n"/>
      <c r="B73" s="49" t="n"/>
      <c r="C73" s="49" t="n"/>
      <c r="D73" s="49" t="n"/>
      <c r="E73" s="49" t="n"/>
      <c r="F73" s="49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51">
        <f>CONFIG_REFERENCIA!$E$3</f>
        <v/>
      </c>
      <c r="P73" s="51">
        <f>CONFIG_REFERENCIA!$E$4</f>
        <v/>
      </c>
      <c r="Q73" s="51">
        <f>CONFIG_REFERENCIA!$E$5</f>
        <v/>
      </c>
      <c r="R73" s="51">
        <f>CONFIG_REFERENCIA!$E$6</f>
        <v/>
      </c>
      <c r="S73" s="52">
        <f>IF($F73="","",INDEX(CONFIG_REFERENCIA!$B$3:$B$6,MATCH($F73,CONFIG_REFERENCIA!$A$3:$A$6,0)))</f>
        <v/>
      </c>
      <c r="T73" s="53" t="n"/>
      <c r="U73" s="53" t="n"/>
      <c r="V73" s="53" t="n"/>
      <c r="W73" s="53" t="n"/>
      <c r="X73" s="54">
        <f>IF(COUNTA($T73:$W73)&lt;4,"",$S73*($O73*$T73+$P73*$U73+$Q73*$V73+$R73*$W73))</f>
        <v/>
      </c>
      <c r="Y73" s="53" t="n"/>
      <c r="Z73" s="53" t="n"/>
      <c r="AA73" s="55" t="n"/>
      <c r="AB73" s="55" t="n"/>
      <c r="AC73" s="49" t="n"/>
      <c r="AD73" s="49" t="n"/>
      <c r="AE73" s="49" t="n"/>
      <c r="AF73" s="49" t="n"/>
      <c r="AG73" s="49" t="n"/>
      <c r="AH73" s="49" t="n"/>
      <c r="AI73" s="49" t="n"/>
      <c r="AJ73" s="49" t="n"/>
      <c r="AK73" s="49" t="n"/>
      <c r="AL73" s="49" t="n"/>
      <c r="AM73" s="49" t="n"/>
      <c r="AN73" s="49" t="n"/>
      <c r="AO73" s="49" t="n"/>
      <c r="AP73" s="49" t="n"/>
      <c r="AQ73" s="49" t="n"/>
      <c r="AR73" s="49" t="n"/>
      <c r="AS73" s="49" t="n"/>
      <c r="AT73" s="49" t="n"/>
      <c r="AU73" s="49" t="n"/>
      <c r="AV73" s="49" t="n"/>
      <c r="AW73" s="49" t="n"/>
      <c r="AX73" s="49" t="n"/>
      <c r="AY73" s="49" t="n"/>
    </row>
    <row r="74" ht="15" customHeight="1" s="27">
      <c r="A74" s="49" t="n"/>
      <c r="B74" s="49" t="n"/>
      <c r="C74" s="49" t="n"/>
      <c r="D74" s="49" t="n"/>
      <c r="E74" s="49" t="n"/>
      <c r="F74" s="49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51">
        <f>CONFIG_REFERENCIA!$E$3</f>
        <v/>
      </c>
      <c r="P74" s="51">
        <f>CONFIG_REFERENCIA!$E$4</f>
        <v/>
      </c>
      <c r="Q74" s="51">
        <f>CONFIG_REFERENCIA!$E$5</f>
        <v/>
      </c>
      <c r="R74" s="51">
        <f>CONFIG_REFERENCIA!$E$6</f>
        <v/>
      </c>
      <c r="S74" s="52">
        <f>IF($F74="","",INDEX(CONFIG_REFERENCIA!$B$3:$B$6,MATCH($F74,CONFIG_REFERENCIA!$A$3:$A$6,0)))</f>
        <v/>
      </c>
      <c r="T74" s="53" t="n"/>
      <c r="U74" s="53" t="n"/>
      <c r="V74" s="53" t="n"/>
      <c r="W74" s="53" t="n"/>
      <c r="X74" s="54">
        <f>IF(COUNTA($T74:$W74)&lt;4,"",$S74*($O74*$T74+$P74*$U74+$Q74*$V74+$R74*$W74))</f>
        <v/>
      </c>
      <c r="Y74" s="53" t="n"/>
      <c r="Z74" s="53" t="n"/>
      <c r="AA74" s="55" t="n"/>
      <c r="AB74" s="55" t="n"/>
      <c r="AC74" s="49" t="n"/>
      <c r="AD74" s="49" t="n"/>
      <c r="AE74" s="49" t="n"/>
      <c r="AF74" s="49" t="n"/>
      <c r="AG74" s="49" t="n"/>
      <c r="AH74" s="49" t="n"/>
      <c r="AI74" s="49" t="n"/>
      <c r="AJ74" s="49" t="n"/>
      <c r="AK74" s="49" t="n"/>
      <c r="AL74" s="49" t="n"/>
      <c r="AM74" s="49" t="n"/>
      <c r="AN74" s="49" t="n"/>
      <c r="AO74" s="49" t="n"/>
      <c r="AP74" s="49" t="n"/>
      <c r="AQ74" s="49" t="n"/>
      <c r="AR74" s="49" t="n"/>
      <c r="AS74" s="49" t="n"/>
      <c r="AT74" s="49" t="n"/>
      <c r="AU74" s="49" t="n"/>
      <c r="AV74" s="49" t="n"/>
      <c r="AW74" s="49" t="n"/>
      <c r="AX74" s="49" t="n"/>
      <c r="AY74" s="49" t="n"/>
    </row>
    <row r="75" ht="15" customHeight="1" s="27">
      <c r="A75" s="49" t="n"/>
      <c r="B75" s="49" t="n"/>
      <c r="C75" s="49" t="n"/>
      <c r="D75" s="49" t="n"/>
      <c r="E75" s="49" t="n"/>
      <c r="F75" s="49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51">
        <f>CONFIG_REFERENCIA!$E$3</f>
        <v/>
      </c>
      <c r="P75" s="51">
        <f>CONFIG_REFERENCIA!$E$4</f>
        <v/>
      </c>
      <c r="Q75" s="51">
        <f>CONFIG_REFERENCIA!$E$5</f>
        <v/>
      </c>
      <c r="R75" s="51">
        <f>CONFIG_REFERENCIA!$E$6</f>
        <v/>
      </c>
      <c r="S75" s="52">
        <f>IF($F75="","",INDEX(CONFIG_REFERENCIA!$B$3:$B$6,MATCH($F75,CONFIG_REFERENCIA!$A$3:$A$6,0)))</f>
        <v/>
      </c>
      <c r="T75" s="53" t="n"/>
      <c r="U75" s="53" t="n"/>
      <c r="V75" s="53" t="n"/>
      <c r="W75" s="53" t="n"/>
      <c r="X75" s="54">
        <f>IF(COUNTA($T75:$W75)&lt;4,"",$S75*($O75*$T75+$P75*$U75+$Q75*$V75+$R75*$W75))</f>
        <v/>
      </c>
      <c r="Y75" s="53" t="n"/>
      <c r="Z75" s="53" t="n"/>
      <c r="AA75" s="55" t="n"/>
      <c r="AB75" s="55" t="n"/>
      <c r="AC75" s="49" t="n"/>
      <c r="AD75" s="49" t="n"/>
      <c r="AE75" s="49" t="n"/>
      <c r="AF75" s="49" t="n"/>
      <c r="AG75" s="49" t="n"/>
      <c r="AH75" s="49" t="n"/>
      <c r="AI75" s="49" t="n"/>
      <c r="AJ75" s="49" t="n"/>
      <c r="AK75" s="49" t="n"/>
      <c r="AL75" s="49" t="n"/>
      <c r="AM75" s="49" t="n"/>
      <c r="AN75" s="49" t="n"/>
      <c r="AO75" s="49" t="n"/>
      <c r="AP75" s="49" t="n"/>
      <c r="AQ75" s="49" t="n"/>
      <c r="AR75" s="49" t="n"/>
      <c r="AS75" s="49" t="n"/>
      <c r="AT75" s="49" t="n"/>
      <c r="AU75" s="49" t="n"/>
      <c r="AV75" s="49" t="n"/>
      <c r="AW75" s="49" t="n"/>
      <c r="AX75" s="49" t="n"/>
      <c r="AY75" s="49" t="n"/>
    </row>
    <row r="76" ht="15" customHeight="1" s="27">
      <c r="A76" s="49" t="n"/>
      <c r="B76" s="49" t="n"/>
      <c r="C76" s="49" t="n"/>
      <c r="D76" s="49" t="n"/>
      <c r="E76" s="49" t="n"/>
      <c r="F76" s="49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51">
        <f>CONFIG_REFERENCIA!$E$3</f>
        <v/>
      </c>
      <c r="P76" s="51">
        <f>CONFIG_REFERENCIA!$E$4</f>
        <v/>
      </c>
      <c r="Q76" s="51">
        <f>CONFIG_REFERENCIA!$E$5</f>
        <v/>
      </c>
      <c r="R76" s="51">
        <f>CONFIG_REFERENCIA!$E$6</f>
        <v/>
      </c>
      <c r="S76" s="52">
        <f>IF($F76="","",INDEX(CONFIG_REFERENCIA!$B$3:$B$6,MATCH($F76,CONFIG_REFERENCIA!$A$3:$A$6,0)))</f>
        <v/>
      </c>
      <c r="T76" s="53" t="n"/>
      <c r="U76" s="53" t="n"/>
      <c r="V76" s="53" t="n"/>
      <c r="W76" s="53" t="n"/>
      <c r="X76" s="54">
        <f>IF(COUNTA($T76:$W76)&lt;4,"",$S76*($O76*$T76+$P76*$U76+$Q76*$V76+$R76*$W76))</f>
        <v/>
      </c>
      <c r="Y76" s="53" t="n"/>
      <c r="Z76" s="53" t="n"/>
      <c r="AA76" s="55" t="n"/>
      <c r="AB76" s="55" t="n"/>
      <c r="AC76" s="49" t="n"/>
      <c r="AD76" s="49" t="n"/>
      <c r="AE76" s="49" t="n"/>
      <c r="AF76" s="49" t="n"/>
      <c r="AG76" s="49" t="n"/>
      <c r="AH76" s="49" t="n"/>
      <c r="AI76" s="49" t="n"/>
      <c r="AJ76" s="49" t="n"/>
      <c r="AK76" s="49" t="n"/>
      <c r="AL76" s="49" t="n"/>
      <c r="AM76" s="49" t="n"/>
      <c r="AN76" s="49" t="n"/>
      <c r="AO76" s="49" t="n"/>
      <c r="AP76" s="49" t="n"/>
      <c r="AQ76" s="49" t="n"/>
      <c r="AR76" s="49" t="n"/>
      <c r="AS76" s="49" t="n"/>
      <c r="AT76" s="49" t="n"/>
      <c r="AU76" s="49" t="n"/>
      <c r="AV76" s="49" t="n"/>
      <c r="AW76" s="49" t="n"/>
      <c r="AX76" s="49" t="n"/>
      <c r="AY76" s="49" t="n"/>
    </row>
    <row r="77" ht="15" customHeight="1" s="27">
      <c r="A77" s="49" t="n"/>
      <c r="B77" s="49" t="n"/>
      <c r="C77" s="49" t="n"/>
      <c r="D77" s="49" t="n"/>
      <c r="E77" s="49" t="n"/>
      <c r="F77" s="49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51">
        <f>CONFIG_REFERENCIA!$E$3</f>
        <v/>
      </c>
      <c r="P77" s="51">
        <f>CONFIG_REFERENCIA!$E$4</f>
        <v/>
      </c>
      <c r="Q77" s="51">
        <f>CONFIG_REFERENCIA!$E$5</f>
        <v/>
      </c>
      <c r="R77" s="51">
        <f>CONFIG_REFERENCIA!$E$6</f>
        <v/>
      </c>
      <c r="S77" s="52">
        <f>IF($F77="","",INDEX(CONFIG_REFERENCIA!$B$3:$B$6,MATCH($F77,CONFIG_REFERENCIA!$A$3:$A$6,0)))</f>
        <v/>
      </c>
      <c r="T77" s="53" t="n"/>
      <c r="U77" s="53" t="n"/>
      <c r="V77" s="53" t="n"/>
      <c r="W77" s="53" t="n"/>
      <c r="X77" s="54">
        <f>IF(COUNTA($T77:$W77)&lt;4,"",$S77*($O77*$T77+$P77*$U77+$Q77*$V77+$R77*$W77))</f>
        <v/>
      </c>
      <c r="Y77" s="53" t="n"/>
      <c r="Z77" s="53" t="n"/>
      <c r="AA77" s="55" t="n"/>
      <c r="AB77" s="55" t="n"/>
      <c r="AC77" s="49" t="n"/>
      <c r="AD77" s="49" t="n"/>
      <c r="AE77" s="49" t="n"/>
      <c r="AF77" s="49" t="n"/>
      <c r="AG77" s="49" t="n"/>
      <c r="AH77" s="49" t="n"/>
      <c r="AI77" s="49" t="n"/>
      <c r="AJ77" s="49" t="n"/>
      <c r="AK77" s="49" t="n"/>
      <c r="AL77" s="49" t="n"/>
      <c r="AM77" s="49" t="n"/>
      <c r="AN77" s="49" t="n"/>
      <c r="AO77" s="49" t="n"/>
      <c r="AP77" s="49" t="n"/>
      <c r="AQ77" s="49" t="n"/>
      <c r="AR77" s="49" t="n"/>
      <c r="AS77" s="49" t="n"/>
      <c r="AT77" s="49" t="n"/>
      <c r="AU77" s="49" t="n"/>
      <c r="AV77" s="49" t="n"/>
      <c r="AW77" s="49" t="n"/>
      <c r="AX77" s="49" t="n"/>
      <c r="AY77" s="49" t="n"/>
    </row>
    <row r="78" ht="15" customHeight="1" s="27">
      <c r="A78" s="49" t="n"/>
      <c r="B78" s="49" t="n"/>
      <c r="C78" s="49" t="n"/>
      <c r="D78" s="49" t="n"/>
      <c r="E78" s="49" t="n"/>
      <c r="F78" s="49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51">
        <f>CONFIG_REFERENCIA!$E$3</f>
        <v/>
      </c>
      <c r="P78" s="51">
        <f>CONFIG_REFERENCIA!$E$4</f>
        <v/>
      </c>
      <c r="Q78" s="51">
        <f>CONFIG_REFERENCIA!$E$5</f>
        <v/>
      </c>
      <c r="R78" s="51">
        <f>CONFIG_REFERENCIA!$E$6</f>
        <v/>
      </c>
      <c r="S78" s="52">
        <f>IF($F78="","",INDEX(CONFIG_REFERENCIA!$B$3:$B$6,MATCH($F78,CONFIG_REFERENCIA!$A$3:$A$6,0)))</f>
        <v/>
      </c>
      <c r="T78" s="53" t="n"/>
      <c r="U78" s="53" t="n"/>
      <c r="V78" s="53" t="n"/>
      <c r="W78" s="53" t="n"/>
      <c r="X78" s="54">
        <f>IF(COUNTA($T78:$W78)&lt;4,"",$S78*($O78*$T78+$P78*$U78+$Q78*$V78+$R78*$W78))</f>
        <v/>
      </c>
      <c r="Y78" s="53" t="n"/>
      <c r="Z78" s="53" t="n"/>
      <c r="AA78" s="55" t="n"/>
      <c r="AB78" s="55" t="n"/>
      <c r="AC78" s="49" t="n"/>
      <c r="AD78" s="49" t="n"/>
      <c r="AE78" s="49" t="n"/>
      <c r="AF78" s="49" t="n"/>
      <c r="AG78" s="49" t="n"/>
      <c r="AH78" s="49" t="n"/>
      <c r="AI78" s="49" t="n"/>
      <c r="AJ78" s="49" t="n"/>
      <c r="AK78" s="49" t="n"/>
      <c r="AL78" s="49" t="n"/>
      <c r="AM78" s="49" t="n"/>
      <c r="AN78" s="49" t="n"/>
      <c r="AO78" s="49" t="n"/>
      <c r="AP78" s="49" t="n"/>
      <c r="AQ78" s="49" t="n"/>
      <c r="AR78" s="49" t="n"/>
      <c r="AS78" s="49" t="n"/>
      <c r="AT78" s="49" t="n"/>
      <c r="AU78" s="49" t="n"/>
      <c r="AV78" s="49" t="n"/>
      <c r="AW78" s="49" t="n"/>
      <c r="AX78" s="49" t="n"/>
      <c r="AY78" s="49" t="n"/>
    </row>
    <row r="79" ht="15" customHeight="1" s="27">
      <c r="A79" s="49" t="n"/>
      <c r="B79" s="49" t="n"/>
      <c r="C79" s="49" t="n"/>
      <c r="D79" s="49" t="n"/>
      <c r="E79" s="49" t="n"/>
      <c r="F79" s="49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51">
        <f>CONFIG_REFERENCIA!$E$3</f>
        <v/>
      </c>
      <c r="P79" s="51">
        <f>CONFIG_REFERENCIA!$E$4</f>
        <v/>
      </c>
      <c r="Q79" s="51">
        <f>CONFIG_REFERENCIA!$E$5</f>
        <v/>
      </c>
      <c r="R79" s="51">
        <f>CONFIG_REFERENCIA!$E$6</f>
        <v/>
      </c>
      <c r="S79" s="52">
        <f>IF($F79="","",INDEX(CONFIG_REFERENCIA!$B$3:$B$6,MATCH($F79,CONFIG_REFERENCIA!$A$3:$A$6,0)))</f>
        <v/>
      </c>
      <c r="T79" s="53" t="n"/>
      <c r="U79" s="53" t="n"/>
      <c r="V79" s="53" t="n"/>
      <c r="W79" s="53" t="n"/>
      <c r="X79" s="54">
        <f>IF(COUNTA($T79:$W79)&lt;4,"",$S79*($O79*$T79+$P79*$U79+$Q79*$V79+$R79*$W79))</f>
        <v/>
      </c>
      <c r="Y79" s="53" t="n"/>
      <c r="Z79" s="53" t="n"/>
      <c r="AA79" s="55" t="n"/>
      <c r="AB79" s="55" t="n"/>
      <c r="AC79" s="49" t="n"/>
      <c r="AD79" s="49" t="n"/>
      <c r="AE79" s="49" t="n"/>
      <c r="AF79" s="49" t="n"/>
      <c r="AG79" s="49" t="n"/>
      <c r="AH79" s="49" t="n"/>
      <c r="AI79" s="49" t="n"/>
      <c r="AJ79" s="49" t="n"/>
      <c r="AK79" s="49" t="n"/>
      <c r="AL79" s="49" t="n"/>
      <c r="AM79" s="49" t="n"/>
      <c r="AN79" s="49" t="n"/>
      <c r="AO79" s="49" t="n"/>
      <c r="AP79" s="49" t="n"/>
      <c r="AQ79" s="49" t="n"/>
      <c r="AR79" s="49" t="n"/>
      <c r="AS79" s="49" t="n"/>
      <c r="AT79" s="49" t="n"/>
      <c r="AU79" s="49" t="n"/>
      <c r="AV79" s="49" t="n"/>
      <c r="AW79" s="49" t="n"/>
      <c r="AX79" s="49" t="n"/>
      <c r="AY79" s="49" t="n"/>
    </row>
    <row r="80" ht="15" customHeight="1" s="27">
      <c r="A80" s="49" t="n"/>
      <c r="B80" s="49" t="n"/>
      <c r="C80" s="49" t="n"/>
      <c r="D80" s="49" t="n"/>
      <c r="E80" s="49" t="n"/>
      <c r="F80" s="49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51">
        <f>CONFIG_REFERENCIA!$E$3</f>
        <v/>
      </c>
      <c r="P80" s="51">
        <f>CONFIG_REFERENCIA!$E$4</f>
        <v/>
      </c>
      <c r="Q80" s="51">
        <f>CONFIG_REFERENCIA!$E$5</f>
        <v/>
      </c>
      <c r="R80" s="51">
        <f>CONFIG_REFERENCIA!$E$6</f>
        <v/>
      </c>
      <c r="S80" s="52">
        <f>IF($F80="","",INDEX(CONFIG_REFERENCIA!$B$3:$B$6,MATCH($F80,CONFIG_REFERENCIA!$A$3:$A$6,0)))</f>
        <v/>
      </c>
      <c r="T80" s="53" t="n"/>
      <c r="U80" s="53" t="n"/>
      <c r="V80" s="53" t="n"/>
      <c r="W80" s="53" t="n"/>
      <c r="X80" s="54">
        <f>IF(COUNTA($T80:$W80)&lt;4,"",$S80*($O80*$T80+$P80*$U80+$Q80*$V80+$R80*$W80))</f>
        <v/>
      </c>
      <c r="Y80" s="53" t="n"/>
      <c r="Z80" s="53" t="n"/>
      <c r="AA80" s="55" t="n"/>
      <c r="AB80" s="55" t="n"/>
      <c r="AC80" s="49" t="n"/>
      <c r="AD80" s="49" t="n"/>
      <c r="AE80" s="49" t="n"/>
      <c r="AF80" s="49" t="n"/>
      <c r="AG80" s="49" t="n"/>
      <c r="AH80" s="49" t="n"/>
      <c r="AI80" s="49" t="n"/>
      <c r="AJ80" s="49" t="n"/>
      <c r="AK80" s="49" t="n"/>
      <c r="AL80" s="49" t="n"/>
      <c r="AM80" s="49" t="n"/>
      <c r="AN80" s="49" t="n"/>
      <c r="AO80" s="49" t="n"/>
      <c r="AP80" s="49" t="n"/>
      <c r="AQ80" s="49" t="n"/>
      <c r="AR80" s="49" t="n"/>
      <c r="AS80" s="49" t="n"/>
      <c r="AT80" s="49" t="n"/>
      <c r="AU80" s="49" t="n"/>
      <c r="AV80" s="49" t="n"/>
      <c r="AW80" s="49" t="n"/>
      <c r="AX80" s="49" t="n"/>
      <c r="AY80" s="49" t="n"/>
    </row>
    <row r="81" ht="15" customHeight="1" s="27">
      <c r="A81" s="49" t="n"/>
      <c r="B81" s="49" t="n"/>
      <c r="C81" s="49" t="n"/>
      <c r="D81" s="49" t="n"/>
      <c r="E81" s="49" t="n"/>
      <c r="F81" s="49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51">
        <f>CONFIG_REFERENCIA!$E$3</f>
        <v/>
      </c>
      <c r="P81" s="51">
        <f>CONFIG_REFERENCIA!$E$4</f>
        <v/>
      </c>
      <c r="Q81" s="51">
        <f>CONFIG_REFERENCIA!$E$5</f>
        <v/>
      </c>
      <c r="R81" s="51">
        <f>CONFIG_REFERENCIA!$E$6</f>
        <v/>
      </c>
      <c r="S81" s="52">
        <f>IF($F81="","",INDEX(CONFIG_REFERENCIA!$B$3:$B$6,MATCH($F81,CONFIG_REFERENCIA!$A$3:$A$6,0)))</f>
        <v/>
      </c>
      <c r="T81" s="53" t="n"/>
      <c r="U81" s="53" t="n"/>
      <c r="V81" s="53" t="n"/>
      <c r="W81" s="53" t="n"/>
      <c r="X81" s="54">
        <f>IF(COUNTA($T81:$W81)&lt;4,"",$S81*($O81*$T81+$P81*$U81+$Q81*$V81+$R81*$W81))</f>
        <v/>
      </c>
      <c r="Y81" s="53" t="n"/>
      <c r="Z81" s="53" t="n"/>
      <c r="AA81" s="55" t="n"/>
      <c r="AB81" s="55" t="n"/>
      <c r="AC81" s="49" t="n"/>
      <c r="AD81" s="49" t="n"/>
      <c r="AE81" s="49" t="n"/>
      <c r="AF81" s="49" t="n"/>
      <c r="AG81" s="49" t="n"/>
      <c r="AH81" s="49" t="n"/>
      <c r="AI81" s="49" t="n"/>
      <c r="AJ81" s="49" t="n"/>
      <c r="AK81" s="49" t="n"/>
      <c r="AL81" s="49" t="n"/>
      <c r="AM81" s="49" t="n"/>
      <c r="AN81" s="49" t="n"/>
      <c r="AO81" s="49" t="n"/>
      <c r="AP81" s="49" t="n"/>
      <c r="AQ81" s="49" t="n"/>
      <c r="AR81" s="49" t="n"/>
      <c r="AS81" s="49" t="n"/>
      <c r="AT81" s="49" t="n"/>
      <c r="AU81" s="49" t="n"/>
      <c r="AV81" s="49" t="n"/>
      <c r="AW81" s="49" t="n"/>
      <c r="AX81" s="49" t="n"/>
      <c r="AY81" s="49" t="n"/>
    </row>
    <row r="82" ht="15" customHeight="1" s="27">
      <c r="A82" s="49" t="n"/>
      <c r="B82" s="49" t="n"/>
      <c r="C82" s="49" t="n"/>
      <c r="D82" s="49" t="n"/>
      <c r="E82" s="49" t="n"/>
      <c r="F82" s="49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51">
        <f>CONFIG_REFERENCIA!$E$3</f>
        <v/>
      </c>
      <c r="P82" s="51">
        <f>CONFIG_REFERENCIA!$E$4</f>
        <v/>
      </c>
      <c r="Q82" s="51">
        <f>CONFIG_REFERENCIA!$E$5</f>
        <v/>
      </c>
      <c r="R82" s="51">
        <f>CONFIG_REFERENCIA!$E$6</f>
        <v/>
      </c>
      <c r="S82" s="52">
        <f>IF($F82="","",INDEX(CONFIG_REFERENCIA!$B$3:$B$6,MATCH($F82,CONFIG_REFERENCIA!$A$3:$A$6,0)))</f>
        <v/>
      </c>
      <c r="T82" s="53" t="n"/>
      <c r="U82" s="53" t="n"/>
      <c r="V82" s="53" t="n"/>
      <c r="W82" s="53" t="n"/>
      <c r="X82" s="54">
        <f>IF(COUNTA($T82:$W82)&lt;4,"",$S82*($O82*$T82+$P82*$U82+$Q82*$V82+$R82*$W82))</f>
        <v/>
      </c>
      <c r="Y82" s="53" t="n"/>
      <c r="Z82" s="53" t="n"/>
      <c r="AA82" s="55" t="n"/>
      <c r="AB82" s="55" t="n"/>
      <c r="AC82" s="49" t="n"/>
      <c r="AD82" s="49" t="n"/>
      <c r="AE82" s="49" t="n"/>
      <c r="AF82" s="49" t="n"/>
      <c r="AG82" s="49" t="n"/>
      <c r="AH82" s="49" t="n"/>
      <c r="AI82" s="49" t="n"/>
      <c r="AJ82" s="49" t="n"/>
      <c r="AK82" s="49" t="n"/>
      <c r="AL82" s="49" t="n"/>
      <c r="AM82" s="49" t="n"/>
      <c r="AN82" s="49" t="n"/>
      <c r="AO82" s="49" t="n"/>
      <c r="AP82" s="49" t="n"/>
      <c r="AQ82" s="49" t="n"/>
      <c r="AR82" s="49" t="n"/>
      <c r="AS82" s="49" t="n"/>
      <c r="AT82" s="49" t="n"/>
      <c r="AU82" s="49" t="n"/>
      <c r="AV82" s="49" t="n"/>
      <c r="AW82" s="49" t="n"/>
      <c r="AX82" s="49" t="n"/>
      <c r="AY82" s="49" t="n"/>
    </row>
    <row r="83" ht="15" customHeight="1" s="27">
      <c r="A83" s="49" t="n"/>
      <c r="B83" s="49" t="n"/>
      <c r="C83" s="49" t="n"/>
      <c r="D83" s="49" t="n"/>
      <c r="E83" s="49" t="n"/>
      <c r="F83" s="49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51">
        <f>CONFIG_REFERENCIA!$E$3</f>
        <v/>
      </c>
      <c r="P83" s="51">
        <f>CONFIG_REFERENCIA!$E$4</f>
        <v/>
      </c>
      <c r="Q83" s="51">
        <f>CONFIG_REFERENCIA!$E$5</f>
        <v/>
      </c>
      <c r="R83" s="51">
        <f>CONFIG_REFERENCIA!$E$6</f>
        <v/>
      </c>
      <c r="S83" s="52">
        <f>IF($F83="","",INDEX(CONFIG_REFERENCIA!$B$3:$B$6,MATCH($F83,CONFIG_REFERENCIA!$A$3:$A$6,0)))</f>
        <v/>
      </c>
      <c r="T83" s="53" t="n"/>
      <c r="U83" s="53" t="n"/>
      <c r="V83" s="53" t="n"/>
      <c r="W83" s="53" t="n"/>
      <c r="X83" s="54">
        <f>IF(COUNTA($T83:$W83)&lt;4,"",$S83*($O83*$T83+$P83*$U83+$Q83*$V83+$R83*$W83))</f>
        <v/>
      </c>
      <c r="Y83" s="53" t="n"/>
      <c r="Z83" s="53" t="n"/>
      <c r="AA83" s="55" t="n"/>
      <c r="AB83" s="55" t="n"/>
      <c r="AC83" s="49" t="n"/>
      <c r="AD83" s="49" t="n"/>
      <c r="AE83" s="49" t="n"/>
      <c r="AF83" s="49" t="n"/>
      <c r="AG83" s="49" t="n"/>
      <c r="AH83" s="49" t="n"/>
      <c r="AI83" s="49" t="n"/>
      <c r="AJ83" s="49" t="n"/>
      <c r="AK83" s="49" t="n"/>
      <c r="AL83" s="49" t="n"/>
      <c r="AM83" s="49" t="n"/>
      <c r="AN83" s="49" t="n"/>
      <c r="AO83" s="49" t="n"/>
      <c r="AP83" s="49" t="n"/>
      <c r="AQ83" s="49" t="n"/>
      <c r="AR83" s="49" t="n"/>
      <c r="AS83" s="49" t="n"/>
      <c r="AT83" s="49" t="n"/>
      <c r="AU83" s="49" t="n"/>
      <c r="AV83" s="49" t="n"/>
      <c r="AW83" s="49" t="n"/>
      <c r="AX83" s="49" t="n"/>
      <c r="AY83" s="49" t="n"/>
    </row>
    <row r="84" ht="15" customHeight="1" s="27">
      <c r="A84" s="49" t="n"/>
      <c r="B84" s="49" t="n"/>
      <c r="C84" s="49" t="n"/>
      <c r="D84" s="49" t="n"/>
      <c r="E84" s="49" t="n"/>
      <c r="F84" s="49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51">
        <f>CONFIG_REFERENCIA!$E$3</f>
        <v/>
      </c>
      <c r="P84" s="51">
        <f>CONFIG_REFERENCIA!$E$4</f>
        <v/>
      </c>
      <c r="Q84" s="51">
        <f>CONFIG_REFERENCIA!$E$5</f>
        <v/>
      </c>
      <c r="R84" s="51">
        <f>CONFIG_REFERENCIA!$E$6</f>
        <v/>
      </c>
      <c r="S84" s="52">
        <f>IF($F84="","",INDEX(CONFIG_REFERENCIA!$B$3:$B$6,MATCH($F84,CONFIG_REFERENCIA!$A$3:$A$6,0)))</f>
        <v/>
      </c>
      <c r="T84" s="53" t="n"/>
      <c r="U84" s="53" t="n"/>
      <c r="V84" s="53" t="n"/>
      <c r="W84" s="53" t="n"/>
      <c r="X84" s="54">
        <f>IF(COUNTA($T84:$W84)&lt;4,"",$S84*($O84*$T84+$P84*$U84+$Q84*$V84+$R84*$W84))</f>
        <v/>
      </c>
      <c r="Y84" s="53" t="n"/>
      <c r="Z84" s="53" t="n"/>
      <c r="AA84" s="55" t="n"/>
      <c r="AB84" s="55" t="n"/>
      <c r="AC84" s="49" t="n"/>
      <c r="AD84" s="49" t="n"/>
      <c r="AE84" s="49" t="n"/>
      <c r="AF84" s="49" t="n"/>
      <c r="AG84" s="49" t="n"/>
      <c r="AH84" s="49" t="n"/>
      <c r="AI84" s="49" t="n"/>
      <c r="AJ84" s="49" t="n"/>
      <c r="AK84" s="49" t="n"/>
      <c r="AL84" s="49" t="n"/>
      <c r="AM84" s="49" t="n"/>
      <c r="AN84" s="49" t="n"/>
      <c r="AO84" s="49" t="n"/>
      <c r="AP84" s="49" t="n"/>
      <c r="AQ84" s="49" t="n"/>
      <c r="AR84" s="49" t="n"/>
      <c r="AS84" s="49" t="n"/>
      <c r="AT84" s="49" t="n"/>
      <c r="AU84" s="49" t="n"/>
      <c r="AV84" s="49" t="n"/>
      <c r="AW84" s="49" t="n"/>
      <c r="AX84" s="49" t="n"/>
      <c r="AY84" s="49" t="n"/>
    </row>
    <row r="85" ht="15" customHeight="1" s="27">
      <c r="A85" s="49" t="n"/>
      <c r="B85" s="49" t="n"/>
      <c r="C85" s="49" t="n"/>
      <c r="D85" s="49" t="n"/>
      <c r="E85" s="49" t="n"/>
      <c r="F85" s="49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51">
        <f>CONFIG_REFERENCIA!$E$3</f>
        <v/>
      </c>
      <c r="P85" s="51">
        <f>CONFIG_REFERENCIA!$E$4</f>
        <v/>
      </c>
      <c r="Q85" s="51">
        <f>CONFIG_REFERENCIA!$E$5</f>
        <v/>
      </c>
      <c r="R85" s="51">
        <f>CONFIG_REFERENCIA!$E$6</f>
        <v/>
      </c>
      <c r="S85" s="52">
        <f>IF($F85="","",INDEX(CONFIG_REFERENCIA!$B$3:$B$6,MATCH($F85,CONFIG_REFERENCIA!$A$3:$A$6,0)))</f>
        <v/>
      </c>
      <c r="T85" s="53" t="n"/>
      <c r="U85" s="53" t="n"/>
      <c r="V85" s="53" t="n"/>
      <c r="W85" s="53" t="n"/>
      <c r="X85" s="54">
        <f>IF(COUNTA($T85:$W85)&lt;4,"",$S85*($O85*$T85+$P85*$U85+$Q85*$V85+$R85*$W85))</f>
        <v/>
      </c>
      <c r="Y85" s="53" t="n"/>
      <c r="Z85" s="53" t="n"/>
      <c r="AA85" s="55" t="n"/>
      <c r="AB85" s="55" t="n"/>
      <c r="AC85" s="49" t="n"/>
      <c r="AD85" s="49" t="n"/>
      <c r="AE85" s="49" t="n"/>
      <c r="AF85" s="49" t="n"/>
      <c r="AG85" s="49" t="n"/>
      <c r="AH85" s="49" t="n"/>
      <c r="AI85" s="49" t="n"/>
      <c r="AJ85" s="49" t="n"/>
      <c r="AK85" s="49" t="n"/>
      <c r="AL85" s="49" t="n"/>
      <c r="AM85" s="49" t="n"/>
      <c r="AN85" s="49" t="n"/>
      <c r="AO85" s="49" t="n"/>
      <c r="AP85" s="49" t="n"/>
      <c r="AQ85" s="49" t="n"/>
      <c r="AR85" s="49" t="n"/>
      <c r="AS85" s="49" t="n"/>
      <c r="AT85" s="49" t="n"/>
      <c r="AU85" s="49" t="n"/>
      <c r="AV85" s="49" t="n"/>
      <c r="AW85" s="49" t="n"/>
      <c r="AX85" s="49" t="n"/>
      <c r="AY85" s="49" t="n"/>
    </row>
    <row r="86" ht="15" customHeight="1" s="27">
      <c r="A86" s="49" t="n"/>
      <c r="B86" s="49" t="n"/>
      <c r="C86" s="49" t="n"/>
      <c r="D86" s="49" t="n"/>
      <c r="E86" s="49" t="n"/>
      <c r="F86" s="49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51">
        <f>CONFIG_REFERENCIA!$E$3</f>
        <v/>
      </c>
      <c r="P86" s="51">
        <f>CONFIG_REFERENCIA!$E$4</f>
        <v/>
      </c>
      <c r="Q86" s="51">
        <f>CONFIG_REFERENCIA!$E$5</f>
        <v/>
      </c>
      <c r="R86" s="51">
        <f>CONFIG_REFERENCIA!$E$6</f>
        <v/>
      </c>
      <c r="S86" s="52">
        <f>IF($F86="","",INDEX(CONFIG_REFERENCIA!$B$3:$B$6,MATCH($F86,CONFIG_REFERENCIA!$A$3:$A$6,0)))</f>
        <v/>
      </c>
      <c r="T86" s="53" t="n"/>
      <c r="U86" s="53" t="n"/>
      <c r="V86" s="53" t="n"/>
      <c r="W86" s="53" t="n"/>
      <c r="X86" s="54">
        <f>IF(COUNTA($T86:$W86)&lt;4,"",$S86*($O86*$T86+$P86*$U86+$Q86*$V86+$R86*$W86))</f>
        <v/>
      </c>
      <c r="Y86" s="53" t="n"/>
      <c r="Z86" s="53" t="n"/>
      <c r="AA86" s="55" t="n"/>
      <c r="AB86" s="55" t="n"/>
      <c r="AC86" s="49" t="n"/>
      <c r="AD86" s="49" t="n"/>
      <c r="AE86" s="49" t="n"/>
      <c r="AF86" s="49" t="n"/>
      <c r="AG86" s="49" t="n"/>
      <c r="AH86" s="49" t="n"/>
      <c r="AI86" s="49" t="n"/>
      <c r="AJ86" s="49" t="n"/>
      <c r="AK86" s="49" t="n"/>
      <c r="AL86" s="49" t="n"/>
      <c r="AM86" s="49" t="n"/>
      <c r="AN86" s="49" t="n"/>
      <c r="AO86" s="49" t="n"/>
      <c r="AP86" s="49" t="n"/>
      <c r="AQ86" s="49" t="n"/>
      <c r="AR86" s="49" t="n"/>
      <c r="AS86" s="49" t="n"/>
      <c r="AT86" s="49" t="n"/>
      <c r="AU86" s="49" t="n"/>
      <c r="AV86" s="49" t="n"/>
      <c r="AW86" s="49" t="n"/>
      <c r="AX86" s="49" t="n"/>
      <c r="AY86" s="49" t="n"/>
    </row>
    <row r="87" ht="15" customHeight="1" s="27">
      <c r="A87" s="49" t="n"/>
      <c r="B87" s="49" t="n"/>
      <c r="C87" s="49" t="n"/>
      <c r="D87" s="49" t="n"/>
      <c r="E87" s="49" t="n"/>
      <c r="F87" s="49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51">
        <f>CONFIG_REFERENCIA!$E$3</f>
        <v/>
      </c>
      <c r="P87" s="51">
        <f>CONFIG_REFERENCIA!$E$4</f>
        <v/>
      </c>
      <c r="Q87" s="51">
        <f>CONFIG_REFERENCIA!$E$5</f>
        <v/>
      </c>
      <c r="R87" s="51">
        <f>CONFIG_REFERENCIA!$E$6</f>
        <v/>
      </c>
      <c r="S87" s="52">
        <f>IF($F87="","",INDEX(CONFIG_REFERENCIA!$B$3:$B$6,MATCH($F87,CONFIG_REFERENCIA!$A$3:$A$6,0)))</f>
        <v/>
      </c>
      <c r="T87" s="53" t="n"/>
      <c r="U87" s="53" t="n"/>
      <c r="V87" s="53" t="n"/>
      <c r="W87" s="53" t="n"/>
      <c r="X87" s="54">
        <f>IF(COUNTA($T87:$W87)&lt;4,"",$S87*($O87*$T87+$P87*$U87+$Q87*$V87+$R87*$W87))</f>
        <v/>
      </c>
      <c r="Y87" s="53" t="n"/>
      <c r="Z87" s="53" t="n"/>
      <c r="AA87" s="55" t="n"/>
      <c r="AB87" s="55" t="n"/>
      <c r="AC87" s="49" t="n"/>
      <c r="AD87" s="49" t="n"/>
      <c r="AE87" s="49" t="n"/>
      <c r="AF87" s="49" t="n"/>
      <c r="AG87" s="49" t="n"/>
      <c r="AH87" s="49" t="n"/>
      <c r="AI87" s="49" t="n"/>
      <c r="AJ87" s="49" t="n"/>
      <c r="AK87" s="49" t="n"/>
      <c r="AL87" s="49" t="n"/>
      <c r="AM87" s="49" t="n"/>
      <c r="AN87" s="49" t="n"/>
      <c r="AO87" s="49" t="n"/>
      <c r="AP87" s="49" t="n"/>
      <c r="AQ87" s="49" t="n"/>
      <c r="AR87" s="49" t="n"/>
      <c r="AS87" s="49" t="n"/>
      <c r="AT87" s="49" t="n"/>
      <c r="AU87" s="49" t="n"/>
      <c r="AV87" s="49" t="n"/>
      <c r="AW87" s="49" t="n"/>
      <c r="AX87" s="49" t="n"/>
      <c r="AY87" s="49" t="n"/>
    </row>
    <row r="88" ht="15" customHeight="1" s="27">
      <c r="A88" s="49" t="n"/>
      <c r="B88" s="49" t="n"/>
      <c r="C88" s="49" t="n"/>
      <c r="D88" s="49" t="n"/>
      <c r="E88" s="49" t="n"/>
      <c r="F88" s="49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51">
        <f>CONFIG_REFERENCIA!$E$3</f>
        <v/>
      </c>
      <c r="P88" s="51">
        <f>CONFIG_REFERENCIA!$E$4</f>
        <v/>
      </c>
      <c r="Q88" s="51">
        <f>CONFIG_REFERENCIA!$E$5</f>
        <v/>
      </c>
      <c r="R88" s="51">
        <f>CONFIG_REFERENCIA!$E$6</f>
        <v/>
      </c>
      <c r="S88" s="52">
        <f>IF($F88="","",INDEX(CONFIG_REFERENCIA!$B$3:$B$6,MATCH($F88,CONFIG_REFERENCIA!$A$3:$A$6,0)))</f>
        <v/>
      </c>
      <c r="T88" s="53" t="n"/>
      <c r="U88" s="53" t="n"/>
      <c r="V88" s="53" t="n"/>
      <c r="W88" s="53" t="n"/>
      <c r="X88" s="54">
        <f>IF(COUNTA($T88:$W88)&lt;4,"",$S88*($O88*$T88+$P88*$U88+$Q88*$V88+$R88*$W88))</f>
        <v/>
      </c>
      <c r="Y88" s="53" t="n"/>
      <c r="Z88" s="53" t="n"/>
      <c r="AA88" s="55" t="n"/>
      <c r="AB88" s="55" t="n"/>
      <c r="AC88" s="49" t="n"/>
      <c r="AD88" s="49" t="n"/>
      <c r="AE88" s="49" t="n"/>
      <c r="AF88" s="49" t="n"/>
      <c r="AG88" s="49" t="n"/>
      <c r="AH88" s="49" t="n"/>
      <c r="AI88" s="49" t="n"/>
      <c r="AJ88" s="49" t="n"/>
      <c r="AK88" s="49" t="n"/>
      <c r="AL88" s="49" t="n"/>
      <c r="AM88" s="49" t="n"/>
      <c r="AN88" s="49" t="n"/>
      <c r="AO88" s="49" t="n"/>
      <c r="AP88" s="49" t="n"/>
      <c r="AQ88" s="49" t="n"/>
      <c r="AR88" s="49" t="n"/>
      <c r="AS88" s="49" t="n"/>
      <c r="AT88" s="49" t="n"/>
      <c r="AU88" s="49" t="n"/>
      <c r="AV88" s="49" t="n"/>
      <c r="AW88" s="49" t="n"/>
      <c r="AX88" s="49" t="n"/>
      <c r="AY88" s="49" t="n"/>
    </row>
    <row r="89" ht="15" customHeight="1" s="27">
      <c r="A89" s="49" t="n"/>
      <c r="B89" s="49" t="n"/>
      <c r="C89" s="49" t="n"/>
      <c r="D89" s="49" t="n"/>
      <c r="E89" s="49" t="n"/>
      <c r="F89" s="49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51">
        <f>CONFIG_REFERENCIA!$E$3</f>
        <v/>
      </c>
      <c r="P89" s="51">
        <f>CONFIG_REFERENCIA!$E$4</f>
        <v/>
      </c>
      <c r="Q89" s="51">
        <f>CONFIG_REFERENCIA!$E$5</f>
        <v/>
      </c>
      <c r="R89" s="51">
        <f>CONFIG_REFERENCIA!$E$6</f>
        <v/>
      </c>
      <c r="S89" s="52">
        <f>IF($F89="","",INDEX(CONFIG_REFERENCIA!$B$3:$B$6,MATCH($F89,CONFIG_REFERENCIA!$A$3:$A$6,0)))</f>
        <v/>
      </c>
      <c r="T89" s="53" t="n"/>
      <c r="U89" s="53" t="n"/>
      <c r="V89" s="53" t="n"/>
      <c r="W89" s="53" t="n"/>
      <c r="X89" s="54">
        <f>IF(COUNTA($T89:$W89)&lt;4,"",$S89*($O89*$T89+$P89*$U89+$Q89*$V89+$R89*$W89))</f>
        <v/>
      </c>
      <c r="Y89" s="53" t="n"/>
      <c r="Z89" s="53" t="n"/>
      <c r="AA89" s="55" t="n"/>
      <c r="AB89" s="55" t="n"/>
      <c r="AC89" s="49" t="n"/>
      <c r="AD89" s="49" t="n"/>
      <c r="AE89" s="49" t="n"/>
      <c r="AF89" s="49" t="n"/>
      <c r="AG89" s="49" t="n"/>
      <c r="AH89" s="49" t="n"/>
      <c r="AI89" s="49" t="n"/>
      <c r="AJ89" s="49" t="n"/>
      <c r="AK89" s="49" t="n"/>
      <c r="AL89" s="49" t="n"/>
      <c r="AM89" s="49" t="n"/>
      <c r="AN89" s="49" t="n"/>
      <c r="AO89" s="49" t="n"/>
      <c r="AP89" s="49" t="n"/>
      <c r="AQ89" s="49" t="n"/>
      <c r="AR89" s="49" t="n"/>
      <c r="AS89" s="49" t="n"/>
      <c r="AT89" s="49" t="n"/>
      <c r="AU89" s="49" t="n"/>
      <c r="AV89" s="49" t="n"/>
      <c r="AW89" s="49" t="n"/>
      <c r="AX89" s="49" t="n"/>
      <c r="AY89" s="49" t="n"/>
    </row>
    <row r="90" ht="15" customHeight="1" s="27">
      <c r="A90" s="49" t="n"/>
      <c r="B90" s="49" t="n"/>
      <c r="C90" s="49" t="n"/>
      <c r="D90" s="49" t="n"/>
      <c r="E90" s="49" t="n"/>
      <c r="F90" s="49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51">
        <f>CONFIG_REFERENCIA!$E$3</f>
        <v/>
      </c>
      <c r="P90" s="51">
        <f>CONFIG_REFERENCIA!$E$4</f>
        <v/>
      </c>
      <c r="Q90" s="51">
        <f>CONFIG_REFERENCIA!$E$5</f>
        <v/>
      </c>
      <c r="R90" s="51">
        <f>CONFIG_REFERENCIA!$E$6</f>
        <v/>
      </c>
      <c r="S90" s="52">
        <f>IF($F90="","",INDEX(CONFIG_REFERENCIA!$B$3:$B$6,MATCH($F90,CONFIG_REFERENCIA!$A$3:$A$6,0)))</f>
        <v/>
      </c>
      <c r="T90" s="53" t="n"/>
      <c r="U90" s="53" t="n"/>
      <c r="V90" s="53" t="n"/>
      <c r="W90" s="53" t="n"/>
      <c r="X90" s="54">
        <f>IF(COUNTA($T90:$W90)&lt;4,"",$S90*($O90*$T90+$P90*$U90+$Q90*$V90+$R90*$W90))</f>
        <v/>
      </c>
      <c r="Y90" s="53" t="n"/>
      <c r="Z90" s="53" t="n"/>
      <c r="AA90" s="55" t="n"/>
      <c r="AB90" s="55" t="n"/>
      <c r="AC90" s="49" t="n"/>
      <c r="AD90" s="49" t="n"/>
      <c r="AE90" s="49" t="n"/>
      <c r="AF90" s="49" t="n"/>
      <c r="AG90" s="49" t="n"/>
      <c r="AH90" s="49" t="n"/>
      <c r="AI90" s="49" t="n"/>
      <c r="AJ90" s="49" t="n"/>
      <c r="AK90" s="49" t="n"/>
      <c r="AL90" s="49" t="n"/>
      <c r="AM90" s="49" t="n"/>
      <c r="AN90" s="49" t="n"/>
      <c r="AO90" s="49" t="n"/>
      <c r="AP90" s="49" t="n"/>
      <c r="AQ90" s="49" t="n"/>
      <c r="AR90" s="49" t="n"/>
      <c r="AS90" s="49" t="n"/>
      <c r="AT90" s="49" t="n"/>
      <c r="AU90" s="49" t="n"/>
      <c r="AV90" s="49" t="n"/>
      <c r="AW90" s="49" t="n"/>
      <c r="AX90" s="49" t="n"/>
      <c r="AY90" s="49" t="n"/>
    </row>
    <row r="91" ht="15" customHeight="1" s="27">
      <c r="A91" s="49" t="n"/>
      <c r="B91" s="49" t="n"/>
      <c r="C91" s="49" t="n"/>
      <c r="D91" s="49" t="n"/>
      <c r="E91" s="49" t="n"/>
      <c r="F91" s="49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51">
        <f>CONFIG_REFERENCIA!$E$3</f>
        <v/>
      </c>
      <c r="P91" s="51">
        <f>CONFIG_REFERENCIA!$E$4</f>
        <v/>
      </c>
      <c r="Q91" s="51">
        <f>CONFIG_REFERENCIA!$E$5</f>
        <v/>
      </c>
      <c r="R91" s="51">
        <f>CONFIG_REFERENCIA!$E$6</f>
        <v/>
      </c>
      <c r="S91" s="52">
        <f>IF($F91="","",INDEX(CONFIG_REFERENCIA!$B$3:$B$6,MATCH($F91,CONFIG_REFERENCIA!$A$3:$A$6,0)))</f>
        <v/>
      </c>
      <c r="T91" s="53" t="n"/>
      <c r="U91" s="53" t="n"/>
      <c r="V91" s="53" t="n"/>
      <c r="W91" s="53" t="n"/>
      <c r="X91" s="54">
        <f>IF(COUNTA($T91:$W91)&lt;4,"",$S91*($O91*$T91+$P91*$U91+$Q91*$V91+$R91*$W91))</f>
        <v/>
      </c>
      <c r="Y91" s="53" t="n"/>
      <c r="Z91" s="53" t="n"/>
      <c r="AA91" s="55" t="n"/>
      <c r="AB91" s="55" t="n"/>
      <c r="AC91" s="49" t="n"/>
      <c r="AD91" s="49" t="n"/>
      <c r="AE91" s="49" t="n"/>
      <c r="AF91" s="49" t="n"/>
      <c r="AG91" s="49" t="n"/>
      <c r="AH91" s="49" t="n"/>
      <c r="AI91" s="49" t="n"/>
      <c r="AJ91" s="49" t="n"/>
      <c r="AK91" s="49" t="n"/>
      <c r="AL91" s="49" t="n"/>
      <c r="AM91" s="49" t="n"/>
      <c r="AN91" s="49" t="n"/>
      <c r="AO91" s="49" t="n"/>
      <c r="AP91" s="49" t="n"/>
      <c r="AQ91" s="49" t="n"/>
      <c r="AR91" s="49" t="n"/>
      <c r="AS91" s="49" t="n"/>
      <c r="AT91" s="49" t="n"/>
      <c r="AU91" s="49" t="n"/>
      <c r="AV91" s="49" t="n"/>
      <c r="AW91" s="49" t="n"/>
      <c r="AX91" s="49" t="n"/>
      <c r="AY91" s="49" t="n"/>
    </row>
    <row r="92" ht="15" customHeight="1" s="27">
      <c r="A92" s="49" t="n"/>
      <c r="B92" s="49" t="n"/>
      <c r="C92" s="49" t="n"/>
      <c r="D92" s="49" t="n"/>
      <c r="E92" s="49" t="n"/>
      <c r="F92" s="49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51">
        <f>CONFIG_REFERENCIA!$E$3</f>
        <v/>
      </c>
      <c r="P92" s="51">
        <f>CONFIG_REFERENCIA!$E$4</f>
        <v/>
      </c>
      <c r="Q92" s="51">
        <f>CONFIG_REFERENCIA!$E$5</f>
        <v/>
      </c>
      <c r="R92" s="51">
        <f>CONFIG_REFERENCIA!$E$6</f>
        <v/>
      </c>
      <c r="S92" s="52">
        <f>IF($F92="","",INDEX(CONFIG_REFERENCIA!$B$3:$B$6,MATCH($F92,CONFIG_REFERENCIA!$A$3:$A$6,0)))</f>
        <v/>
      </c>
      <c r="T92" s="53" t="n"/>
      <c r="U92" s="53" t="n"/>
      <c r="V92" s="53" t="n"/>
      <c r="W92" s="53" t="n"/>
      <c r="X92" s="54">
        <f>IF(COUNTA($T92:$W92)&lt;4,"",$S92*($O92*$T92+$P92*$U92+$Q92*$V92+$R92*$W92))</f>
        <v/>
      </c>
      <c r="Y92" s="53" t="n"/>
      <c r="Z92" s="53" t="n"/>
      <c r="AA92" s="55" t="n"/>
      <c r="AB92" s="55" t="n"/>
      <c r="AC92" s="49" t="n"/>
      <c r="AD92" s="49" t="n"/>
      <c r="AE92" s="49" t="n"/>
      <c r="AF92" s="49" t="n"/>
      <c r="AG92" s="49" t="n"/>
      <c r="AH92" s="49" t="n"/>
      <c r="AI92" s="49" t="n"/>
      <c r="AJ92" s="49" t="n"/>
      <c r="AK92" s="49" t="n"/>
      <c r="AL92" s="49" t="n"/>
      <c r="AM92" s="49" t="n"/>
      <c r="AN92" s="49" t="n"/>
      <c r="AO92" s="49" t="n"/>
      <c r="AP92" s="49" t="n"/>
      <c r="AQ92" s="49" t="n"/>
      <c r="AR92" s="49" t="n"/>
      <c r="AS92" s="49" t="n"/>
      <c r="AT92" s="49" t="n"/>
      <c r="AU92" s="49" t="n"/>
      <c r="AV92" s="49" t="n"/>
      <c r="AW92" s="49" t="n"/>
      <c r="AX92" s="49" t="n"/>
      <c r="AY92" s="49" t="n"/>
    </row>
    <row r="93" ht="15" customHeight="1" s="27">
      <c r="A93" s="49" t="n"/>
      <c r="B93" s="49" t="n"/>
      <c r="C93" s="49" t="n"/>
      <c r="D93" s="49" t="n"/>
      <c r="E93" s="49" t="n"/>
      <c r="F93" s="49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51">
        <f>CONFIG_REFERENCIA!$E$3</f>
        <v/>
      </c>
      <c r="P93" s="51">
        <f>CONFIG_REFERENCIA!$E$4</f>
        <v/>
      </c>
      <c r="Q93" s="51">
        <f>CONFIG_REFERENCIA!$E$5</f>
        <v/>
      </c>
      <c r="R93" s="51">
        <f>CONFIG_REFERENCIA!$E$6</f>
        <v/>
      </c>
      <c r="S93" s="52">
        <f>IF($F93="","",INDEX(CONFIG_REFERENCIA!$B$3:$B$6,MATCH($F93,CONFIG_REFERENCIA!$A$3:$A$6,0)))</f>
        <v/>
      </c>
      <c r="T93" s="53" t="n"/>
      <c r="U93" s="53" t="n"/>
      <c r="V93" s="53" t="n"/>
      <c r="W93" s="53" t="n"/>
      <c r="X93" s="54">
        <f>IF(COUNTA($T93:$W93)&lt;4,"",$S93*($O93*$T93+$P93*$U93+$Q93*$V93+$R93*$W93))</f>
        <v/>
      </c>
      <c r="Y93" s="53" t="n"/>
      <c r="Z93" s="53" t="n"/>
      <c r="AA93" s="55" t="n"/>
      <c r="AB93" s="55" t="n"/>
      <c r="AC93" s="49" t="n"/>
      <c r="AD93" s="49" t="n"/>
      <c r="AE93" s="49" t="n"/>
      <c r="AF93" s="49" t="n"/>
      <c r="AG93" s="49" t="n"/>
      <c r="AH93" s="49" t="n"/>
      <c r="AI93" s="49" t="n"/>
      <c r="AJ93" s="49" t="n"/>
      <c r="AK93" s="49" t="n"/>
      <c r="AL93" s="49" t="n"/>
      <c r="AM93" s="49" t="n"/>
      <c r="AN93" s="49" t="n"/>
      <c r="AO93" s="49" t="n"/>
      <c r="AP93" s="49" t="n"/>
      <c r="AQ93" s="49" t="n"/>
      <c r="AR93" s="49" t="n"/>
      <c r="AS93" s="49" t="n"/>
      <c r="AT93" s="49" t="n"/>
      <c r="AU93" s="49" t="n"/>
      <c r="AV93" s="49" t="n"/>
      <c r="AW93" s="49" t="n"/>
      <c r="AX93" s="49" t="n"/>
      <c r="AY93" s="49" t="n"/>
    </row>
    <row r="94" ht="15" customHeight="1" s="27">
      <c r="A94" s="49" t="n"/>
      <c r="B94" s="49" t="n"/>
      <c r="C94" s="49" t="n"/>
      <c r="D94" s="49" t="n"/>
      <c r="E94" s="49" t="n"/>
      <c r="F94" s="49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51">
        <f>CONFIG_REFERENCIA!$E$3</f>
        <v/>
      </c>
      <c r="P94" s="51">
        <f>CONFIG_REFERENCIA!$E$4</f>
        <v/>
      </c>
      <c r="Q94" s="51">
        <f>CONFIG_REFERENCIA!$E$5</f>
        <v/>
      </c>
      <c r="R94" s="51">
        <f>CONFIG_REFERENCIA!$E$6</f>
        <v/>
      </c>
      <c r="S94" s="52">
        <f>IF($F94="","",INDEX(CONFIG_REFERENCIA!$B$3:$B$6,MATCH($F94,CONFIG_REFERENCIA!$A$3:$A$6,0)))</f>
        <v/>
      </c>
      <c r="T94" s="53" t="n"/>
      <c r="U94" s="53" t="n"/>
      <c r="V94" s="53" t="n"/>
      <c r="W94" s="53" t="n"/>
      <c r="X94" s="54">
        <f>IF(COUNTA($T94:$W94)&lt;4,"",$S94*($O94*$T94+$P94*$U94+$Q94*$V94+$R94*$W94))</f>
        <v/>
      </c>
      <c r="Y94" s="53" t="n"/>
      <c r="Z94" s="53" t="n"/>
      <c r="AA94" s="55" t="n"/>
      <c r="AB94" s="55" t="n"/>
      <c r="AC94" s="49" t="n"/>
      <c r="AD94" s="49" t="n"/>
      <c r="AE94" s="49" t="n"/>
      <c r="AF94" s="49" t="n"/>
      <c r="AG94" s="49" t="n"/>
      <c r="AH94" s="49" t="n"/>
      <c r="AI94" s="49" t="n"/>
      <c r="AJ94" s="49" t="n"/>
      <c r="AK94" s="49" t="n"/>
      <c r="AL94" s="49" t="n"/>
      <c r="AM94" s="49" t="n"/>
      <c r="AN94" s="49" t="n"/>
      <c r="AO94" s="49" t="n"/>
      <c r="AP94" s="49" t="n"/>
      <c r="AQ94" s="49" t="n"/>
      <c r="AR94" s="49" t="n"/>
      <c r="AS94" s="49" t="n"/>
      <c r="AT94" s="49" t="n"/>
      <c r="AU94" s="49" t="n"/>
      <c r="AV94" s="49" t="n"/>
      <c r="AW94" s="49" t="n"/>
      <c r="AX94" s="49" t="n"/>
      <c r="AY94" s="49" t="n"/>
    </row>
    <row r="95" ht="15" customHeight="1" s="27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51">
        <f>CONFIG_REFERENCIA!$E$3</f>
        <v/>
      </c>
      <c r="P95" s="51">
        <f>CONFIG_REFERENCIA!$E$4</f>
        <v/>
      </c>
      <c r="Q95" s="51">
        <f>CONFIG_REFERENCIA!$E$5</f>
        <v/>
      </c>
      <c r="R95" s="51">
        <f>CONFIG_REFERENCIA!$E$6</f>
        <v/>
      </c>
      <c r="S95" s="52">
        <f>IF($F95="","",INDEX(CONFIG_REFERENCIA!$B$3:$B$6,MATCH($F95,CONFIG_REFERENCIA!$A$3:$A$6,0)))</f>
        <v/>
      </c>
      <c r="T95" s="53" t="n"/>
      <c r="U95" s="53" t="n"/>
      <c r="V95" s="53" t="n"/>
      <c r="W95" s="53" t="n"/>
      <c r="X95" s="54">
        <f>IF(COUNTA($T95:$W95)&lt;4,"",$S95*($O95*$T95+$P95*$U95+$Q95*$V95+$R95*$W95))</f>
        <v/>
      </c>
      <c r="Y95" s="53" t="n"/>
      <c r="Z95" s="53" t="n"/>
      <c r="AA95" s="55" t="n"/>
      <c r="AB95" s="55" t="n"/>
      <c r="AC95" s="49" t="n"/>
      <c r="AD95" s="49" t="n"/>
      <c r="AE95" s="49" t="n"/>
      <c r="AF95" s="49" t="n"/>
      <c r="AG95" s="49" t="n"/>
      <c r="AH95" s="49" t="n"/>
      <c r="AI95" s="49" t="n"/>
      <c r="AJ95" s="49" t="n"/>
      <c r="AK95" s="49" t="n"/>
      <c r="AL95" s="49" t="n"/>
      <c r="AM95" s="49" t="n"/>
      <c r="AN95" s="49" t="n"/>
      <c r="AO95" s="49" t="n"/>
      <c r="AP95" s="49" t="n"/>
      <c r="AQ95" s="49" t="n"/>
      <c r="AR95" s="49" t="n"/>
      <c r="AS95" s="49" t="n"/>
      <c r="AT95" s="49" t="n"/>
      <c r="AU95" s="49" t="n"/>
      <c r="AV95" s="49" t="n"/>
      <c r="AW95" s="49" t="n"/>
      <c r="AX95" s="49" t="n"/>
      <c r="AY95" s="49" t="n"/>
    </row>
    <row r="96" ht="15" customHeight="1" s="27">
      <c r="A96" s="49" t="n"/>
      <c r="B96" s="49" t="n"/>
      <c r="C96" s="49" t="n"/>
      <c r="D96" s="49" t="n"/>
      <c r="E96" s="49" t="n"/>
      <c r="F96" s="49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51">
        <f>CONFIG_REFERENCIA!$E$3</f>
        <v/>
      </c>
      <c r="P96" s="51">
        <f>CONFIG_REFERENCIA!$E$4</f>
        <v/>
      </c>
      <c r="Q96" s="51">
        <f>CONFIG_REFERENCIA!$E$5</f>
        <v/>
      </c>
      <c r="R96" s="51">
        <f>CONFIG_REFERENCIA!$E$6</f>
        <v/>
      </c>
      <c r="S96" s="52">
        <f>IF($F96="","",INDEX(CONFIG_REFERENCIA!$B$3:$B$6,MATCH($F96,CONFIG_REFERENCIA!$A$3:$A$6,0)))</f>
        <v/>
      </c>
      <c r="T96" s="53" t="n"/>
      <c r="U96" s="53" t="n"/>
      <c r="V96" s="53" t="n"/>
      <c r="W96" s="53" t="n"/>
      <c r="X96" s="54">
        <f>IF(COUNTA($T96:$W96)&lt;4,"",$S96*($O96*$T96+$P96*$U96+$Q96*$V96+$R96*$W96))</f>
        <v/>
      </c>
      <c r="Y96" s="53" t="n"/>
      <c r="Z96" s="53" t="n"/>
      <c r="AA96" s="55" t="n"/>
      <c r="AB96" s="55" t="n"/>
      <c r="AC96" s="49" t="n"/>
      <c r="AD96" s="49" t="n"/>
      <c r="AE96" s="49" t="n"/>
      <c r="AF96" s="49" t="n"/>
      <c r="AG96" s="49" t="n"/>
      <c r="AH96" s="49" t="n"/>
      <c r="AI96" s="49" t="n"/>
      <c r="AJ96" s="49" t="n"/>
      <c r="AK96" s="49" t="n"/>
      <c r="AL96" s="49" t="n"/>
      <c r="AM96" s="49" t="n"/>
      <c r="AN96" s="49" t="n"/>
      <c r="AO96" s="49" t="n"/>
      <c r="AP96" s="49" t="n"/>
      <c r="AQ96" s="49" t="n"/>
      <c r="AR96" s="49" t="n"/>
      <c r="AS96" s="49" t="n"/>
      <c r="AT96" s="49" t="n"/>
      <c r="AU96" s="49" t="n"/>
      <c r="AV96" s="49" t="n"/>
      <c r="AW96" s="49" t="n"/>
      <c r="AX96" s="49" t="n"/>
      <c r="AY96" s="49" t="n"/>
    </row>
    <row r="97" ht="15" customHeight="1" s="27">
      <c r="A97" s="49" t="n"/>
      <c r="B97" s="49" t="n"/>
      <c r="C97" s="49" t="n"/>
      <c r="D97" s="49" t="n"/>
      <c r="E97" s="49" t="n"/>
      <c r="F97" s="49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51">
        <f>CONFIG_REFERENCIA!$E$3</f>
        <v/>
      </c>
      <c r="P97" s="51">
        <f>CONFIG_REFERENCIA!$E$4</f>
        <v/>
      </c>
      <c r="Q97" s="51">
        <f>CONFIG_REFERENCIA!$E$5</f>
        <v/>
      </c>
      <c r="R97" s="51">
        <f>CONFIG_REFERENCIA!$E$6</f>
        <v/>
      </c>
      <c r="S97" s="52">
        <f>IF($F97="","",INDEX(CONFIG_REFERENCIA!$B$3:$B$6,MATCH($F97,CONFIG_REFERENCIA!$A$3:$A$6,0)))</f>
        <v/>
      </c>
      <c r="T97" s="53" t="n"/>
      <c r="U97" s="53" t="n"/>
      <c r="V97" s="53" t="n"/>
      <c r="W97" s="53" t="n"/>
      <c r="X97" s="54">
        <f>IF(COUNTA($T97:$W97)&lt;4,"",$S97*($O97*$T97+$P97*$U97+$Q97*$V97+$R97*$W97))</f>
        <v/>
      </c>
      <c r="Y97" s="53" t="n"/>
      <c r="Z97" s="53" t="n"/>
      <c r="AA97" s="55" t="n"/>
      <c r="AB97" s="55" t="n"/>
      <c r="AC97" s="49" t="n"/>
      <c r="AD97" s="49" t="n"/>
      <c r="AE97" s="49" t="n"/>
      <c r="AF97" s="49" t="n"/>
      <c r="AG97" s="49" t="n"/>
      <c r="AH97" s="49" t="n"/>
      <c r="AI97" s="49" t="n"/>
      <c r="AJ97" s="49" t="n"/>
      <c r="AK97" s="49" t="n"/>
      <c r="AL97" s="49" t="n"/>
      <c r="AM97" s="49" t="n"/>
      <c r="AN97" s="49" t="n"/>
      <c r="AO97" s="49" t="n"/>
      <c r="AP97" s="49" t="n"/>
      <c r="AQ97" s="49" t="n"/>
      <c r="AR97" s="49" t="n"/>
      <c r="AS97" s="49" t="n"/>
      <c r="AT97" s="49" t="n"/>
      <c r="AU97" s="49" t="n"/>
      <c r="AV97" s="49" t="n"/>
      <c r="AW97" s="49" t="n"/>
      <c r="AX97" s="49" t="n"/>
      <c r="AY97" s="49" t="n"/>
    </row>
    <row r="98" ht="15" customHeight="1" s="27">
      <c r="A98" s="49" t="n"/>
      <c r="B98" s="49" t="n"/>
      <c r="C98" s="49" t="n"/>
      <c r="D98" s="49" t="n"/>
      <c r="E98" s="49" t="n"/>
      <c r="F98" s="49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51">
        <f>CONFIG_REFERENCIA!$E$3</f>
        <v/>
      </c>
      <c r="P98" s="51">
        <f>CONFIG_REFERENCIA!$E$4</f>
        <v/>
      </c>
      <c r="Q98" s="51">
        <f>CONFIG_REFERENCIA!$E$5</f>
        <v/>
      </c>
      <c r="R98" s="51">
        <f>CONFIG_REFERENCIA!$E$6</f>
        <v/>
      </c>
      <c r="S98" s="52">
        <f>IF($F98="","",INDEX(CONFIG_REFERENCIA!$B$3:$B$6,MATCH($F98,CONFIG_REFERENCIA!$A$3:$A$6,0)))</f>
        <v/>
      </c>
      <c r="T98" s="53" t="n"/>
      <c r="U98" s="53" t="n"/>
      <c r="V98" s="53" t="n"/>
      <c r="W98" s="53" t="n"/>
      <c r="X98" s="54">
        <f>IF(COUNTA($T98:$W98)&lt;4,"",$S98*($O98*$T98+$P98*$U98+$Q98*$V98+$R98*$W98))</f>
        <v/>
      </c>
      <c r="Y98" s="53" t="n"/>
      <c r="Z98" s="53" t="n"/>
      <c r="AA98" s="55" t="n"/>
      <c r="AB98" s="55" t="n"/>
      <c r="AC98" s="49" t="n"/>
      <c r="AD98" s="49" t="n"/>
      <c r="AE98" s="49" t="n"/>
      <c r="AF98" s="49" t="n"/>
      <c r="AG98" s="49" t="n"/>
      <c r="AH98" s="49" t="n"/>
      <c r="AI98" s="49" t="n"/>
      <c r="AJ98" s="49" t="n"/>
      <c r="AK98" s="49" t="n"/>
      <c r="AL98" s="49" t="n"/>
      <c r="AM98" s="49" t="n"/>
      <c r="AN98" s="49" t="n"/>
      <c r="AO98" s="49" t="n"/>
      <c r="AP98" s="49" t="n"/>
      <c r="AQ98" s="49" t="n"/>
      <c r="AR98" s="49" t="n"/>
      <c r="AS98" s="49" t="n"/>
      <c r="AT98" s="49" t="n"/>
      <c r="AU98" s="49" t="n"/>
      <c r="AV98" s="49" t="n"/>
      <c r="AW98" s="49" t="n"/>
      <c r="AX98" s="49" t="n"/>
      <c r="AY98" s="49" t="n"/>
    </row>
    <row r="99" ht="15" customHeight="1" s="27">
      <c r="A99" s="49" t="n"/>
      <c r="B99" s="49" t="n"/>
      <c r="C99" s="49" t="n"/>
      <c r="D99" s="49" t="n"/>
      <c r="E99" s="49" t="n"/>
      <c r="F99" s="49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51">
        <f>CONFIG_REFERENCIA!$E$3</f>
        <v/>
      </c>
      <c r="P99" s="51">
        <f>CONFIG_REFERENCIA!$E$4</f>
        <v/>
      </c>
      <c r="Q99" s="51">
        <f>CONFIG_REFERENCIA!$E$5</f>
        <v/>
      </c>
      <c r="R99" s="51">
        <f>CONFIG_REFERENCIA!$E$6</f>
        <v/>
      </c>
      <c r="S99" s="52">
        <f>IF($F99="","",INDEX(CONFIG_REFERENCIA!$B$3:$B$6,MATCH($F99,CONFIG_REFERENCIA!$A$3:$A$6,0)))</f>
        <v/>
      </c>
      <c r="T99" s="53" t="n"/>
      <c r="U99" s="53" t="n"/>
      <c r="V99" s="53" t="n"/>
      <c r="W99" s="53" t="n"/>
      <c r="X99" s="54">
        <f>IF(COUNTA($T99:$W99)&lt;4,"",$S99*($O99*$T99+$P99*$U99+$Q99*$V99+$R99*$W99))</f>
        <v/>
      </c>
      <c r="Y99" s="53" t="n"/>
      <c r="Z99" s="53" t="n"/>
      <c r="AA99" s="55" t="n"/>
      <c r="AB99" s="55" t="n"/>
      <c r="AC99" s="49" t="n"/>
      <c r="AD99" s="49" t="n"/>
      <c r="AE99" s="49" t="n"/>
      <c r="AF99" s="49" t="n"/>
      <c r="AG99" s="49" t="n"/>
      <c r="AH99" s="49" t="n"/>
      <c r="AI99" s="49" t="n"/>
      <c r="AJ99" s="49" t="n"/>
      <c r="AK99" s="49" t="n"/>
      <c r="AL99" s="49" t="n"/>
      <c r="AM99" s="49" t="n"/>
      <c r="AN99" s="49" t="n"/>
      <c r="AO99" s="49" t="n"/>
      <c r="AP99" s="49" t="n"/>
      <c r="AQ99" s="49" t="n"/>
      <c r="AR99" s="49" t="n"/>
      <c r="AS99" s="49" t="n"/>
      <c r="AT99" s="49" t="n"/>
      <c r="AU99" s="49" t="n"/>
      <c r="AV99" s="49" t="n"/>
      <c r="AW99" s="49" t="n"/>
      <c r="AX99" s="49" t="n"/>
      <c r="AY99" s="49" t="n"/>
    </row>
    <row r="100" ht="15" customHeight="1" s="27">
      <c r="A100" s="49" t="n"/>
      <c r="B100" s="49" t="n"/>
      <c r="C100" s="49" t="n"/>
      <c r="D100" s="49" t="n"/>
      <c r="E100" s="49" t="n"/>
      <c r="F100" s="49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51">
        <f>CONFIG_REFERENCIA!$E$3</f>
        <v/>
      </c>
      <c r="P100" s="51">
        <f>CONFIG_REFERENCIA!$E$4</f>
        <v/>
      </c>
      <c r="Q100" s="51">
        <f>CONFIG_REFERENCIA!$E$5</f>
        <v/>
      </c>
      <c r="R100" s="51">
        <f>CONFIG_REFERENCIA!$E$6</f>
        <v/>
      </c>
      <c r="S100" s="52">
        <f>IF($F100="","",INDEX(CONFIG_REFERENCIA!$B$3:$B$6,MATCH($F100,CONFIG_REFERENCIA!$A$3:$A$6,0)))</f>
        <v/>
      </c>
      <c r="T100" s="53" t="n"/>
      <c r="U100" s="53" t="n"/>
      <c r="V100" s="53" t="n"/>
      <c r="W100" s="53" t="n"/>
      <c r="X100" s="54">
        <f>IF(COUNTA($T100:$W100)&lt;4,"",$S100*($O100*$T100+$P100*$U100+$Q100*$V100+$R100*$W100))</f>
        <v/>
      </c>
      <c r="Y100" s="53" t="n"/>
      <c r="Z100" s="53" t="n"/>
      <c r="AA100" s="55" t="n"/>
      <c r="AB100" s="55" t="n"/>
      <c r="AC100" s="49" t="n"/>
      <c r="AD100" s="49" t="n"/>
      <c r="AE100" s="49" t="n"/>
      <c r="AF100" s="49" t="n"/>
      <c r="AG100" s="49" t="n"/>
      <c r="AH100" s="49" t="n"/>
      <c r="AI100" s="49" t="n"/>
      <c r="AJ100" s="49" t="n"/>
      <c r="AK100" s="49" t="n"/>
      <c r="AL100" s="49" t="n"/>
      <c r="AM100" s="49" t="n"/>
      <c r="AN100" s="49" t="n"/>
      <c r="AO100" s="49" t="n"/>
      <c r="AP100" s="49" t="n"/>
      <c r="AQ100" s="49" t="n"/>
      <c r="AR100" s="49" t="n"/>
      <c r="AS100" s="49" t="n"/>
      <c r="AT100" s="49" t="n"/>
      <c r="AU100" s="49" t="n"/>
      <c r="AV100" s="49" t="n"/>
      <c r="AW100" s="49" t="n"/>
      <c r="AX100" s="49" t="n"/>
      <c r="AY100" s="49" t="n"/>
    </row>
    <row r="101" ht="15" customHeight="1" s="27">
      <c r="A101" s="49" t="n"/>
      <c r="B101" s="49" t="n"/>
      <c r="C101" s="49" t="n"/>
      <c r="D101" s="49" t="n"/>
      <c r="E101" s="49" t="n"/>
      <c r="F101" s="49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51">
        <f>CONFIG_REFERENCIA!$E$3</f>
        <v/>
      </c>
      <c r="P101" s="51">
        <f>CONFIG_REFERENCIA!$E$4</f>
        <v/>
      </c>
      <c r="Q101" s="51">
        <f>CONFIG_REFERENCIA!$E$5</f>
        <v/>
      </c>
      <c r="R101" s="51">
        <f>CONFIG_REFERENCIA!$E$6</f>
        <v/>
      </c>
      <c r="S101" s="52">
        <f>IF($F101="","",INDEX(CONFIG_REFERENCIA!$B$3:$B$6,MATCH($F101,CONFIG_REFERENCIA!$A$3:$A$6,0)))</f>
        <v/>
      </c>
      <c r="T101" s="53" t="n"/>
      <c r="U101" s="53" t="n"/>
      <c r="V101" s="53" t="n"/>
      <c r="W101" s="53" t="n"/>
      <c r="X101" s="54">
        <f>IF(COUNTA($T101:$W101)&lt;4,"",$S101*($O101*$T101+$P101*$U101+$Q101*$V101+$R101*$W101))</f>
        <v/>
      </c>
      <c r="Y101" s="53" t="n"/>
      <c r="Z101" s="53" t="n"/>
      <c r="AA101" s="55" t="n"/>
      <c r="AB101" s="55" t="n"/>
      <c r="AC101" s="49" t="n"/>
      <c r="AD101" s="49" t="n"/>
      <c r="AE101" s="49" t="n"/>
      <c r="AF101" s="49" t="n"/>
      <c r="AG101" s="49" t="n"/>
      <c r="AH101" s="49" t="n"/>
      <c r="AI101" s="49" t="n"/>
      <c r="AJ101" s="49" t="n"/>
      <c r="AK101" s="49" t="n"/>
      <c r="AL101" s="49" t="n"/>
      <c r="AM101" s="49" t="n"/>
      <c r="AN101" s="49" t="n"/>
      <c r="AO101" s="49" t="n"/>
      <c r="AP101" s="49" t="n"/>
      <c r="AQ101" s="49" t="n"/>
      <c r="AR101" s="49" t="n"/>
      <c r="AS101" s="49" t="n"/>
      <c r="AT101" s="49" t="n"/>
      <c r="AU101" s="49" t="n"/>
      <c r="AV101" s="49" t="n"/>
      <c r="AW101" s="49" t="n"/>
      <c r="AX101" s="49" t="n"/>
      <c r="AY101" s="49" t="n"/>
    </row>
    <row r="102" ht="15" customHeight="1" s="27">
      <c r="A102" s="49" t="n"/>
      <c r="B102" s="49" t="n"/>
      <c r="C102" s="49" t="n"/>
      <c r="D102" s="49" t="n"/>
      <c r="E102" s="49" t="n"/>
      <c r="F102" s="49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51">
        <f>CONFIG_REFERENCIA!$E$3</f>
        <v/>
      </c>
      <c r="P102" s="51">
        <f>CONFIG_REFERENCIA!$E$4</f>
        <v/>
      </c>
      <c r="Q102" s="51">
        <f>CONFIG_REFERENCIA!$E$5</f>
        <v/>
      </c>
      <c r="R102" s="51">
        <f>CONFIG_REFERENCIA!$E$6</f>
        <v/>
      </c>
      <c r="S102" s="52">
        <f>IF($F102="","",INDEX(CONFIG_REFERENCIA!$B$3:$B$6,MATCH($F102,CONFIG_REFERENCIA!$A$3:$A$6,0)))</f>
        <v/>
      </c>
      <c r="T102" s="53" t="n"/>
      <c r="U102" s="53" t="n"/>
      <c r="V102" s="53" t="n"/>
      <c r="W102" s="53" t="n"/>
      <c r="X102" s="54">
        <f>IF(COUNTA($T102:$W102)&lt;4,"",$S102*($O102*$T102+$P102*$U102+$Q102*$V102+$R102*$W102))</f>
        <v/>
      </c>
      <c r="Y102" s="53" t="n"/>
      <c r="Z102" s="53" t="n"/>
      <c r="AA102" s="55" t="n"/>
      <c r="AB102" s="55" t="n"/>
      <c r="AC102" s="49" t="n"/>
      <c r="AD102" s="49" t="n"/>
      <c r="AE102" s="49" t="n"/>
      <c r="AF102" s="49" t="n"/>
      <c r="AG102" s="49" t="n"/>
      <c r="AH102" s="49" t="n"/>
      <c r="AI102" s="49" t="n"/>
      <c r="AJ102" s="49" t="n"/>
      <c r="AK102" s="49" t="n"/>
      <c r="AL102" s="49" t="n"/>
      <c r="AM102" s="49" t="n"/>
      <c r="AN102" s="49" t="n"/>
      <c r="AO102" s="49" t="n"/>
      <c r="AP102" s="49" t="n"/>
      <c r="AQ102" s="49" t="n"/>
      <c r="AR102" s="49" t="n"/>
      <c r="AS102" s="49" t="n"/>
      <c r="AT102" s="49" t="n"/>
      <c r="AU102" s="49" t="n"/>
      <c r="AV102" s="49" t="n"/>
      <c r="AW102" s="49" t="n"/>
      <c r="AX102" s="49" t="n"/>
      <c r="AY102" s="49" t="n"/>
    </row>
    <row r="103" ht="15" customHeight="1" s="27">
      <c r="A103" s="49" t="n"/>
      <c r="B103" s="49" t="n"/>
      <c r="C103" s="49" t="n"/>
      <c r="D103" s="49" t="n"/>
      <c r="E103" s="49" t="n"/>
      <c r="F103" s="49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51">
        <f>CONFIG_REFERENCIA!$E$3</f>
        <v/>
      </c>
      <c r="P103" s="51">
        <f>CONFIG_REFERENCIA!$E$4</f>
        <v/>
      </c>
      <c r="Q103" s="51">
        <f>CONFIG_REFERENCIA!$E$5</f>
        <v/>
      </c>
      <c r="R103" s="51">
        <f>CONFIG_REFERENCIA!$E$6</f>
        <v/>
      </c>
      <c r="S103" s="52">
        <f>IF($F103="","",INDEX(CONFIG_REFERENCIA!$B$3:$B$6,MATCH($F103,CONFIG_REFERENCIA!$A$3:$A$6,0)))</f>
        <v/>
      </c>
      <c r="T103" s="53" t="n"/>
      <c r="U103" s="53" t="n"/>
      <c r="V103" s="53" t="n"/>
      <c r="W103" s="53" t="n"/>
      <c r="X103" s="54">
        <f>IF(COUNTA($T103:$W103)&lt;4,"",$S103*($O103*$T103+$P103*$U103+$Q103*$V103+$R103*$W103))</f>
        <v/>
      </c>
      <c r="Y103" s="53" t="n"/>
      <c r="Z103" s="53" t="n"/>
      <c r="AA103" s="55" t="n"/>
      <c r="AB103" s="55" t="n"/>
      <c r="AC103" s="49" t="n"/>
      <c r="AD103" s="49" t="n"/>
      <c r="AE103" s="49" t="n"/>
      <c r="AF103" s="49" t="n"/>
      <c r="AG103" s="49" t="n"/>
      <c r="AH103" s="49" t="n"/>
      <c r="AI103" s="49" t="n"/>
      <c r="AJ103" s="49" t="n"/>
      <c r="AK103" s="49" t="n"/>
      <c r="AL103" s="49" t="n"/>
      <c r="AM103" s="49" t="n"/>
      <c r="AN103" s="49" t="n"/>
      <c r="AO103" s="49" t="n"/>
      <c r="AP103" s="49" t="n"/>
      <c r="AQ103" s="49" t="n"/>
      <c r="AR103" s="49" t="n"/>
      <c r="AS103" s="49" t="n"/>
      <c r="AT103" s="49" t="n"/>
      <c r="AU103" s="49" t="n"/>
      <c r="AV103" s="49" t="n"/>
      <c r="AW103" s="49" t="n"/>
      <c r="AX103" s="49" t="n"/>
      <c r="AY103" s="49" t="n"/>
    </row>
    <row r="104" ht="15" customHeight="1" s="27">
      <c r="A104" s="49" t="n"/>
      <c r="B104" s="49" t="n"/>
      <c r="C104" s="49" t="n"/>
      <c r="D104" s="49" t="n"/>
      <c r="E104" s="49" t="n"/>
      <c r="F104" s="49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51">
        <f>CONFIG_REFERENCIA!$E$3</f>
        <v/>
      </c>
      <c r="P104" s="51">
        <f>CONFIG_REFERENCIA!$E$4</f>
        <v/>
      </c>
      <c r="Q104" s="51">
        <f>CONFIG_REFERENCIA!$E$5</f>
        <v/>
      </c>
      <c r="R104" s="51">
        <f>CONFIG_REFERENCIA!$E$6</f>
        <v/>
      </c>
      <c r="S104" s="52">
        <f>IF($F104="","",INDEX(CONFIG_REFERENCIA!$B$3:$B$6,MATCH($F104,CONFIG_REFERENCIA!$A$3:$A$6,0)))</f>
        <v/>
      </c>
      <c r="T104" s="53" t="n"/>
      <c r="U104" s="53" t="n"/>
      <c r="V104" s="53" t="n"/>
      <c r="W104" s="53" t="n"/>
      <c r="X104" s="54">
        <f>IF(COUNTA($T104:$W104)&lt;4,"",$S104*($O104*$T104+$P104*$U104+$Q104*$V104+$R104*$W104))</f>
        <v/>
      </c>
      <c r="Y104" s="53" t="n"/>
      <c r="Z104" s="53" t="n"/>
      <c r="AA104" s="55" t="n"/>
      <c r="AB104" s="55" t="n"/>
      <c r="AC104" s="49" t="n"/>
      <c r="AD104" s="49" t="n"/>
      <c r="AE104" s="49" t="n"/>
      <c r="AF104" s="49" t="n"/>
      <c r="AG104" s="49" t="n"/>
      <c r="AH104" s="49" t="n"/>
      <c r="AI104" s="49" t="n"/>
      <c r="AJ104" s="49" t="n"/>
      <c r="AK104" s="49" t="n"/>
      <c r="AL104" s="49" t="n"/>
      <c r="AM104" s="49" t="n"/>
      <c r="AN104" s="49" t="n"/>
      <c r="AO104" s="49" t="n"/>
      <c r="AP104" s="49" t="n"/>
      <c r="AQ104" s="49" t="n"/>
      <c r="AR104" s="49" t="n"/>
      <c r="AS104" s="49" t="n"/>
      <c r="AT104" s="49" t="n"/>
      <c r="AU104" s="49" t="n"/>
      <c r="AV104" s="49" t="n"/>
      <c r="AW104" s="49" t="n"/>
      <c r="AX104" s="49" t="n"/>
      <c r="AY104" s="49" t="n"/>
    </row>
    <row r="105" ht="15" customHeight="1" s="27">
      <c r="A105" s="49" t="n"/>
      <c r="B105" s="49" t="n"/>
      <c r="C105" s="49" t="n"/>
      <c r="D105" s="49" t="n"/>
      <c r="E105" s="49" t="n"/>
      <c r="F105" s="49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51">
        <f>CONFIG_REFERENCIA!$E$3</f>
        <v/>
      </c>
      <c r="P105" s="51">
        <f>CONFIG_REFERENCIA!$E$4</f>
        <v/>
      </c>
      <c r="Q105" s="51">
        <f>CONFIG_REFERENCIA!$E$5</f>
        <v/>
      </c>
      <c r="R105" s="51">
        <f>CONFIG_REFERENCIA!$E$6</f>
        <v/>
      </c>
      <c r="S105" s="52">
        <f>IF($F105="","",INDEX(CONFIG_REFERENCIA!$B$3:$B$6,MATCH($F105,CONFIG_REFERENCIA!$A$3:$A$6,0)))</f>
        <v/>
      </c>
      <c r="T105" s="53" t="n"/>
      <c r="U105" s="53" t="n"/>
      <c r="V105" s="53" t="n"/>
      <c r="W105" s="53" t="n"/>
      <c r="X105" s="54">
        <f>IF(COUNTA($T105:$W105)&lt;4,"",$S105*($O105*$T105+$P105*$U105+$Q105*$V105+$R105*$W105))</f>
        <v/>
      </c>
      <c r="Y105" s="53" t="n"/>
      <c r="Z105" s="53" t="n"/>
      <c r="AA105" s="55" t="n"/>
      <c r="AB105" s="55" t="n"/>
      <c r="AC105" s="49" t="n"/>
      <c r="AD105" s="49" t="n"/>
      <c r="AE105" s="49" t="n"/>
      <c r="AF105" s="49" t="n"/>
      <c r="AG105" s="49" t="n"/>
      <c r="AH105" s="49" t="n"/>
      <c r="AI105" s="49" t="n"/>
      <c r="AJ105" s="49" t="n"/>
      <c r="AK105" s="49" t="n"/>
      <c r="AL105" s="49" t="n"/>
      <c r="AM105" s="49" t="n"/>
      <c r="AN105" s="49" t="n"/>
      <c r="AO105" s="49" t="n"/>
      <c r="AP105" s="49" t="n"/>
      <c r="AQ105" s="49" t="n"/>
      <c r="AR105" s="49" t="n"/>
      <c r="AS105" s="49" t="n"/>
      <c r="AT105" s="49" t="n"/>
      <c r="AU105" s="49" t="n"/>
      <c r="AV105" s="49" t="n"/>
      <c r="AW105" s="49" t="n"/>
      <c r="AX105" s="49" t="n"/>
      <c r="AY105" s="49" t="n"/>
    </row>
    <row r="106" ht="15" customHeight="1" s="27">
      <c r="A106" s="49" t="n"/>
      <c r="B106" s="49" t="n"/>
      <c r="C106" s="49" t="n"/>
      <c r="D106" s="49" t="n"/>
      <c r="E106" s="49" t="n"/>
      <c r="F106" s="49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51">
        <f>CONFIG_REFERENCIA!$E$3</f>
        <v/>
      </c>
      <c r="P106" s="51">
        <f>CONFIG_REFERENCIA!$E$4</f>
        <v/>
      </c>
      <c r="Q106" s="51">
        <f>CONFIG_REFERENCIA!$E$5</f>
        <v/>
      </c>
      <c r="R106" s="51">
        <f>CONFIG_REFERENCIA!$E$6</f>
        <v/>
      </c>
      <c r="S106" s="52">
        <f>IF($F106="","",INDEX(CONFIG_REFERENCIA!$B$3:$B$6,MATCH($F106,CONFIG_REFERENCIA!$A$3:$A$6,0)))</f>
        <v/>
      </c>
      <c r="T106" s="53" t="n"/>
      <c r="U106" s="53" t="n"/>
      <c r="V106" s="53" t="n"/>
      <c r="W106" s="53" t="n"/>
      <c r="X106" s="54">
        <f>IF(COUNTA($T106:$W106)&lt;4,"",$S106*($O106*$T106+$P106*$U106+$Q106*$V106+$R106*$W106))</f>
        <v/>
      </c>
      <c r="Y106" s="53" t="n"/>
      <c r="Z106" s="53" t="n"/>
      <c r="AA106" s="55" t="n"/>
      <c r="AB106" s="55" t="n"/>
      <c r="AC106" s="49" t="n"/>
      <c r="AD106" s="49" t="n"/>
      <c r="AE106" s="49" t="n"/>
      <c r="AF106" s="49" t="n"/>
      <c r="AG106" s="49" t="n"/>
      <c r="AH106" s="49" t="n"/>
      <c r="AI106" s="49" t="n"/>
      <c r="AJ106" s="49" t="n"/>
      <c r="AK106" s="49" t="n"/>
      <c r="AL106" s="49" t="n"/>
      <c r="AM106" s="49" t="n"/>
      <c r="AN106" s="49" t="n"/>
      <c r="AO106" s="49" t="n"/>
      <c r="AP106" s="49" t="n"/>
      <c r="AQ106" s="49" t="n"/>
      <c r="AR106" s="49" t="n"/>
      <c r="AS106" s="49" t="n"/>
      <c r="AT106" s="49" t="n"/>
      <c r="AU106" s="49" t="n"/>
      <c r="AV106" s="49" t="n"/>
      <c r="AW106" s="49" t="n"/>
      <c r="AX106" s="49" t="n"/>
      <c r="AY106" s="49" t="n"/>
    </row>
    <row r="107" ht="15" customHeight="1" s="27">
      <c r="A107" s="49" t="n"/>
      <c r="B107" s="49" t="n"/>
      <c r="C107" s="49" t="n"/>
      <c r="D107" s="49" t="n"/>
      <c r="E107" s="49" t="n"/>
      <c r="F107" s="49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51">
        <f>CONFIG_REFERENCIA!$E$3</f>
        <v/>
      </c>
      <c r="P107" s="51">
        <f>CONFIG_REFERENCIA!$E$4</f>
        <v/>
      </c>
      <c r="Q107" s="51">
        <f>CONFIG_REFERENCIA!$E$5</f>
        <v/>
      </c>
      <c r="R107" s="51">
        <f>CONFIG_REFERENCIA!$E$6</f>
        <v/>
      </c>
      <c r="S107" s="52">
        <f>IF($F107="","",INDEX(CONFIG_REFERENCIA!$B$3:$B$6,MATCH($F107,CONFIG_REFERENCIA!$A$3:$A$6,0)))</f>
        <v/>
      </c>
      <c r="T107" s="53" t="n"/>
      <c r="U107" s="53" t="n"/>
      <c r="V107" s="53" t="n"/>
      <c r="W107" s="53" t="n"/>
      <c r="X107" s="54">
        <f>IF(COUNTA($T107:$W107)&lt;4,"",$S107*($O107*$T107+$P107*$U107+$Q107*$V107+$R107*$W107))</f>
        <v/>
      </c>
      <c r="Y107" s="53" t="n"/>
      <c r="Z107" s="53" t="n"/>
      <c r="AA107" s="55" t="n"/>
      <c r="AB107" s="55" t="n"/>
      <c r="AC107" s="49" t="n"/>
      <c r="AD107" s="49" t="n"/>
      <c r="AE107" s="49" t="n"/>
      <c r="AF107" s="49" t="n"/>
      <c r="AG107" s="49" t="n"/>
      <c r="AH107" s="49" t="n"/>
      <c r="AI107" s="49" t="n"/>
      <c r="AJ107" s="49" t="n"/>
      <c r="AK107" s="49" t="n"/>
      <c r="AL107" s="49" t="n"/>
      <c r="AM107" s="49" t="n"/>
      <c r="AN107" s="49" t="n"/>
      <c r="AO107" s="49" t="n"/>
      <c r="AP107" s="49" t="n"/>
      <c r="AQ107" s="49" t="n"/>
      <c r="AR107" s="49" t="n"/>
      <c r="AS107" s="49" t="n"/>
      <c r="AT107" s="49" t="n"/>
      <c r="AU107" s="49" t="n"/>
      <c r="AV107" s="49" t="n"/>
      <c r="AW107" s="49" t="n"/>
      <c r="AX107" s="49" t="n"/>
      <c r="AY107" s="49" t="n"/>
    </row>
    <row r="108" ht="15" customHeight="1" s="27">
      <c r="A108" s="49" t="n"/>
      <c r="B108" s="49" t="n"/>
      <c r="C108" s="49" t="n"/>
      <c r="D108" s="49" t="n"/>
      <c r="E108" s="49" t="n"/>
      <c r="F108" s="49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51">
        <f>CONFIG_REFERENCIA!$E$3</f>
        <v/>
      </c>
      <c r="P108" s="51">
        <f>CONFIG_REFERENCIA!$E$4</f>
        <v/>
      </c>
      <c r="Q108" s="51">
        <f>CONFIG_REFERENCIA!$E$5</f>
        <v/>
      </c>
      <c r="R108" s="51">
        <f>CONFIG_REFERENCIA!$E$6</f>
        <v/>
      </c>
      <c r="S108" s="52">
        <f>IF($F108="","",INDEX(CONFIG_REFERENCIA!$B$3:$B$6,MATCH($F108,CONFIG_REFERENCIA!$A$3:$A$6,0)))</f>
        <v/>
      </c>
      <c r="T108" s="53" t="n"/>
      <c r="U108" s="53" t="n"/>
      <c r="V108" s="53" t="n"/>
      <c r="W108" s="53" t="n"/>
      <c r="X108" s="54">
        <f>IF(COUNTA($T108:$W108)&lt;4,"",$S108*($O108*$T108+$P108*$U108+$Q108*$V108+$R108*$W108))</f>
        <v/>
      </c>
      <c r="Y108" s="53" t="n"/>
      <c r="Z108" s="53" t="n"/>
      <c r="AA108" s="55" t="n"/>
      <c r="AB108" s="55" t="n"/>
      <c r="AC108" s="49" t="n"/>
      <c r="AD108" s="49" t="n"/>
      <c r="AE108" s="49" t="n"/>
      <c r="AF108" s="49" t="n"/>
      <c r="AG108" s="49" t="n"/>
      <c r="AH108" s="49" t="n"/>
      <c r="AI108" s="49" t="n"/>
      <c r="AJ108" s="49" t="n"/>
      <c r="AK108" s="49" t="n"/>
      <c r="AL108" s="49" t="n"/>
      <c r="AM108" s="49" t="n"/>
      <c r="AN108" s="49" t="n"/>
      <c r="AO108" s="49" t="n"/>
      <c r="AP108" s="49" t="n"/>
      <c r="AQ108" s="49" t="n"/>
      <c r="AR108" s="49" t="n"/>
      <c r="AS108" s="49" t="n"/>
      <c r="AT108" s="49" t="n"/>
      <c r="AU108" s="49" t="n"/>
      <c r="AV108" s="49" t="n"/>
      <c r="AW108" s="49" t="n"/>
      <c r="AX108" s="49" t="n"/>
      <c r="AY108" s="49" t="n"/>
    </row>
    <row r="109" ht="15" customHeight="1" s="27">
      <c r="A109" s="49" t="n"/>
      <c r="B109" s="49" t="n"/>
      <c r="C109" s="49" t="n"/>
      <c r="D109" s="49" t="n"/>
      <c r="E109" s="49" t="n"/>
      <c r="F109" s="49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51">
        <f>CONFIG_REFERENCIA!$E$3</f>
        <v/>
      </c>
      <c r="P109" s="51">
        <f>CONFIG_REFERENCIA!$E$4</f>
        <v/>
      </c>
      <c r="Q109" s="51">
        <f>CONFIG_REFERENCIA!$E$5</f>
        <v/>
      </c>
      <c r="R109" s="51">
        <f>CONFIG_REFERENCIA!$E$6</f>
        <v/>
      </c>
      <c r="S109" s="52">
        <f>IF($F109="","",INDEX(CONFIG_REFERENCIA!$B$3:$B$6,MATCH($F109,CONFIG_REFERENCIA!$A$3:$A$6,0)))</f>
        <v/>
      </c>
      <c r="T109" s="53" t="n"/>
      <c r="U109" s="53" t="n"/>
      <c r="V109" s="53" t="n"/>
      <c r="W109" s="53" t="n"/>
      <c r="X109" s="54">
        <f>IF(COUNTA($T109:$W109)&lt;4,"",$S109*($O109*$T109+$P109*$U109+$Q109*$V109+$R109*$W109))</f>
        <v/>
      </c>
      <c r="Y109" s="53" t="n"/>
      <c r="Z109" s="53" t="n"/>
      <c r="AA109" s="55" t="n"/>
      <c r="AB109" s="55" t="n"/>
      <c r="AC109" s="49" t="n"/>
      <c r="AD109" s="49" t="n"/>
      <c r="AE109" s="49" t="n"/>
      <c r="AF109" s="49" t="n"/>
      <c r="AG109" s="49" t="n"/>
      <c r="AH109" s="49" t="n"/>
      <c r="AI109" s="49" t="n"/>
      <c r="AJ109" s="49" t="n"/>
      <c r="AK109" s="49" t="n"/>
      <c r="AL109" s="49" t="n"/>
      <c r="AM109" s="49" t="n"/>
      <c r="AN109" s="49" t="n"/>
      <c r="AO109" s="49" t="n"/>
      <c r="AP109" s="49" t="n"/>
      <c r="AQ109" s="49" t="n"/>
      <c r="AR109" s="49" t="n"/>
      <c r="AS109" s="49" t="n"/>
      <c r="AT109" s="49" t="n"/>
      <c r="AU109" s="49" t="n"/>
      <c r="AV109" s="49" t="n"/>
      <c r="AW109" s="49" t="n"/>
      <c r="AX109" s="49" t="n"/>
      <c r="AY109" s="49" t="n"/>
    </row>
    <row r="110" ht="15" customHeight="1" s="27">
      <c r="A110" s="49" t="n"/>
      <c r="B110" s="49" t="n"/>
      <c r="C110" s="49" t="n"/>
      <c r="D110" s="49" t="n"/>
      <c r="E110" s="49" t="n"/>
      <c r="F110" s="49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51">
        <f>CONFIG_REFERENCIA!$E$3</f>
        <v/>
      </c>
      <c r="P110" s="51">
        <f>CONFIG_REFERENCIA!$E$4</f>
        <v/>
      </c>
      <c r="Q110" s="51">
        <f>CONFIG_REFERENCIA!$E$5</f>
        <v/>
      </c>
      <c r="R110" s="51">
        <f>CONFIG_REFERENCIA!$E$6</f>
        <v/>
      </c>
      <c r="S110" s="52">
        <f>IF($F110="","",INDEX(CONFIG_REFERENCIA!$B$3:$B$6,MATCH($F110,CONFIG_REFERENCIA!$A$3:$A$6,0)))</f>
        <v/>
      </c>
      <c r="T110" s="53" t="n"/>
      <c r="U110" s="53" t="n"/>
      <c r="V110" s="53" t="n"/>
      <c r="W110" s="53" t="n"/>
      <c r="X110" s="54">
        <f>IF(COUNTA($T110:$W110)&lt;4,"",$S110*($O110*$T110+$P110*$U110+$Q110*$V110+$R110*$W110))</f>
        <v/>
      </c>
      <c r="Y110" s="53" t="n"/>
      <c r="Z110" s="53" t="n"/>
      <c r="AA110" s="55" t="n"/>
      <c r="AB110" s="55" t="n"/>
      <c r="AC110" s="49" t="n"/>
      <c r="AD110" s="49" t="n"/>
      <c r="AE110" s="49" t="n"/>
      <c r="AF110" s="49" t="n"/>
      <c r="AG110" s="49" t="n"/>
      <c r="AH110" s="49" t="n"/>
      <c r="AI110" s="49" t="n"/>
      <c r="AJ110" s="49" t="n"/>
      <c r="AK110" s="49" t="n"/>
      <c r="AL110" s="49" t="n"/>
      <c r="AM110" s="49" t="n"/>
      <c r="AN110" s="49" t="n"/>
      <c r="AO110" s="49" t="n"/>
      <c r="AP110" s="49" t="n"/>
      <c r="AQ110" s="49" t="n"/>
      <c r="AR110" s="49" t="n"/>
      <c r="AS110" s="49" t="n"/>
      <c r="AT110" s="49" t="n"/>
      <c r="AU110" s="49" t="n"/>
      <c r="AV110" s="49" t="n"/>
      <c r="AW110" s="49" t="n"/>
      <c r="AX110" s="49" t="n"/>
      <c r="AY110" s="49" t="n"/>
    </row>
    <row r="111" ht="15" customHeight="1" s="27">
      <c r="A111" s="49" t="n"/>
      <c r="B111" s="49" t="n"/>
      <c r="C111" s="49" t="n"/>
      <c r="D111" s="49" t="n"/>
      <c r="E111" s="49" t="n"/>
      <c r="F111" s="49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51">
        <f>CONFIG_REFERENCIA!$E$3</f>
        <v/>
      </c>
      <c r="P111" s="51">
        <f>CONFIG_REFERENCIA!$E$4</f>
        <v/>
      </c>
      <c r="Q111" s="51">
        <f>CONFIG_REFERENCIA!$E$5</f>
        <v/>
      </c>
      <c r="R111" s="51">
        <f>CONFIG_REFERENCIA!$E$6</f>
        <v/>
      </c>
      <c r="S111" s="52">
        <f>IF($F111="","",INDEX(CONFIG_REFERENCIA!$B$3:$B$6,MATCH($F111,CONFIG_REFERENCIA!$A$3:$A$6,0)))</f>
        <v/>
      </c>
      <c r="T111" s="53" t="n"/>
      <c r="U111" s="53" t="n"/>
      <c r="V111" s="53" t="n"/>
      <c r="W111" s="53" t="n"/>
      <c r="X111" s="54">
        <f>IF(COUNTA($T111:$W111)&lt;4,"",$S111*($O111*$T111+$P111*$U111+$Q111*$V111+$R111*$W111))</f>
        <v/>
      </c>
      <c r="Y111" s="53" t="n"/>
      <c r="Z111" s="53" t="n"/>
      <c r="AA111" s="55" t="n"/>
      <c r="AB111" s="55" t="n"/>
      <c r="AC111" s="49" t="n"/>
      <c r="AD111" s="49" t="n"/>
      <c r="AE111" s="49" t="n"/>
      <c r="AF111" s="49" t="n"/>
      <c r="AG111" s="49" t="n"/>
      <c r="AH111" s="49" t="n"/>
      <c r="AI111" s="49" t="n"/>
      <c r="AJ111" s="49" t="n"/>
      <c r="AK111" s="49" t="n"/>
      <c r="AL111" s="49" t="n"/>
      <c r="AM111" s="49" t="n"/>
      <c r="AN111" s="49" t="n"/>
      <c r="AO111" s="49" t="n"/>
      <c r="AP111" s="49" t="n"/>
      <c r="AQ111" s="49" t="n"/>
      <c r="AR111" s="49" t="n"/>
      <c r="AS111" s="49" t="n"/>
      <c r="AT111" s="49" t="n"/>
      <c r="AU111" s="49" t="n"/>
      <c r="AV111" s="49" t="n"/>
      <c r="AW111" s="49" t="n"/>
      <c r="AX111" s="49" t="n"/>
      <c r="AY111" s="49" t="n"/>
    </row>
    <row r="112" ht="15" customHeight="1" s="27">
      <c r="A112" s="49" t="n"/>
      <c r="B112" s="49" t="n"/>
      <c r="C112" s="49" t="n"/>
      <c r="D112" s="49" t="n"/>
      <c r="E112" s="49" t="n"/>
      <c r="F112" s="49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51">
        <f>CONFIG_REFERENCIA!$E$3</f>
        <v/>
      </c>
      <c r="P112" s="51">
        <f>CONFIG_REFERENCIA!$E$4</f>
        <v/>
      </c>
      <c r="Q112" s="51">
        <f>CONFIG_REFERENCIA!$E$5</f>
        <v/>
      </c>
      <c r="R112" s="51">
        <f>CONFIG_REFERENCIA!$E$6</f>
        <v/>
      </c>
      <c r="S112" s="52">
        <f>IF($F112="","",INDEX(CONFIG_REFERENCIA!$B$3:$B$6,MATCH($F112,CONFIG_REFERENCIA!$A$3:$A$6,0)))</f>
        <v/>
      </c>
      <c r="T112" s="53" t="n"/>
      <c r="U112" s="53" t="n"/>
      <c r="V112" s="53" t="n"/>
      <c r="W112" s="53" t="n"/>
      <c r="X112" s="54">
        <f>IF(COUNTA($T112:$W112)&lt;4,"",$S112*($O112*$T112+$P112*$U112+$Q112*$V112+$R112*$W112))</f>
        <v/>
      </c>
      <c r="Y112" s="53" t="n"/>
      <c r="Z112" s="53" t="n"/>
      <c r="AA112" s="55" t="n"/>
      <c r="AB112" s="55" t="n"/>
      <c r="AC112" s="49" t="n"/>
      <c r="AD112" s="49" t="n"/>
      <c r="AE112" s="49" t="n"/>
      <c r="AF112" s="49" t="n"/>
      <c r="AG112" s="49" t="n"/>
      <c r="AH112" s="49" t="n"/>
      <c r="AI112" s="49" t="n"/>
      <c r="AJ112" s="49" t="n"/>
      <c r="AK112" s="49" t="n"/>
      <c r="AL112" s="49" t="n"/>
      <c r="AM112" s="49" t="n"/>
      <c r="AN112" s="49" t="n"/>
      <c r="AO112" s="49" t="n"/>
      <c r="AP112" s="49" t="n"/>
      <c r="AQ112" s="49" t="n"/>
      <c r="AR112" s="49" t="n"/>
      <c r="AS112" s="49" t="n"/>
      <c r="AT112" s="49" t="n"/>
      <c r="AU112" s="49" t="n"/>
      <c r="AV112" s="49" t="n"/>
      <c r="AW112" s="49" t="n"/>
      <c r="AX112" s="49" t="n"/>
      <c r="AY112" s="49" t="n"/>
    </row>
    <row r="113" ht="15" customHeight="1" s="27">
      <c r="A113" s="49" t="n"/>
      <c r="B113" s="49" t="n"/>
      <c r="C113" s="49" t="n"/>
      <c r="D113" s="49" t="n"/>
      <c r="E113" s="49" t="n"/>
      <c r="F113" s="49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51">
        <f>CONFIG_REFERENCIA!$E$3</f>
        <v/>
      </c>
      <c r="P113" s="51">
        <f>CONFIG_REFERENCIA!$E$4</f>
        <v/>
      </c>
      <c r="Q113" s="51">
        <f>CONFIG_REFERENCIA!$E$5</f>
        <v/>
      </c>
      <c r="R113" s="51">
        <f>CONFIG_REFERENCIA!$E$6</f>
        <v/>
      </c>
      <c r="S113" s="52">
        <f>IF($F113="","",INDEX(CONFIG_REFERENCIA!$B$3:$B$6,MATCH($F113,CONFIG_REFERENCIA!$A$3:$A$6,0)))</f>
        <v/>
      </c>
      <c r="T113" s="53" t="n"/>
      <c r="U113" s="53" t="n"/>
      <c r="V113" s="53" t="n"/>
      <c r="W113" s="53" t="n"/>
      <c r="X113" s="54">
        <f>IF(COUNTA($T113:$W113)&lt;4,"",$S113*($O113*$T113+$P113*$U113+$Q113*$V113+$R113*$W113))</f>
        <v/>
      </c>
      <c r="Y113" s="53" t="n"/>
      <c r="Z113" s="53" t="n"/>
      <c r="AA113" s="55" t="n"/>
      <c r="AB113" s="55" t="n"/>
      <c r="AC113" s="49" t="n"/>
      <c r="AD113" s="49" t="n"/>
      <c r="AE113" s="49" t="n"/>
      <c r="AF113" s="49" t="n"/>
      <c r="AG113" s="49" t="n"/>
      <c r="AH113" s="49" t="n"/>
      <c r="AI113" s="49" t="n"/>
      <c r="AJ113" s="49" t="n"/>
      <c r="AK113" s="49" t="n"/>
      <c r="AL113" s="49" t="n"/>
      <c r="AM113" s="49" t="n"/>
      <c r="AN113" s="49" t="n"/>
      <c r="AO113" s="49" t="n"/>
      <c r="AP113" s="49" t="n"/>
      <c r="AQ113" s="49" t="n"/>
      <c r="AR113" s="49" t="n"/>
      <c r="AS113" s="49" t="n"/>
      <c r="AT113" s="49" t="n"/>
      <c r="AU113" s="49" t="n"/>
      <c r="AV113" s="49" t="n"/>
      <c r="AW113" s="49" t="n"/>
      <c r="AX113" s="49" t="n"/>
      <c r="AY113" s="49" t="n"/>
    </row>
    <row r="114" ht="15" customHeight="1" s="27">
      <c r="A114" s="49" t="n"/>
      <c r="B114" s="49" t="n"/>
      <c r="C114" s="49" t="n"/>
      <c r="D114" s="49" t="n"/>
      <c r="E114" s="49" t="n"/>
      <c r="F114" s="49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51">
        <f>CONFIG_REFERENCIA!$E$3</f>
        <v/>
      </c>
      <c r="P114" s="51">
        <f>CONFIG_REFERENCIA!$E$4</f>
        <v/>
      </c>
      <c r="Q114" s="51">
        <f>CONFIG_REFERENCIA!$E$5</f>
        <v/>
      </c>
      <c r="R114" s="51">
        <f>CONFIG_REFERENCIA!$E$6</f>
        <v/>
      </c>
      <c r="S114" s="52">
        <f>IF($F114="","",INDEX(CONFIG_REFERENCIA!$B$3:$B$6,MATCH($F114,CONFIG_REFERENCIA!$A$3:$A$6,0)))</f>
        <v/>
      </c>
      <c r="T114" s="53" t="n"/>
      <c r="U114" s="53" t="n"/>
      <c r="V114" s="53" t="n"/>
      <c r="W114" s="53" t="n"/>
      <c r="X114" s="54">
        <f>IF(COUNTA($T114:$W114)&lt;4,"",$S114*($O114*$T114+$P114*$U114+$Q114*$V114+$R114*$W114))</f>
        <v/>
      </c>
      <c r="Y114" s="53" t="n"/>
      <c r="Z114" s="53" t="n"/>
      <c r="AA114" s="55" t="n"/>
      <c r="AB114" s="55" t="n"/>
      <c r="AC114" s="49" t="n"/>
      <c r="AD114" s="49" t="n"/>
      <c r="AE114" s="49" t="n"/>
      <c r="AF114" s="49" t="n"/>
      <c r="AG114" s="49" t="n"/>
      <c r="AH114" s="49" t="n"/>
      <c r="AI114" s="49" t="n"/>
      <c r="AJ114" s="49" t="n"/>
      <c r="AK114" s="49" t="n"/>
      <c r="AL114" s="49" t="n"/>
      <c r="AM114" s="49" t="n"/>
      <c r="AN114" s="49" t="n"/>
      <c r="AO114" s="49" t="n"/>
      <c r="AP114" s="49" t="n"/>
      <c r="AQ114" s="49" t="n"/>
      <c r="AR114" s="49" t="n"/>
      <c r="AS114" s="49" t="n"/>
      <c r="AT114" s="49" t="n"/>
      <c r="AU114" s="49" t="n"/>
      <c r="AV114" s="49" t="n"/>
      <c r="AW114" s="49" t="n"/>
      <c r="AX114" s="49" t="n"/>
      <c r="AY114" s="49" t="n"/>
    </row>
    <row r="115" ht="15" customHeight="1" s="27">
      <c r="A115" s="49" t="n"/>
      <c r="B115" s="49" t="n"/>
      <c r="C115" s="49" t="n"/>
      <c r="D115" s="49" t="n"/>
      <c r="E115" s="49" t="n"/>
      <c r="F115" s="49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51">
        <f>CONFIG_REFERENCIA!$E$3</f>
        <v/>
      </c>
      <c r="P115" s="51">
        <f>CONFIG_REFERENCIA!$E$4</f>
        <v/>
      </c>
      <c r="Q115" s="51">
        <f>CONFIG_REFERENCIA!$E$5</f>
        <v/>
      </c>
      <c r="R115" s="51">
        <f>CONFIG_REFERENCIA!$E$6</f>
        <v/>
      </c>
      <c r="S115" s="52">
        <f>IF($F115="","",INDEX(CONFIG_REFERENCIA!$B$3:$B$6,MATCH($F115,CONFIG_REFERENCIA!$A$3:$A$6,0)))</f>
        <v/>
      </c>
      <c r="T115" s="53" t="n"/>
      <c r="U115" s="53" t="n"/>
      <c r="V115" s="53" t="n"/>
      <c r="W115" s="53" t="n"/>
      <c r="X115" s="54">
        <f>IF(COUNTA($T115:$W115)&lt;4,"",$S115*($O115*$T115+$P115*$U115+$Q115*$V115+$R115*$W115))</f>
        <v/>
      </c>
      <c r="Y115" s="53" t="n"/>
      <c r="Z115" s="53" t="n"/>
      <c r="AA115" s="55" t="n"/>
      <c r="AB115" s="55" t="n"/>
      <c r="AC115" s="49" t="n"/>
      <c r="AD115" s="49" t="n"/>
      <c r="AE115" s="49" t="n"/>
      <c r="AF115" s="49" t="n"/>
      <c r="AG115" s="49" t="n"/>
      <c r="AH115" s="49" t="n"/>
      <c r="AI115" s="49" t="n"/>
      <c r="AJ115" s="49" t="n"/>
      <c r="AK115" s="49" t="n"/>
      <c r="AL115" s="49" t="n"/>
      <c r="AM115" s="49" t="n"/>
      <c r="AN115" s="49" t="n"/>
      <c r="AO115" s="49" t="n"/>
      <c r="AP115" s="49" t="n"/>
      <c r="AQ115" s="49" t="n"/>
      <c r="AR115" s="49" t="n"/>
      <c r="AS115" s="49" t="n"/>
      <c r="AT115" s="49" t="n"/>
      <c r="AU115" s="49" t="n"/>
      <c r="AV115" s="49" t="n"/>
      <c r="AW115" s="49" t="n"/>
      <c r="AX115" s="49" t="n"/>
      <c r="AY115" s="49" t="n"/>
    </row>
    <row r="116" ht="15" customHeight="1" s="27">
      <c r="A116" s="49" t="n"/>
      <c r="B116" s="49" t="n"/>
      <c r="C116" s="49" t="n"/>
      <c r="D116" s="49" t="n"/>
      <c r="E116" s="49" t="n"/>
      <c r="F116" s="49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51">
        <f>CONFIG_REFERENCIA!$E$3</f>
        <v/>
      </c>
      <c r="P116" s="51">
        <f>CONFIG_REFERENCIA!$E$4</f>
        <v/>
      </c>
      <c r="Q116" s="51">
        <f>CONFIG_REFERENCIA!$E$5</f>
        <v/>
      </c>
      <c r="R116" s="51">
        <f>CONFIG_REFERENCIA!$E$6</f>
        <v/>
      </c>
      <c r="S116" s="52">
        <f>IF($F116="","",INDEX(CONFIG_REFERENCIA!$B$3:$B$6,MATCH($F116,CONFIG_REFERENCIA!$A$3:$A$6,0)))</f>
        <v/>
      </c>
      <c r="T116" s="53" t="n"/>
      <c r="U116" s="53" t="n"/>
      <c r="V116" s="53" t="n"/>
      <c r="W116" s="53" t="n"/>
      <c r="X116" s="54">
        <f>IF(COUNTA($T116:$W116)&lt;4,"",$S116*($O116*$T116+$P116*$U116+$Q116*$V116+$R116*$W116))</f>
        <v/>
      </c>
      <c r="Y116" s="53" t="n"/>
      <c r="Z116" s="53" t="n"/>
      <c r="AA116" s="55" t="n"/>
      <c r="AB116" s="55" t="n"/>
      <c r="AC116" s="49" t="n"/>
      <c r="AD116" s="49" t="n"/>
      <c r="AE116" s="49" t="n"/>
      <c r="AF116" s="49" t="n"/>
      <c r="AG116" s="49" t="n"/>
      <c r="AH116" s="49" t="n"/>
      <c r="AI116" s="49" t="n"/>
      <c r="AJ116" s="49" t="n"/>
      <c r="AK116" s="49" t="n"/>
      <c r="AL116" s="49" t="n"/>
      <c r="AM116" s="49" t="n"/>
      <c r="AN116" s="49" t="n"/>
      <c r="AO116" s="49" t="n"/>
      <c r="AP116" s="49" t="n"/>
      <c r="AQ116" s="49" t="n"/>
      <c r="AR116" s="49" t="n"/>
      <c r="AS116" s="49" t="n"/>
      <c r="AT116" s="49" t="n"/>
      <c r="AU116" s="49" t="n"/>
      <c r="AV116" s="49" t="n"/>
      <c r="AW116" s="49" t="n"/>
      <c r="AX116" s="49" t="n"/>
      <c r="AY116" s="49" t="n"/>
    </row>
    <row r="117" ht="15" customHeight="1" s="27">
      <c r="A117" s="49" t="n"/>
      <c r="B117" s="49" t="n"/>
      <c r="C117" s="49" t="n"/>
      <c r="D117" s="49" t="n"/>
      <c r="E117" s="49" t="n"/>
      <c r="F117" s="49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51">
        <f>CONFIG_REFERENCIA!$E$3</f>
        <v/>
      </c>
      <c r="P117" s="51">
        <f>CONFIG_REFERENCIA!$E$4</f>
        <v/>
      </c>
      <c r="Q117" s="51">
        <f>CONFIG_REFERENCIA!$E$5</f>
        <v/>
      </c>
      <c r="R117" s="51">
        <f>CONFIG_REFERENCIA!$E$6</f>
        <v/>
      </c>
      <c r="S117" s="52">
        <f>IF($F117="","",INDEX(CONFIG_REFERENCIA!$B$3:$B$6,MATCH($F117,CONFIG_REFERENCIA!$A$3:$A$6,0)))</f>
        <v/>
      </c>
      <c r="T117" s="53" t="n"/>
      <c r="U117" s="53" t="n"/>
      <c r="V117" s="53" t="n"/>
      <c r="W117" s="53" t="n"/>
      <c r="X117" s="54">
        <f>IF(COUNTA($T117:$W117)&lt;4,"",$S117*($O117*$T117+$P117*$U117+$Q117*$V117+$R117*$W117))</f>
        <v/>
      </c>
      <c r="Y117" s="53" t="n"/>
      <c r="Z117" s="53" t="n"/>
      <c r="AA117" s="55" t="n"/>
      <c r="AB117" s="55" t="n"/>
      <c r="AC117" s="49" t="n"/>
      <c r="AD117" s="49" t="n"/>
      <c r="AE117" s="49" t="n"/>
      <c r="AF117" s="49" t="n"/>
      <c r="AG117" s="49" t="n"/>
      <c r="AH117" s="49" t="n"/>
      <c r="AI117" s="49" t="n"/>
      <c r="AJ117" s="49" t="n"/>
      <c r="AK117" s="49" t="n"/>
      <c r="AL117" s="49" t="n"/>
      <c r="AM117" s="49" t="n"/>
      <c r="AN117" s="49" t="n"/>
      <c r="AO117" s="49" t="n"/>
      <c r="AP117" s="49" t="n"/>
      <c r="AQ117" s="49" t="n"/>
      <c r="AR117" s="49" t="n"/>
      <c r="AS117" s="49" t="n"/>
      <c r="AT117" s="49" t="n"/>
      <c r="AU117" s="49" t="n"/>
      <c r="AV117" s="49" t="n"/>
      <c r="AW117" s="49" t="n"/>
      <c r="AX117" s="49" t="n"/>
      <c r="AY117" s="49" t="n"/>
    </row>
    <row r="118" ht="15" customHeight="1" s="27">
      <c r="A118" s="49" t="n"/>
      <c r="B118" s="49" t="n"/>
      <c r="C118" s="49" t="n"/>
      <c r="D118" s="49" t="n"/>
      <c r="E118" s="49" t="n"/>
      <c r="F118" s="49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51">
        <f>CONFIG_REFERENCIA!$E$3</f>
        <v/>
      </c>
      <c r="P118" s="51">
        <f>CONFIG_REFERENCIA!$E$4</f>
        <v/>
      </c>
      <c r="Q118" s="51">
        <f>CONFIG_REFERENCIA!$E$5</f>
        <v/>
      </c>
      <c r="R118" s="51">
        <f>CONFIG_REFERENCIA!$E$6</f>
        <v/>
      </c>
      <c r="S118" s="52">
        <f>IF($F118="","",INDEX(CONFIG_REFERENCIA!$B$3:$B$6,MATCH($F118,CONFIG_REFERENCIA!$A$3:$A$6,0)))</f>
        <v/>
      </c>
      <c r="T118" s="53" t="n"/>
      <c r="U118" s="53" t="n"/>
      <c r="V118" s="53" t="n"/>
      <c r="W118" s="53" t="n"/>
      <c r="X118" s="54">
        <f>IF(COUNTA($T118:$W118)&lt;4,"",$S118*($O118*$T118+$P118*$U118+$Q118*$V118+$R118*$W118))</f>
        <v/>
      </c>
      <c r="Y118" s="53" t="n"/>
      <c r="Z118" s="53" t="n"/>
      <c r="AA118" s="55" t="n"/>
      <c r="AB118" s="55" t="n"/>
      <c r="AC118" s="49" t="n"/>
      <c r="AD118" s="49" t="n"/>
      <c r="AE118" s="49" t="n"/>
      <c r="AF118" s="49" t="n"/>
      <c r="AG118" s="49" t="n"/>
      <c r="AH118" s="49" t="n"/>
      <c r="AI118" s="49" t="n"/>
      <c r="AJ118" s="49" t="n"/>
      <c r="AK118" s="49" t="n"/>
      <c r="AL118" s="49" t="n"/>
      <c r="AM118" s="49" t="n"/>
      <c r="AN118" s="49" t="n"/>
      <c r="AO118" s="49" t="n"/>
      <c r="AP118" s="49" t="n"/>
      <c r="AQ118" s="49" t="n"/>
      <c r="AR118" s="49" t="n"/>
      <c r="AS118" s="49" t="n"/>
      <c r="AT118" s="49" t="n"/>
      <c r="AU118" s="49" t="n"/>
      <c r="AV118" s="49" t="n"/>
      <c r="AW118" s="49" t="n"/>
      <c r="AX118" s="49" t="n"/>
      <c r="AY118" s="49" t="n"/>
    </row>
    <row r="119" ht="15" customHeight="1" s="27">
      <c r="A119" s="49" t="n"/>
      <c r="B119" s="49" t="n"/>
      <c r="C119" s="49" t="n"/>
      <c r="D119" s="49" t="n"/>
      <c r="E119" s="49" t="n"/>
      <c r="F119" s="49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51">
        <f>CONFIG_REFERENCIA!$E$3</f>
        <v/>
      </c>
      <c r="P119" s="51">
        <f>CONFIG_REFERENCIA!$E$4</f>
        <v/>
      </c>
      <c r="Q119" s="51">
        <f>CONFIG_REFERENCIA!$E$5</f>
        <v/>
      </c>
      <c r="R119" s="51">
        <f>CONFIG_REFERENCIA!$E$6</f>
        <v/>
      </c>
      <c r="S119" s="52">
        <f>IF($F119="","",INDEX(CONFIG_REFERENCIA!$B$3:$B$6,MATCH($F119,CONFIG_REFERENCIA!$A$3:$A$6,0)))</f>
        <v/>
      </c>
      <c r="T119" s="53" t="n"/>
      <c r="U119" s="53" t="n"/>
      <c r="V119" s="53" t="n"/>
      <c r="W119" s="53" t="n"/>
      <c r="X119" s="54">
        <f>IF(COUNTA($T119:$W119)&lt;4,"",$S119*($O119*$T119+$P119*$U119+$Q119*$V119+$R119*$W119))</f>
        <v/>
      </c>
      <c r="Y119" s="53" t="n"/>
      <c r="Z119" s="53" t="n"/>
      <c r="AA119" s="55" t="n"/>
      <c r="AB119" s="55" t="n"/>
      <c r="AC119" s="49" t="n"/>
      <c r="AD119" s="49" t="n"/>
      <c r="AE119" s="49" t="n"/>
      <c r="AF119" s="49" t="n"/>
      <c r="AG119" s="49" t="n"/>
      <c r="AH119" s="49" t="n"/>
      <c r="AI119" s="49" t="n"/>
      <c r="AJ119" s="49" t="n"/>
      <c r="AK119" s="49" t="n"/>
      <c r="AL119" s="49" t="n"/>
      <c r="AM119" s="49" t="n"/>
      <c r="AN119" s="49" t="n"/>
      <c r="AO119" s="49" t="n"/>
      <c r="AP119" s="49" t="n"/>
      <c r="AQ119" s="49" t="n"/>
      <c r="AR119" s="49" t="n"/>
      <c r="AS119" s="49" t="n"/>
      <c r="AT119" s="49" t="n"/>
      <c r="AU119" s="49" t="n"/>
      <c r="AV119" s="49" t="n"/>
      <c r="AW119" s="49" t="n"/>
      <c r="AX119" s="49" t="n"/>
      <c r="AY119" s="49" t="n"/>
    </row>
    <row r="120" ht="15" customHeight="1" s="27">
      <c r="A120" s="49" t="n"/>
      <c r="B120" s="49" t="n"/>
      <c r="C120" s="49" t="n"/>
      <c r="D120" s="49" t="n"/>
      <c r="E120" s="49" t="n"/>
      <c r="F120" s="49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51">
        <f>CONFIG_REFERENCIA!$E$3</f>
        <v/>
      </c>
      <c r="P120" s="51">
        <f>CONFIG_REFERENCIA!$E$4</f>
        <v/>
      </c>
      <c r="Q120" s="51">
        <f>CONFIG_REFERENCIA!$E$5</f>
        <v/>
      </c>
      <c r="R120" s="51">
        <f>CONFIG_REFERENCIA!$E$6</f>
        <v/>
      </c>
      <c r="S120" s="52">
        <f>IF($F120="","",INDEX(CONFIG_REFERENCIA!$B$3:$B$6,MATCH($F120,CONFIG_REFERENCIA!$A$3:$A$6,0)))</f>
        <v/>
      </c>
      <c r="T120" s="53" t="n"/>
      <c r="U120" s="53" t="n"/>
      <c r="V120" s="53" t="n"/>
      <c r="W120" s="53" t="n"/>
      <c r="X120" s="54">
        <f>IF(COUNTA($T120:$W120)&lt;4,"",$S120*($O120*$T120+$P120*$U120+$Q120*$V120+$R120*$W120))</f>
        <v/>
      </c>
      <c r="Y120" s="53" t="n"/>
      <c r="Z120" s="53" t="n"/>
      <c r="AA120" s="55" t="n"/>
      <c r="AB120" s="55" t="n"/>
      <c r="AC120" s="49" t="n"/>
      <c r="AD120" s="49" t="n"/>
      <c r="AE120" s="49" t="n"/>
      <c r="AF120" s="49" t="n"/>
      <c r="AG120" s="49" t="n"/>
      <c r="AH120" s="49" t="n"/>
      <c r="AI120" s="49" t="n"/>
      <c r="AJ120" s="49" t="n"/>
      <c r="AK120" s="49" t="n"/>
      <c r="AL120" s="49" t="n"/>
      <c r="AM120" s="49" t="n"/>
      <c r="AN120" s="49" t="n"/>
      <c r="AO120" s="49" t="n"/>
      <c r="AP120" s="49" t="n"/>
      <c r="AQ120" s="49" t="n"/>
      <c r="AR120" s="49" t="n"/>
      <c r="AS120" s="49" t="n"/>
      <c r="AT120" s="49" t="n"/>
      <c r="AU120" s="49" t="n"/>
      <c r="AV120" s="49" t="n"/>
      <c r="AW120" s="49" t="n"/>
      <c r="AX120" s="49" t="n"/>
      <c r="AY120" s="49" t="n"/>
    </row>
    <row r="121" ht="15" customHeight="1" s="27">
      <c r="A121" s="49" t="n"/>
      <c r="B121" s="49" t="n"/>
      <c r="C121" s="49" t="n"/>
      <c r="D121" s="49" t="n"/>
      <c r="E121" s="49" t="n"/>
      <c r="F121" s="49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51">
        <f>CONFIG_REFERENCIA!$E$3</f>
        <v/>
      </c>
      <c r="P121" s="51">
        <f>CONFIG_REFERENCIA!$E$4</f>
        <v/>
      </c>
      <c r="Q121" s="51">
        <f>CONFIG_REFERENCIA!$E$5</f>
        <v/>
      </c>
      <c r="R121" s="51">
        <f>CONFIG_REFERENCIA!$E$6</f>
        <v/>
      </c>
      <c r="S121" s="52">
        <f>IF($F121="","",INDEX(CONFIG_REFERENCIA!$B$3:$B$6,MATCH($F121,CONFIG_REFERENCIA!$A$3:$A$6,0)))</f>
        <v/>
      </c>
      <c r="T121" s="53" t="n"/>
      <c r="U121" s="53" t="n"/>
      <c r="V121" s="53" t="n"/>
      <c r="W121" s="53" t="n"/>
      <c r="X121" s="54">
        <f>IF(COUNTA($T121:$W121)&lt;4,"",$S121*($O121*$T121+$P121*$U121+$Q121*$V121+$R121*$W121))</f>
        <v/>
      </c>
      <c r="Y121" s="53" t="n"/>
      <c r="Z121" s="53" t="n"/>
      <c r="AA121" s="55" t="n"/>
      <c r="AB121" s="55" t="n"/>
      <c r="AC121" s="49" t="n"/>
      <c r="AD121" s="49" t="n"/>
      <c r="AE121" s="49" t="n"/>
      <c r="AF121" s="49" t="n"/>
      <c r="AG121" s="49" t="n"/>
      <c r="AH121" s="49" t="n"/>
      <c r="AI121" s="49" t="n"/>
      <c r="AJ121" s="49" t="n"/>
      <c r="AK121" s="49" t="n"/>
      <c r="AL121" s="49" t="n"/>
      <c r="AM121" s="49" t="n"/>
      <c r="AN121" s="49" t="n"/>
      <c r="AO121" s="49" t="n"/>
      <c r="AP121" s="49" t="n"/>
      <c r="AQ121" s="49" t="n"/>
      <c r="AR121" s="49" t="n"/>
      <c r="AS121" s="49" t="n"/>
      <c r="AT121" s="49" t="n"/>
      <c r="AU121" s="49" t="n"/>
      <c r="AV121" s="49" t="n"/>
      <c r="AW121" s="49" t="n"/>
      <c r="AX121" s="49" t="n"/>
      <c r="AY121" s="49" t="n"/>
    </row>
    <row r="122" ht="15" customHeight="1" s="27">
      <c r="A122" s="49" t="n"/>
      <c r="B122" s="49" t="n"/>
      <c r="C122" s="49" t="n"/>
      <c r="D122" s="49" t="n"/>
      <c r="E122" s="49" t="n"/>
      <c r="F122" s="49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51">
        <f>CONFIG_REFERENCIA!$E$3</f>
        <v/>
      </c>
      <c r="P122" s="51">
        <f>CONFIG_REFERENCIA!$E$4</f>
        <v/>
      </c>
      <c r="Q122" s="51">
        <f>CONFIG_REFERENCIA!$E$5</f>
        <v/>
      </c>
      <c r="R122" s="51">
        <f>CONFIG_REFERENCIA!$E$6</f>
        <v/>
      </c>
      <c r="S122" s="52">
        <f>IF($F122="","",INDEX(CONFIG_REFERENCIA!$B$3:$B$6,MATCH($F122,CONFIG_REFERENCIA!$A$3:$A$6,0)))</f>
        <v/>
      </c>
      <c r="T122" s="53" t="n"/>
      <c r="U122" s="53" t="n"/>
      <c r="V122" s="53" t="n"/>
      <c r="W122" s="53" t="n"/>
      <c r="X122" s="54">
        <f>IF(COUNTA($T122:$W122)&lt;4,"",$S122*($O122*$T122+$P122*$U122+$Q122*$V122+$R122*$W122))</f>
        <v/>
      </c>
      <c r="Y122" s="53" t="n"/>
      <c r="Z122" s="53" t="n"/>
      <c r="AA122" s="55" t="n"/>
      <c r="AB122" s="55" t="n"/>
      <c r="AC122" s="49" t="n"/>
      <c r="AD122" s="49" t="n"/>
      <c r="AE122" s="49" t="n"/>
      <c r="AF122" s="49" t="n"/>
      <c r="AG122" s="49" t="n"/>
      <c r="AH122" s="49" t="n"/>
      <c r="AI122" s="49" t="n"/>
      <c r="AJ122" s="49" t="n"/>
      <c r="AK122" s="49" t="n"/>
      <c r="AL122" s="49" t="n"/>
      <c r="AM122" s="49" t="n"/>
      <c r="AN122" s="49" t="n"/>
      <c r="AO122" s="49" t="n"/>
      <c r="AP122" s="49" t="n"/>
      <c r="AQ122" s="49" t="n"/>
      <c r="AR122" s="49" t="n"/>
      <c r="AS122" s="49" t="n"/>
      <c r="AT122" s="49" t="n"/>
      <c r="AU122" s="49" t="n"/>
      <c r="AV122" s="49" t="n"/>
      <c r="AW122" s="49" t="n"/>
      <c r="AX122" s="49" t="n"/>
      <c r="AY122" s="49" t="n"/>
    </row>
    <row r="123" ht="15" customHeight="1" s="27">
      <c r="A123" s="49" t="n"/>
      <c r="B123" s="49" t="n"/>
      <c r="C123" s="49" t="n"/>
      <c r="D123" s="49" t="n"/>
      <c r="E123" s="49" t="n"/>
      <c r="F123" s="49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51">
        <f>CONFIG_REFERENCIA!$E$3</f>
        <v/>
      </c>
      <c r="P123" s="51">
        <f>CONFIG_REFERENCIA!$E$4</f>
        <v/>
      </c>
      <c r="Q123" s="51">
        <f>CONFIG_REFERENCIA!$E$5</f>
        <v/>
      </c>
      <c r="R123" s="51">
        <f>CONFIG_REFERENCIA!$E$6</f>
        <v/>
      </c>
      <c r="S123" s="52">
        <f>IF($F123="","",INDEX(CONFIG_REFERENCIA!$B$3:$B$6,MATCH($F123,CONFIG_REFERENCIA!$A$3:$A$6,0)))</f>
        <v/>
      </c>
      <c r="T123" s="53" t="n"/>
      <c r="U123" s="53" t="n"/>
      <c r="V123" s="53" t="n"/>
      <c r="W123" s="53" t="n"/>
      <c r="X123" s="54">
        <f>IF(COUNTA($T123:$W123)&lt;4,"",$S123*($O123*$T123+$P123*$U123+$Q123*$V123+$R123*$W123))</f>
        <v/>
      </c>
      <c r="Y123" s="53" t="n"/>
      <c r="Z123" s="53" t="n"/>
      <c r="AA123" s="55" t="n"/>
      <c r="AB123" s="55" t="n"/>
      <c r="AC123" s="49" t="n"/>
      <c r="AD123" s="49" t="n"/>
      <c r="AE123" s="49" t="n"/>
      <c r="AF123" s="49" t="n"/>
      <c r="AG123" s="49" t="n"/>
      <c r="AH123" s="49" t="n"/>
      <c r="AI123" s="49" t="n"/>
      <c r="AJ123" s="49" t="n"/>
      <c r="AK123" s="49" t="n"/>
      <c r="AL123" s="49" t="n"/>
      <c r="AM123" s="49" t="n"/>
      <c r="AN123" s="49" t="n"/>
      <c r="AO123" s="49" t="n"/>
      <c r="AP123" s="49" t="n"/>
      <c r="AQ123" s="49" t="n"/>
      <c r="AR123" s="49" t="n"/>
      <c r="AS123" s="49" t="n"/>
      <c r="AT123" s="49" t="n"/>
      <c r="AU123" s="49" t="n"/>
      <c r="AV123" s="49" t="n"/>
      <c r="AW123" s="49" t="n"/>
      <c r="AX123" s="49" t="n"/>
      <c r="AY123" s="49" t="n"/>
    </row>
    <row r="124" ht="15" customHeight="1" s="27">
      <c r="A124" s="49" t="n"/>
      <c r="B124" s="49" t="n"/>
      <c r="C124" s="49" t="n"/>
      <c r="D124" s="49" t="n"/>
      <c r="E124" s="49" t="n"/>
      <c r="F124" s="49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51">
        <f>CONFIG_REFERENCIA!$E$3</f>
        <v/>
      </c>
      <c r="P124" s="51">
        <f>CONFIG_REFERENCIA!$E$4</f>
        <v/>
      </c>
      <c r="Q124" s="51">
        <f>CONFIG_REFERENCIA!$E$5</f>
        <v/>
      </c>
      <c r="R124" s="51">
        <f>CONFIG_REFERENCIA!$E$6</f>
        <v/>
      </c>
      <c r="S124" s="52">
        <f>IF($F124="","",INDEX(CONFIG_REFERENCIA!$B$3:$B$6,MATCH($F124,CONFIG_REFERENCIA!$A$3:$A$6,0)))</f>
        <v/>
      </c>
      <c r="T124" s="53" t="n"/>
      <c r="U124" s="53" t="n"/>
      <c r="V124" s="53" t="n"/>
      <c r="W124" s="53" t="n"/>
      <c r="X124" s="54">
        <f>IF(COUNTA($T124:$W124)&lt;4,"",$S124*($O124*$T124+$P124*$U124+$Q124*$V124+$R124*$W124))</f>
        <v/>
      </c>
      <c r="Y124" s="53" t="n"/>
      <c r="Z124" s="53" t="n"/>
      <c r="AA124" s="55" t="n"/>
      <c r="AB124" s="55" t="n"/>
      <c r="AC124" s="49" t="n"/>
      <c r="AD124" s="49" t="n"/>
      <c r="AE124" s="49" t="n"/>
      <c r="AF124" s="49" t="n"/>
      <c r="AG124" s="49" t="n"/>
      <c r="AH124" s="49" t="n"/>
      <c r="AI124" s="49" t="n"/>
      <c r="AJ124" s="49" t="n"/>
      <c r="AK124" s="49" t="n"/>
      <c r="AL124" s="49" t="n"/>
      <c r="AM124" s="49" t="n"/>
      <c r="AN124" s="49" t="n"/>
      <c r="AO124" s="49" t="n"/>
      <c r="AP124" s="49" t="n"/>
      <c r="AQ124" s="49" t="n"/>
      <c r="AR124" s="49" t="n"/>
      <c r="AS124" s="49" t="n"/>
      <c r="AT124" s="49" t="n"/>
      <c r="AU124" s="49" t="n"/>
      <c r="AV124" s="49" t="n"/>
      <c r="AW124" s="49" t="n"/>
      <c r="AX124" s="49" t="n"/>
      <c r="AY124" s="49" t="n"/>
    </row>
    <row r="125" ht="15" customHeight="1" s="27">
      <c r="A125" s="49" t="n"/>
      <c r="B125" s="49" t="n"/>
      <c r="C125" s="49" t="n"/>
      <c r="D125" s="49" t="n"/>
      <c r="E125" s="49" t="n"/>
      <c r="F125" s="49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51">
        <f>CONFIG_REFERENCIA!$E$3</f>
        <v/>
      </c>
      <c r="P125" s="51">
        <f>CONFIG_REFERENCIA!$E$4</f>
        <v/>
      </c>
      <c r="Q125" s="51">
        <f>CONFIG_REFERENCIA!$E$5</f>
        <v/>
      </c>
      <c r="R125" s="51">
        <f>CONFIG_REFERENCIA!$E$6</f>
        <v/>
      </c>
      <c r="S125" s="52">
        <f>IF($F125="","",INDEX(CONFIG_REFERENCIA!$B$3:$B$6,MATCH($F125,CONFIG_REFERENCIA!$A$3:$A$6,0)))</f>
        <v/>
      </c>
      <c r="T125" s="53" t="n"/>
      <c r="U125" s="53" t="n"/>
      <c r="V125" s="53" t="n"/>
      <c r="W125" s="53" t="n"/>
      <c r="X125" s="54">
        <f>IF(COUNTA($T125:$W125)&lt;4,"",$S125*($O125*$T125+$P125*$U125+$Q125*$V125+$R125*$W125))</f>
        <v/>
      </c>
      <c r="Y125" s="53" t="n"/>
      <c r="Z125" s="53" t="n"/>
      <c r="AA125" s="55" t="n"/>
      <c r="AB125" s="55" t="n"/>
      <c r="AC125" s="49" t="n"/>
      <c r="AD125" s="49" t="n"/>
      <c r="AE125" s="49" t="n"/>
      <c r="AF125" s="49" t="n"/>
      <c r="AG125" s="49" t="n"/>
      <c r="AH125" s="49" t="n"/>
      <c r="AI125" s="49" t="n"/>
      <c r="AJ125" s="49" t="n"/>
      <c r="AK125" s="49" t="n"/>
      <c r="AL125" s="49" t="n"/>
      <c r="AM125" s="49" t="n"/>
      <c r="AN125" s="49" t="n"/>
      <c r="AO125" s="49" t="n"/>
      <c r="AP125" s="49" t="n"/>
      <c r="AQ125" s="49" t="n"/>
      <c r="AR125" s="49" t="n"/>
      <c r="AS125" s="49" t="n"/>
      <c r="AT125" s="49" t="n"/>
      <c r="AU125" s="49" t="n"/>
      <c r="AV125" s="49" t="n"/>
      <c r="AW125" s="49" t="n"/>
      <c r="AX125" s="49" t="n"/>
      <c r="AY125" s="49" t="n"/>
    </row>
    <row r="126" ht="15" customHeight="1" s="27">
      <c r="A126" s="49" t="n"/>
      <c r="B126" s="49" t="n"/>
      <c r="C126" s="49" t="n"/>
      <c r="D126" s="49" t="n"/>
      <c r="E126" s="49" t="n"/>
      <c r="F126" s="49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51">
        <f>CONFIG_REFERENCIA!$E$3</f>
        <v/>
      </c>
      <c r="P126" s="51">
        <f>CONFIG_REFERENCIA!$E$4</f>
        <v/>
      </c>
      <c r="Q126" s="51">
        <f>CONFIG_REFERENCIA!$E$5</f>
        <v/>
      </c>
      <c r="R126" s="51">
        <f>CONFIG_REFERENCIA!$E$6</f>
        <v/>
      </c>
      <c r="S126" s="52">
        <f>IF($F126="","",INDEX(CONFIG_REFERENCIA!$B$3:$B$6,MATCH($F126,CONFIG_REFERENCIA!$A$3:$A$6,0)))</f>
        <v/>
      </c>
      <c r="T126" s="53" t="n"/>
      <c r="U126" s="53" t="n"/>
      <c r="V126" s="53" t="n"/>
      <c r="W126" s="53" t="n"/>
      <c r="X126" s="54">
        <f>IF(COUNTA($T126:$W126)&lt;4,"",$S126*($O126*$T126+$P126*$U126+$Q126*$V126+$R126*$W126))</f>
        <v/>
      </c>
      <c r="Y126" s="53" t="n"/>
      <c r="Z126" s="53" t="n"/>
      <c r="AA126" s="55" t="n"/>
      <c r="AB126" s="55" t="n"/>
      <c r="AC126" s="49" t="n"/>
      <c r="AD126" s="49" t="n"/>
      <c r="AE126" s="49" t="n"/>
      <c r="AF126" s="49" t="n"/>
      <c r="AG126" s="49" t="n"/>
      <c r="AH126" s="49" t="n"/>
      <c r="AI126" s="49" t="n"/>
      <c r="AJ126" s="49" t="n"/>
      <c r="AK126" s="49" t="n"/>
      <c r="AL126" s="49" t="n"/>
      <c r="AM126" s="49" t="n"/>
      <c r="AN126" s="49" t="n"/>
      <c r="AO126" s="49" t="n"/>
      <c r="AP126" s="49" t="n"/>
      <c r="AQ126" s="49" t="n"/>
      <c r="AR126" s="49" t="n"/>
      <c r="AS126" s="49" t="n"/>
      <c r="AT126" s="49" t="n"/>
      <c r="AU126" s="49" t="n"/>
      <c r="AV126" s="49" t="n"/>
      <c r="AW126" s="49" t="n"/>
      <c r="AX126" s="49" t="n"/>
      <c r="AY126" s="49" t="n"/>
    </row>
    <row r="127" ht="15" customHeight="1" s="27">
      <c r="A127" s="49" t="n"/>
      <c r="B127" s="49" t="n"/>
      <c r="C127" s="49" t="n"/>
      <c r="D127" s="49" t="n"/>
      <c r="E127" s="49" t="n"/>
      <c r="F127" s="49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51">
        <f>CONFIG_REFERENCIA!$E$3</f>
        <v/>
      </c>
      <c r="P127" s="51">
        <f>CONFIG_REFERENCIA!$E$4</f>
        <v/>
      </c>
      <c r="Q127" s="51">
        <f>CONFIG_REFERENCIA!$E$5</f>
        <v/>
      </c>
      <c r="R127" s="51">
        <f>CONFIG_REFERENCIA!$E$6</f>
        <v/>
      </c>
      <c r="S127" s="52">
        <f>IF($F127="","",INDEX(CONFIG_REFERENCIA!$B$3:$B$6,MATCH($F127,CONFIG_REFERENCIA!$A$3:$A$6,0)))</f>
        <v/>
      </c>
      <c r="T127" s="53" t="n"/>
      <c r="U127" s="53" t="n"/>
      <c r="V127" s="53" t="n"/>
      <c r="W127" s="53" t="n"/>
      <c r="X127" s="54">
        <f>IF(COUNTA($T127:$W127)&lt;4,"",$S127*($O127*$T127+$P127*$U127+$Q127*$V127+$R127*$W127))</f>
        <v/>
      </c>
      <c r="Y127" s="53" t="n"/>
      <c r="Z127" s="53" t="n"/>
      <c r="AA127" s="55" t="n"/>
      <c r="AB127" s="55" t="n"/>
      <c r="AC127" s="49" t="n"/>
      <c r="AD127" s="49" t="n"/>
      <c r="AE127" s="49" t="n"/>
      <c r="AF127" s="49" t="n"/>
      <c r="AG127" s="49" t="n"/>
      <c r="AH127" s="49" t="n"/>
      <c r="AI127" s="49" t="n"/>
      <c r="AJ127" s="49" t="n"/>
      <c r="AK127" s="49" t="n"/>
      <c r="AL127" s="49" t="n"/>
      <c r="AM127" s="49" t="n"/>
      <c r="AN127" s="49" t="n"/>
      <c r="AO127" s="49" t="n"/>
      <c r="AP127" s="49" t="n"/>
      <c r="AQ127" s="49" t="n"/>
      <c r="AR127" s="49" t="n"/>
      <c r="AS127" s="49" t="n"/>
      <c r="AT127" s="49" t="n"/>
      <c r="AU127" s="49" t="n"/>
      <c r="AV127" s="49" t="n"/>
      <c r="AW127" s="49" t="n"/>
      <c r="AX127" s="49" t="n"/>
      <c r="AY127" s="49" t="n"/>
    </row>
    <row r="128" ht="15" customHeight="1" s="27">
      <c r="A128" s="49" t="n"/>
      <c r="B128" s="49" t="n"/>
      <c r="C128" s="49" t="n"/>
      <c r="D128" s="49" t="n"/>
      <c r="E128" s="49" t="n"/>
      <c r="F128" s="49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51">
        <f>CONFIG_REFERENCIA!$E$3</f>
        <v/>
      </c>
      <c r="P128" s="51">
        <f>CONFIG_REFERENCIA!$E$4</f>
        <v/>
      </c>
      <c r="Q128" s="51">
        <f>CONFIG_REFERENCIA!$E$5</f>
        <v/>
      </c>
      <c r="R128" s="51">
        <f>CONFIG_REFERENCIA!$E$6</f>
        <v/>
      </c>
      <c r="S128" s="52">
        <f>IF($F128="","",INDEX(CONFIG_REFERENCIA!$B$3:$B$6,MATCH($F128,CONFIG_REFERENCIA!$A$3:$A$6,0)))</f>
        <v/>
      </c>
      <c r="T128" s="53" t="n"/>
      <c r="U128" s="53" t="n"/>
      <c r="V128" s="53" t="n"/>
      <c r="W128" s="53" t="n"/>
      <c r="X128" s="54">
        <f>IF(COUNTA($T128:$W128)&lt;4,"",$S128*($O128*$T128+$P128*$U128+$Q128*$V128+$R128*$W128))</f>
        <v/>
      </c>
      <c r="Y128" s="53" t="n"/>
      <c r="Z128" s="53" t="n"/>
      <c r="AA128" s="55" t="n"/>
      <c r="AB128" s="55" t="n"/>
      <c r="AC128" s="49" t="n"/>
      <c r="AD128" s="49" t="n"/>
      <c r="AE128" s="49" t="n"/>
      <c r="AF128" s="49" t="n"/>
      <c r="AG128" s="49" t="n"/>
      <c r="AH128" s="49" t="n"/>
      <c r="AI128" s="49" t="n"/>
      <c r="AJ128" s="49" t="n"/>
      <c r="AK128" s="49" t="n"/>
      <c r="AL128" s="49" t="n"/>
      <c r="AM128" s="49" t="n"/>
      <c r="AN128" s="49" t="n"/>
      <c r="AO128" s="49" t="n"/>
      <c r="AP128" s="49" t="n"/>
      <c r="AQ128" s="49" t="n"/>
      <c r="AR128" s="49" t="n"/>
      <c r="AS128" s="49" t="n"/>
      <c r="AT128" s="49" t="n"/>
      <c r="AU128" s="49" t="n"/>
      <c r="AV128" s="49" t="n"/>
      <c r="AW128" s="49" t="n"/>
      <c r="AX128" s="49" t="n"/>
      <c r="AY128" s="49" t="n"/>
    </row>
    <row r="129" ht="15" customHeight="1" s="27">
      <c r="A129" s="49" t="n"/>
      <c r="B129" s="49" t="n"/>
      <c r="C129" s="49" t="n"/>
      <c r="D129" s="49" t="n"/>
      <c r="E129" s="49" t="n"/>
      <c r="F129" s="49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51">
        <f>CONFIG_REFERENCIA!$E$3</f>
        <v/>
      </c>
      <c r="P129" s="51">
        <f>CONFIG_REFERENCIA!$E$4</f>
        <v/>
      </c>
      <c r="Q129" s="51">
        <f>CONFIG_REFERENCIA!$E$5</f>
        <v/>
      </c>
      <c r="R129" s="51">
        <f>CONFIG_REFERENCIA!$E$6</f>
        <v/>
      </c>
      <c r="S129" s="52">
        <f>IF($F129="","",INDEX(CONFIG_REFERENCIA!$B$3:$B$6,MATCH($F129,CONFIG_REFERENCIA!$A$3:$A$6,0)))</f>
        <v/>
      </c>
      <c r="T129" s="53" t="n"/>
      <c r="U129" s="53" t="n"/>
      <c r="V129" s="53" t="n"/>
      <c r="W129" s="53" t="n"/>
      <c r="X129" s="54">
        <f>IF(COUNTA($T129:$W129)&lt;4,"",$S129*($O129*$T129+$P129*$U129+$Q129*$V129+$R129*$W129))</f>
        <v/>
      </c>
      <c r="Y129" s="53" t="n"/>
      <c r="Z129" s="53" t="n"/>
      <c r="AA129" s="55" t="n"/>
      <c r="AB129" s="55" t="n"/>
      <c r="AC129" s="49" t="n"/>
      <c r="AD129" s="49" t="n"/>
      <c r="AE129" s="49" t="n"/>
      <c r="AF129" s="49" t="n"/>
      <c r="AG129" s="49" t="n"/>
      <c r="AH129" s="49" t="n"/>
      <c r="AI129" s="49" t="n"/>
      <c r="AJ129" s="49" t="n"/>
      <c r="AK129" s="49" t="n"/>
      <c r="AL129" s="49" t="n"/>
      <c r="AM129" s="49" t="n"/>
      <c r="AN129" s="49" t="n"/>
      <c r="AO129" s="49" t="n"/>
      <c r="AP129" s="49" t="n"/>
      <c r="AQ129" s="49" t="n"/>
      <c r="AR129" s="49" t="n"/>
      <c r="AS129" s="49" t="n"/>
      <c r="AT129" s="49" t="n"/>
      <c r="AU129" s="49" t="n"/>
      <c r="AV129" s="49" t="n"/>
      <c r="AW129" s="49" t="n"/>
      <c r="AX129" s="49" t="n"/>
      <c r="AY129" s="49" t="n"/>
    </row>
    <row r="130" ht="15" customHeight="1" s="27">
      <c r="A130" s="49" t="n"/>
      <c r="B130" s="49" t="n"/>
      <c r="C130" s="49" t="n"/>
      <c r="D130" s="49" t="n"/>
      <c r="E130" s="49" t="n"/>
      <c r="F130" s="49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51">
        <f>CONFIG_REFERENCIA!$E$3</f>
        <v/>
      </c>
      <c r="P130" s="51">
        <f>CONFIG_REFERENCIA!$E$4</f>
        <v/>
      </c>
      <c r="Q130" s="51">
        <f>CONFIG_REFERENCIA!$E$5</f>
        <v/>
      </c>
      <c r="R130" s="51">
        <f>CONFIG_REFERENCIA!$E$6</f>
        <v/>
      </c>
      <c r="S130" s="52">
        <f>IF($F130="","",INDEX(CONFIG_REFERENCIA!$B$3:$B$6,MATCH($F130,CONFIG_REFERENCIA!$A$3:$A$6,0)))</f>
        <v/>
      </c>
      <c r="T130" s="53" t="n"/>
      <c r="U130" s="53" t="n"/>
      <c r="V130" s="53" t="n"/>
      <c r="W130" s="53" t="n"/>
      <c r="X130" s="54">
        <f>IF(COUNTA($T130:$W130)&lt;4,"",$S130*($O130*$T130+$P130*$U130+$Q130*$V130+$R130*$W130))</f>
        <v/>
      </c>
      <c r="Y130" s="53" t="n"/>
      <c r="Z130" s="53" t="n"/>
      <c r="AA130" s="55" t="n"/>
      <c r="AB130" s="55" t="n"/>
      <c r="AC130" s="49" t="n"/>
      <c r="AD130" s="49" t="n"/>
      <c r="AE130" s="49" t="n"/>
      <c r="AF130" s="49" t="n"/>
      <c r="AG130" s="49" t="n"/>
      <c r="AH130" s="49" t="n"/>
      <c r="AI130" s="49" t="n"/>
      <c r="AJ130" s="49" t="n"/>
      <c r="AK130" s="49" t="n"/>
      <c r="AL130" s="49" t="n"/>
      <c r="AM130" s="49" t="n"/>
      <c r="AN130" s="49" t="n"/>
      <c r="AO130" s="49" t="n"/>
      <c r="AP130" s="49" t="n"/>
      <c r="AQ130" s="49" t="n"/>
      <c r="AR130" s="49" t="n"/>
      <c r="AS130" s="49" t="n"/>
      <c r="AT130" s="49" t="n"/>
      <c r="AU130" s="49" t="n"/>
      <c r="AV130" s="49" t="n"/>
      <c r="AW130" s="49" t="n"/>
      <c r="AX130" s="49" t="n"/>
      <c r="AY130" s="49" t="n"/>
    </row>
    <row r="131" ht="15" customHeight="1" s="27">
      <c r="A131" s="49" t="n"/>
      <c r="B131" s="49" t="n"/>
      <c r="C131" s="49" t="n"/>
      <c r="D131" s="49" t="n"/>
      <c r="E131" s="49" t="n"/>
      <c r="F131" s="49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51">
        <f>CONFIG_REFERENCIA!$E$3</f>
        <v/>
      </c>
      <c r="P131" s="51">
        <f>CONFIG_REFERENCIA!$E$4</f>
        <v/>
      </c>
      <c r="Q131" s="51">
        <f>CONFIG_REFERENCIA!$E$5</f>
        <v/>
      </c>
      <c r="R131" s="51">
        <f>CONFIG_REFERENCIA!$E$6</f>
        <v/>
      </c>
      <c r="S131" s="52">
        <f>IF($F131="","",INDEX(CONFIG_REFERENCIA!$B$3:$B$6,MATCH($F131,CONFIG_REFERENCIA!$A$3:$A$6,0)))</f>
        <v/>
      </c>
      <c r="T131" s="53" t="n"/>
      <c r="U131" s="53" t="n"/>
      <c r="V131" s="53" t="n"/>
      <c r="W131" s="53" t="n"/>
      <c r="X131" s="54">
        <f>IF(COUNTA($T131:$W131)&lt;4,"",$S131*($O131*$T131+$P131*$U131+$Q131*$V131+$R131*$W131))</f>
        <v/>
      </c>
      <c r="Y131" s="53" t="n"/>
      <c r="Z131" s="53" t="n"/>
      <c r="AA131" s="55" t="n"/>
      <c r="AB131" s="55" t="n"/>
      <c r="AC131" s="49" t="n"/>
      <c r="AD131" s="49" t="n"/>
      <c r="AE131" s="49" t="n"/>
      <c r="AF131" s="49" t="n"/>
      <c r="AG131" s="49" t="n"/>
      <c r="AH131" s="49" t="n"/>
      <c r="AI131" s="49" t="n"/>
      <c r="AJ131" s="49" t="n"/>
      <c r="AK131" s="49" t="n"/>
      <c r="AL131" s="49" t="n"/>
      <c r="AM131" s="49" t="n"/>
      <c r="AN131" s="49" t="n"/>
      <c r="AO131" s="49" t="n"/>
      <c r="AP131" s="49" t="n"/>
      <c r="AQ131" s="49" t="n"/>
      <c r="AR131" s="49" t="n"/>
      <c r="AS131" s="49" t="n"/>
      <c r="AT131" s="49" t="n"/>
      <c r="AU131" s="49" t="n"/>
      <c r="AV131" s="49" t="n"/>
      <c r="AW131" s="49" t="n"/>
      <c r="AX131" s="49" t="n"/>
      <c r="AY131" s="49" t="n"/>
    </row>
    <row r="132" ht="15" customHeight="1" s="27">
      <c r="A132" s="49" t="n"/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51">
        <f>CONFIG_REFERENCIA!$E$3</f>
        <v/>
      </c>
      <c r="P132" s="51">
        <f>CONFIG_REFERENCIA!$E$4</f>
        <v/>
      </c>
      <c r="Q132" s="51">
        <f>CONFIG_REFERENCIA!$E$5</f>
        <v/>
      </c>
      <c r="R132" s="51">
        <f>CONFIG_REFERENCIA!$E$6</f>
        <v/>
      </c>
      <c r="S132" s="52">
        <f>IF($F132="","",INDEX(CONFIG_REFERENCIA!$B$3:$B$6,MATCH($F132,CONFIG_REFERENCIA!$A$3:$A$6,0)))</f>
        <v/>
      </c>
      <c r="T132" s="53" t="n"/>
      <c r="U132" s="53" t="n"/>
      <c r="V132" s="53" t="n"/>
      <c r="W132" s="53" t="n"/>
      <c r="X132" s="54">
        <f>IF(COUNTA($T132:$W132)&lt;4,"",$S132*($O132*$T132+$P132*$U132+$Q132*$V132+$R132*$W132))</f>
        <v/>
      </c>
      <c r="Y132" s="53" t="n"/>
      <c r="Z132" s="53" t="n"/>
      <c r="AA132" s="55" t="n"/>
      <c r="AB132" s="55" t="n"/>
      <c r="AC132" s="49" t="n"/>
      <c r="AD132" s="49" t="n"/>
      <c r="AE132" s="49" t="n"/>
      <c r="AF132" s="49" t="n"/>
      <c r="AG132" s="49" t="n"/>
      <c r="AH132" s="49" t="n"/>
      <c r="AI132" s="49" t="n"/>
      <c r="AJ132" s="49" t="n"/>
      <c r="AK132" s="49" t="n"/>
      <c r="AL132" s="49" t="n"/>
      <c r="AM132" s="49" t="n"/>
      <c r="AN132" s="49" t="n"/>
      <c r="AO132" s="49" t="n"/>
      <c r="AP132" s="49" t="n"/>
      <c r="AQ132" s="49" t="n"/>
      <c r="AR132" s="49" t="n"/>
      <c r="AS132" s="49" t="n"/>
      <c r="AT132" s="49" t="n"/>
      <c r="AU132" s="49" t="n"/>
      <c r="AV132" s="49" t="n"/>
      <c r="AW132" s="49" t="n"/>
      <c r="AX132" s="49" t="n"/>
      <c r="AY132" s="49" t="n"/>
    </row>
    <row r="133" ht="15" customHeight="1" s="27">
      <c r="A133" s="49" t="n"/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51">
        <f>CONFIG_REFERENCIA!$E$3</f>
        <v/>
      </c>
      <c r="P133" s="51">
        <f>CONFIG_REFERENCIA!$E$4</f>
        <v/>
      </c>
      <c r="Q133" s="51">
        <f>CONFIG_REFERENCIA!$E$5</f>
        <v/>
      </c>
      <c r="R133" s="51">
        <f>CONFIG_REFERENCIA!$E$6</f>
        <v/>
      </c>
      <c r="S133" s="52">
        <f>IF($F133="","",INDEX(CONFIG_REFERENCIA!$B$3:$B$6,MATCH($F133,CONFIG_REFERENCIA!$A$3:$A$6,0)))</f>
        <v/>
      </c>
      <c r="T133" s="53" t="n"/>
      <c r="U133" s="53" t="n"/>
      <c r="V133" s="53" t="n"/>
      <c r="W133" s="53" t="n"/>
      <c r="X133" s="54">
        <f>IF(COUNTA($T133:$W133)&lt;4,"",$S133*($O133*$T133+$P133*$U133+$Q133*$V133+$R133*$W133))</f>
        <v/>
      </c>
      <c r="Y133" s="53" t="n"/>
      <c r="Z133" s="53" t="n"/>
      <c r="AA133" s="55" t="n"/>
      <c r="AB133" s="55" t="n"/>
      <c r="AC133" s="49" t="n"/>
      <c r="AD133" s="49" t="n"/>
      <c r="AE133" s="49" t="n"/>
      <c r="AF133" s="49" t="n"/>
      <c r="AG133" s="49" t="n"/>
      <c r="AH133" s="49" t="n"/>
      <c r="AI133" s="49" t="n"/>
      <c r="AJ133" s="49" t="n"/>
      <c r="AK133" s="49" t="n"/>
      <c r="AL133" s="49" t="n"/>
      <c r="AM133" s="49" t="n"/>
      <c r="AN133" s="49" t="n"/>
      <c r="AO133" s="49" t="n"/>
      <c r="AP133" s="49" t="n"/>
      <c r="AQ133" s="49" t="n"/>
      <c r="AR133" s="49" t="n"/>
      <c r="AS133" s="49" t="n"/>
      <c r="AT133" s="49" t="n"/>
      <c r="AU133" s="49" t="n"/>
      <c r="AV133" s="49" t="n"/>
      <c r="AW133" s="49" t="n"/>
      <c r="AX133" s="49" t="n"/>
      <c r="AY133" s="49" t="n"/>
    </row>
    <row r="134" ht="15" customHeight="1" s="27">
      <c r="A134" s="49" t="n"/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51">
        <f>CONFIG_REFERENCIA!$E$3</f>
        <v/>
      </c>
      <c r="P134" s="51">
        <f>CONFIG_REFERENCIA!$E$4</f>
        <v/>
      </c>
      <c r="Q134" s="51">
        <f>CONFIG_REFERENCIA!$E$5</f>
        <v/>
      </c>
      <c r="R134" s="51">
        <f>CONFIG_REFERENCIA!$E$6</f>
        <v/>
      </c>
      <c r="S134" s="52">
        <f>IF($F134="","",INDEX(CONFIG_REFERENCIA!$B$3:$B$6,MATCH($F134,CONFIG_REFERENCIA!$A$3:$A$6,0)))</f>
        <v/>
      </c>
      <c r="T134" s="53" t="n"/>
      <c r="U134" s="53" t="n"/>
      <c r="V134" s="53" t="n"/>
      <c r="W134" s="53" t="n"/>
      <c r="X134" s="54">
        <f>IF(COUNTA($T134:$W134)&lt;4,"",$S134*($O134*$T134+$P134*$U134+$Q134*$V134+$R134*$W134))</f>
        <v/>
      </c>
      <c r="Y134" s="53" t="n"/>
      <c r="Z134" s="53" t="n"/>
      <c r="AA134" s="55" t="n"/>
      <c r="AB134" s="55" t="n"/>
      <c r="AC134" s="49" t="n"/>
      <c r="AD134" s="49" t="n"/>
      <c r="AE134" s="49" t="n"/>
      <c r="AF134" s="49" t="n"/>
      <c r="AG134" s="49" t="n"/>
      <c r="AH134" s="49" t="n"/>
      <c r="AI134" s="49" t="n"/>
      <c r="AJ134" s="49" t="n"/>
      <c r="AK134" s="49" t="n"/>
      <c r="AL134" s="49" t="n"/>
      <c r="AM134" s="49" t="n"/>
      <c r="AN134" s="49" t="n"/>
      <c r="AO134" s="49" t="n"/>
      <c r="AP134" s="49" t="n"/>
      <c r="AQ134" s="49" t="n"/>
      <c r="AR134" s="49" t="n"/>
      <c r="AS134" s="49" t="n"/>
      <c r="AT134" s="49" t="n"/>
      <c r="AU134" s="49" t="n"/>
      <c r="AV134" s="49" t="n"/>
      <c r="AW134" s="49" t="n"/>
      <c r="AX134" s="49" t="n"/>
      <c r="AY134" s="49" t="n"/>
    </row>
    <row r="135" ht="15" customHeight="1" s="27">
      <c r="A135" s="49" t="n"/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51">
        <f>CONFIG_REFERENCIA!$E$3</f>
        <v/>
      </c>
      <c r="P135" s="51">
        <f>CONFIG_REFERENCIA!$E$4</f>
        <v/>
      </c>
      <c r="Q135" s="51">
        <f>CONFIG_REFERENCIA!$E$5</f>
        <v/>
      </c>
      <c r="R135" s="51">
        <f>CONFIG_REFERENCIA!$E$6</f>
        <v/>
      </c>
      <c r="S135" s="52">
        <f>IF($F135="","",INDEX(CONFIG_REFERENCIA!$B$3:$B$6,MATCH($F135,CONFIG_REFERENCIA!$A$3:$A$6,0)))</f>
        <v/>
      </c>
      <c r="T135" s="53" t="n"/>
      <c r="U135" s="53" t="n"/>
      <c r="V135" s="53" t="n"/>
      <c r="W135" s="53" t="n"/>
      <c r="X135" s="54">
        <f>IF(COUNTA($T135:$W135)&lt;4,"",$S135*($O135*$T135+$P135*$U135+$Q135*$V135+$R135*$W135))</f>
        <v/>
      </c>
      <c r="Y135" s="53" t="n"/>
      <c r="Z135" s="53" t="n"/>
      <c r="AA135" s="55" t="n"/>
      <c r="AB135" s="55" t="n"/>
      <c r="AC135" s="49" t="n"/>
      <c r="AD135" s="49" t="n"/>
      <c r="AE135" s="49" t="n"/>
      <c r="AF135" s="49" t="n"/>
      <c r="AG135" s="49" t="n"/>
      <c r="AH135" s="49" t="n"/>
      <c r="AI135" s="49" t="n"/>
      <c r="AJ135" s="49" t="n"/>
      <c r="AK135" s="49" t="n"/>
      <c r="AL135" s="49" t="n"/>
      <c r="AM135" s="49" t="n"/>
      <c r="AN135" s="49" t="n"/>
      <c r="AO135" s="49" t="n"/>
      <c r="AP135" s="49" t="n"/>
      <c r="AQ135" s="49" t="n"/>
      <c r="AR135" s="49" t="n"/>
      <c r="AS135" s="49" t="n"/>
      <c r="AT135" s="49" t="n"/>
      <c r="AU135" s="49" t="n"/>
      <c r="AV135" s="49" t="n"/>
      <c r="AW135" s="49" t="n"/>
      <c r="AX135" s="49" t="n"/>
      <c r="AY135" s="49" t="n"/>
    </row>
    <row r="136" ht="15" customHeight="1" s="27">
      <c r="A136" s="49" t="n"/>
      <c r="B136" s="49" t="n"/>
      <c r="C136" s="49" t="n"/>
      <c r="D136" s="49" t="n"/>
      <c r="E136" s="49" t="n"/>
      <c r="F136" s="49" t="n"/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51">
        <f>CONFIG_REFERENCIA!$E$3</f>
        <v/>
      </c>
      <c r="P136" s="51">
        <f>CONFIG_REFERENCIA!$E$4</f>
        <v/>
      </c>
      <c r="Q136" s="51">
        <f>CONFIG_REFERENCIA!$E$5</f>
        <v/>
      </c>
      <c r="R136" s="51">
        <f>CONFIG_REFERENCIA!$E$6</f>
        <v/>
      </c>
      <c r="S136" s="52">
        <f>IF($F136="","",INDEX(CONFIG_REFERENCIA!$B$3:$B$6,MATCH($F136,CONFIG_REFERENCIA!$A$3:$A$6,0)))</f>
        <v/>
      </c>
      <c r="T136" s="53" t="n"/>
      <c r="U136" s="53" t="n"/>
      <c r="V136" s="53" t="n"/>
      <c r="W136" s="53" t="n"/>
      <c r="X136" s="54">
        <f>IF(COUNTA($T136:$W136)&lt;4,"",$S136*($O136*$T136+$P136*$U136+$Q136*$V136+$R136*$W136))</f>
        <v/>
      </c>
      <c r="Y136" s="53" t="n"/>
      <c r="Z136" s="53" t="n"/>
      <c r="AA136" s="55" t="n"/>
      <c r="AB136" s="55" t="n"/>
      <c r="AC136" s="49" t="n"/>
      <c r="AD136" s="49" t="n"/>
      <c r="AE136" s="49" t="n"/>
      <c r="AF136" s="49" t="n"/>
      <c r="AG136" s="49" t="n"/>
      <c r="AH136" s="49" t="n"/>
      <c r="AI136" s="49" t="n"/>
      <c r="AJ136" s="49" t="n"/>
      <c r="AK136" s="49" t="n"/>
      <c r="AL136" s="49" t="n"/>
      <c r="AM136" s="49" t="n"/>
      <c r="AN136" s="49" t="n"/>
      <c r="AO136" s="49" t="n"/>
      <c r="AP136" s="49" t="n"/>
      <c r="AQ136" s="49" t="n"/>
      <c r="AR136" s="49" t="n"/>
      <c r="AS136" s="49" t="n"/>
      <c r="AT136" s="49" t="n"/>
      <c r="AU136" s="49" t="n"/>
      <c r="AV136" s="49" t="n"/>
      <c r="AW136" s="49" t="n"/>
      <c r="AX136" s="49" t="n"/>
      <c r="AY136" s="49" t="n"/>
    </row>
    <row r="137" ht="15" customHeight="1" s="27">
      <c r="A137" s="49" t="n"/>
      <c r="B137" s="49" t="n"/>
      <c r="C137" s="49" t="n"/>
      <c r="D137" s="49" t="n"/>
      <c r="E137" s="49" t="n"/>
      <c r="F137" s="49" t="n"/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51">
        <f>CONFIG_REFERENCIA!$E$3</f>
        <v/>
      </c>
      <c r="P137" s="51">
        <f>CONFIG_REFERENCIA!$E$4</f>
        <v/>
      </c>
      <c r="Q137" s="51">
        <f>CONFIG_REFERENCIA!$E$5</f>
        <v/>
      </c>
      <c r="R137" s="51">
        <f>CONFIG_REFERENCIA!$E$6</f>
        <v/>
      </c>
      <c r="S137" s="52">
        <f>IF($F137="","",INDEX(CONFIG_REFERENCIA!$B$3:$B$6,MATCH($F137,CONFIG_REFERENCIA!$A$3:$A$6,0)))</f>
        <v/>
      </c>
      <c r="T137" s="53" t="n"/>
      <c r="U137" s="53" t="n"/>
      <c r="V137" s="53" t="n"/>
      <c r="W137" s="53" t="n"/>
      <c r="X137" s="54">
        <f>IF(COUNTA($T137:$W137)&lt;4,"",$S137*($O137*$T137+$P137*$U137+$Q137*$V137+$R137*$W137))</f>
        <v/>
      </c>
      <c r="Y137" s="53" t="n"/>
      <c r="Z137" s="53" t="n"/>
      <c r="AA137" s="55" t="n"/>
      <c r="AB137" s="55" t="n"/>
      <c r="AC137" s="49" t="n"/>
      <c r="AD137" s="49" t="n"/>
      <c r="AE137" s="49" t="n"/>
      <c r="AF137" s="49" t="n"/>
      <c r="AG137" s="49" t="n"/>
      <c r="AH137" s="49" t="n"/>
      <c r="AI137" s="49" t="n"/>
      <c r="AJ137" s="49" t="n"/>
      <c r="AK137" s="49" t="n"/>
      <c r="AL137" s="49" t="n"/>
      <c r="AM137" s="49" t="n"/>
      <c r="AN137" s="49" t="n"/>
      <c r="AO137" s="49" t="n"/>
      <c r="AP137" s="49" t="n"/>
      <c r="AQ137" s="49" t="n"/>
      <c r="AR137" s="49" t="n"/>
      <c r="AS137" s="49" t="n"/>
      <c r="AT137" s="49" t="n"/>
      <c r="AU137" s="49" t="n"/>
      <c r="AV137" s="49" t="n"/>
      <c r="AW137" s="49" t="n"/>
      <c r="AX137" s="49" t="n"/>
      <c r="AY137" s="49" t="n"/>
    </row>
    <row r="138" ht="15" customHeight="1" s="27">
      <c r="A138" s="49" t="n"/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51">
        <f>CONFIG_REFERENCIA!$E$3</f>
        <v/>
      </c>
      <c r="P138" s="51">
        <f>CONFIG_REFERENCIA!$E$4</f>
        <v/>
      </c>
      <c r="Q138" s="51">
        <f>CONFIG_REFERENCIA!$E$5</f>
        <v/>
      </c>
      <c r="R138" s="51">
        <f>CONFIG_REFERENCIA!$E$6</f>
        <v/>
      </c>
      <c r="S138" s="52">
        <f>IF($F138="","",INDEX(CONFIG_REFERENCIA!$B$3:$B$6,MATCH($F138,CONFIG_REFERENCIA!$A$3:$A$6,0)))</f>
        <v/>
      </c>
      <c r="T138" s="53" t="n"/>
      <c r="U138" s="53" t="n"/>
      <c r="V138" s="53" t="n"/>
      <c r="W138" s="53" t="n"/>
      <c r="X138" s="54">
        <f>IF(COUNTA($T138:$W138)&lt;4,"",$S138*($O138*$T138+$P138*$U138+$Q138*$V138+$R138*$W138))</f>
        <v/>
      </c>
      <c r="Y138" s="53" t="n"/>
      <c r="Z138" s="53" t="n"/>
      <c r="AA138" s="55" t="n"/>
      <c r="AB138" s="55" t="n"/>
      <c r="AC138" s="49" t="n"/>
      <c r="AD138" s="49" t="n"/>
      <c r="AE138" s="49" t="n"/>
      <c r="AF138" s="49" t="n"/>
      <c r="AG138" s="49" t="n"/>
      <c r="AH138" s="49" t="n"/>
      <c r="AI138" s="49" t="n"/>
      <c r="AJ138" s="49" t="n"/>
      <c r="AK138" s="49" t="n"/>
      <c r="AL138" s="49" t="n"/>
      <c r="AM138" s="49" t="n"/>
      <c r="AN138" s="49" t="n"/>
      <c r="AO138" s="49" t="n"/>
      <c r="AP138" s="49" t="n"/>
      <c r="AQ138" s="49" t="n"/>
      <c r="AR138" s="49" t="n"/>
      <c r="AS138" s="49" t="n"/>
      <c r="AT138" s="49" t="n"/>
      <c r="AU138" s="49" t="n"/>
      <c r="AV138" s="49" t="n"/>
      <c r="AW138" s="49" t="n"/>
      <c r="AX138" s="49" t="n"/>
      <c r="AY138" s="49" t="n"/>
    </row>
    <row r="139" ht="15" customHeight="1" s="27">
      <c r="A139" s="49" t="n"/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51">
        <f>CONFIG_REFERENCIA!$E$3</f>
        <v/>
      </c>
      <c r="P139" s="51">
        <f>CONFIG_REFERENCIA!$E$4</f>
        <v/>
      </c>
      <c r="Q139" s="51">
        <f>CONFIG_REFERENCIA!$E$5</f>
        <v/>
      </c>
      <c r="R139" s="51">
        <f>CONFIG_REFERENCIA!$E$6</f>
        <v/>
      </c>
      <c r="S139" s="52">
        <f>IF($F139="","",INDEX(CONFIG_REFERENCIA!$B$3:$B$6,MATCH($F139,CONFIG_REFERENCIA!$A$3:$A$6,0)))</f>
        <v/>
      </c>
      <c r="T139" s="53" t="n"/>
      <c r="U139" s="53" t="n"/>
      <c r="V139" s="53" t="n"/>
      <c r="W139" s="53" t="n"/>
      <c r="X139" s="54">
        <f>IF(COUNTA($T139:$W139)&lt;4,"",$S139*($O139*$T139+$P139*$U139+$Q139*$V139+$R139*$W139))</f>
        <v/>
      </c>
      <c r="Y139" s="53" t="n"/>
      <c r="Z139" s="53" t="n"/>
      <c r="AA139" s="55" t="n"/>
      <c r="AB139" s="55" t="n"/>
      <c r="AC139" s="49" t="n"/>
      <c r="AD139" s="49" t="n"/>
      <c r="AE139" s="49" t="n"/>
      <c r="AF139" s="49" t="n"/>
      <c r="AG139" s="49" t="n"/>
      <c r="AH139" s="49" t="n"/>
      <c r="AI139" s="49" t="n"/>
      <c r="AJ139" s="49" t="n"/>
      <c r="AK139" s="49" t="n"/>
      <c r="AL139" s="49" t="n"/>
      <c r="AM139" s="49" t="n"/>
      <c r="AN139" s="49" t="n"/>
      <c r="AO139" s="49" t="n"/>
      <c r="AP139" s="49" t="n"/>
      <c r="AQ139" s="49" t="n"/>
      <c r="AR139" s="49" t="n"/>
      <c r="AS139" s="49" t="n"/>
      <c r="AT139" s="49" t="n"/>
      <c r="AU139" s="49" t="n"/>
      <c r="AV139" s="49" t="n"/>
      <c r="AW139" s="49" t="n"/>
      <c r="AX139" s="49" t="n"/>
      <c r="AY139" s="49" t="n"/>
    </row>
    <row r="140" ht="15" customHeight="1" s="27">
      <c r="A140" s="49" t="n"/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51">
        <f>CONFIG_REFERENCIA!$E$3</f>
        <v/>
      </c>
      <c r="P140" s="51">
        <f>CONFIG_REFERENCIA!$E$4</f>
        <v/>
      </c>
      <c r="Q140" s="51">
        <f>CONFIG_REFERENCIA!$E$5</f>
        <v/>
      </c>
      <c r="R140" s="51">
        <f>CONFIG_REFERENCIA!$E$6</f>
        <v/>
      </c>
      <c r="S140" s="52">
        <f>IF($F140="","",INDEX(CONFIG_REFERENCIA!$B$3:$B$6,MATCH($F140,CONFIG_REFERENCIA!$A$3:$A$6,0)))</f>
        <v/>
      </c>
      <c r="T140" s="53" t="n"/>
      <c r="U140" s="53" t="n"/>
      <c r="V140" s="53" t="n"/>
      <c r="W140" s="53" t="n"/>
      <c r="X140" s="54">
        <f>IF(COUNTA($T140:$W140)&lt;4,"",$S140*($O140*$T140+$P140*$U140+$Q140*$V140+$R140*$W140))</f>
        <v/>
      </c>
      <c r="Y140" s="53" t="n"/>
      <c r="Z140" s="53" t="n"/>
      <c r="AA140" s="55" t="n"/>
      <c r="AB140" s="55" t="n"/>
      <c r="AC140" s="49" t="n"/>
      <c r="AD140" s="49" t="n"/>
      <c r="AE140" s="49" t="n"/>
      <c r="AF140" s="49" t="n"/>
      <c r="AG140" s="49" t="n"/>
      <c r="AH140" s="49" t="n"/>
      <c r="AI140" s="49" t="n"/>
      <c r="AJ140" s="49" t="n"/>
      <c r="AK140" s="49" t="n"/>
      <c r="AL140" s="49" t="n"/>
      <c r="AM140" s="49" t="n"/>
      <c r="AN140" s="49" t="n"/>
      <c r="AO140" s="49" t="n"/>
      <c r="AP140" s="49" t="n"/>
      <c r="AQ140" s="49" t="n"/>
      <c r="AR140" s="49" t="n"/>
      <c r="AS140" s="49" t="n"/>
      <c r="AT140" s="49" t="n"/>
      <c r="AU140" s="49" t="n"/>
      <c r="AV140" s="49" t="n"/>
      <c r="AW140" s="49" t="n"/>
      <c r="AX140" s="49" t="n"/>
      <c r="AY140" s="49" t="n"/>
    </row>
    <row r="141" ht="15" customHeight="1" s="27">
      <c r="A141" s="49" t="n"/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51">
        <f>CONFIG_REFERENCIA!$E$3</f>
        <v/>
      </c>
      <c r="P141" s="51">
        <f>CONFIG_REFERENCIA!$E$4</f>
        <v/>
      </c>
      <c r="Q141" s="51">
        <f>CONFIG_REFERENCIA!$E$5</f>
        <v/>
      </c>
      <c r="R141" s="51">
        <f>CONFIG_REFERENCIA!$E$6</f>
        <v/>
      </c>
      <c r="S141" s="52">
        <f>IF($F141="","",INDEX(CONFIG_REFERENCIA!$B$3:$B$6,MATCH($F141,CONFIG_REFERENCIA!$A$3:$A$6,0)))</f>
        <v/>
      </c>
      <c r="T141" s="53" t="n"/>
      <c r="U141" s="53" t="n"/>
      <c r="V141" s="53" t="n"/>
      <c r="W141" s="53" t="n"/>
      <c r="X141" s="54">
        <f>IF(COUNTA($T141:$W141)&lt;4,"",$S141*($O141*$T141+$P141*$U141+$Q141*$V141+$R141*$W141))</f>
        <v/>
      </c>
      <c r="Y141" s="53" t="n"/>
      <c r="Z141" s="53" t="n"/>
      <c r="AA141" s="55" t="n"/>
      <c r="AB141" s="55" t="n"/>
      <c r="AC141" s="49" t="n"/>
      <c r="AD141" s="49" t="n"/>
      <c r="AE141" s="49" t="n"/>
      <c r="AF141" s="49" t="n"/>
      <c r="AG141" s="49" t="n"/>
      <c r="AH141" s="49" t="n"/>
      <c r="AI141" s="49" t="n"/>
      <c r="AJ141" s="49" t="n"/>
      <c r="AK141" s="49" t="n"/>
      <c r="AL141" s="49" t="n"/>
      <c r="AM141" s="49" t="n"/>
      <c r="AN141" s="49" t="n"/>
      <c r="AO141" s="49" t="n"/>
      <c r="AP141" s="49" t="n"/>
      <c r="AQ141" s="49" t="n"/>
      <c r="AR141" s="49" t="n"/>
      <c r="AS141" s="49" t="n"/>
      <c r="AT141" s="49" t="n"/>
      <c r="AU141" s="49" t="n"/>
      <c r="AV141" s="49" t="n"/>
      <c r="AW141" s="49" t="n"/>
      <c r="AX141" s="49" t="n"/>
      <c r="AY141" s="49" t="n"/>
    </row>
    <row r="142" ht="15" customHeight="1" s="27">
      <c r="A142" s="49" t="inlineStr">
        <is>
          <t>2026-03-21 08:39:22</t>
        </is>
      </c>
      <c r="B142" s="49" t="inlineStr">
        <is>
          <t>E1_v2</t>
        </is>
      </c>
      <c r="C142" s="50" t="inlineStr">
        <is>
          <t>E1</t>
        </is>
      </c>
      <c r="D142" s="50" t="inlineStr">
        <is>
          <t>lineal_regularizado</t>
        </is>
      </c>
      <c r="E142" s="50" t="inlineStr">
        <is>
          <t>RidgeCV</t>
        </is>
      </c>
      <c r="F142" s="50" t="n">
        <v>1</v>
      </c>
      <c r="G142" s="49" t="inlineStr">
        <is>
          <t>nivel</t>
        </is>
      </c>
      <c r="H142" s="50" t="inlineStr">
        <is>
          <t>y_t + lags [1, 2, 3, 4]</t>
        </is>
      </c>
      <c r="I142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42" s="50" t="inlineStr">
        <is>
          <t>standard_scaler</t>
        </is>
      </c>
      <c r="K142" s="50" t="inlineStr">
        <is>
          <t>all</t>
        </is>
      </c>
      <c r="L142" s="50" t="inlineStr">
        <is>
          <t>walk-forward_expanding</t>
        </is>
      </c>
      <c r="M142" s="49" t="inlineStr">
        <is>
          <t>2024-10-14 a 2026-03-02</t>
        </is>
      </c>
      <c r="N142" s="49" t="inlineStr">
        <is>
          <t>{"feature_candidates": 59, "feature_mode": "all", "horizon": 1, "initial_train_size": 40, "lags": [1, 2, 3, 4], "model": "RidgeCV", "model_params": {"alphas": [0.0001, 0.00015848931924611142, 0.00025118864315095795, 0.00039810717055349735, 0.000630957344480193, 0.001, 0.001584893192461114, 0.002511886431509582, 0.003981071705534973, 0.006309573444801929, 0.01, 0.01584893192461114, 0.025118864315095822, 0.039810717055349734, 0.06309573444801936, 0.1, 0.1584893192461114, 0.25118864315095824, 0.3981071705534973, 0.6309573444801936, 1.0, 1.584893192461114, 2.5118864315095824, 3.9810717055349776, 6.309573444801943, 10.0, 15.848931924611142, 25.11886431509582, 39.81071705534978, 63.09573444801943, 100.0, 158.48931924611142, 251.18864315095823, 398.1071705534977, 630.9573444801943, 1000.0, 1584.893192461114, 2511.886431509582, 3981.0717055349774, 6309.573444801943, 10000.0], "transform_mode": "standard", "winsor_lower_quantile": 0.05, "winsor_upper_quantile": 0.95}, "rows_eval": 28, "rows_modeling": 68, "selected_feature_count_avg": 59.0, "target_mode": "nivel", "transform_mode": "standard"}</t>
        </is>
      </c>
      <c r="O142" s="51" t="n">
        <v>0.35</v>
      </c>
      <c r="P142" s="51" t="n">
        <v>0.25</v>
      </c>
      <c r="Q142" s="51" t="n">
        <v>0.25</v>
      </c>
      <c r="R142" s="51" t="n">
        <v>0.1</v>
      </c>
      <c r="S142" s="52" t="n">
        <v>0.3</v>
      </c>
      <c r="T142" s="53" t="n">
        <v>0.1763774184078989</v>
      </c>
      <c r="U142" s="53" t="n">
        <v>0.1785714285714286</v>
      </c>
      <c r="V142" s="53" t="n">
        <v>0.2307692307692307</v>
      </c>
      <c r="W142" s="53" t="n">
        <v>0.7857142857142857</v>
      </c>
      <c r="X142" s="54" t="n">
        <v>0.07279160695480741</v>
      </c>
      <c r="Y142" s="53" t="n">
        <v>0.1085222154195119</v>
      </c>
      <c r="Z142" s="53" t="n">
        <v>0.1364781165293461</v>
      </c>
      <c r="AA142" s="55" t="n">
        <v>0.8214285714285714</v>
      </c>
      <c r="AB142" s="55" t="n">
        <v>0.7692307692307693</v>
      </c>
      <c r="AC142" s="49" t="inlineStr">
        <is>
          <t>corrido</t>
        </is>
      </c>
      <c r="AD142" s="49" t="inlineStr">
        <is>
          <t>Familia lineal regularizada con RidgeCV | transform_mode=standard.</t>
        </is>
      </c>
      <c r="AE142" s="49" t="inlineStr">
        <is>
          <t>run_e1_ridge.py</t>
        </is>
      </c>
      <c r="AF142" s="49" t="inlineStr">
        <is>
          <t>Scripts/Modeling/run_e1_ridge.py</t>
        </is>
      </c>
      <c r="AG142" s="49" t="inlineStr">
        <is>
          <t>Experimentos/runs/E1_v2_20260321_083922</t>
        </is>
      </c>
      <c r="AH142" s="49" t="inlineStr">
        <is>
          <t>Experimentos/runs/E1_v2_20260321_083922/scripts/run_e1_ridge.py</t>
        </is>
      </c>
      <c r="AI142" s="49" t="inlineStr">
        <is>
          <t>Experimentos/runs/E1_v2_20260321_083922/parametros_run.json</t>
        </is>
      </c>
      <c r="AJ142" s="49" t="inlineStr">
        <is>
          <t>Experimentos/runs/E1_v2_20260321_083922/metricas_horizonte.json</t>
        </is>
      </c>
      <c r="AK142" s="49" t="inlineStr">
        <is>
          <t>2026-03-21 08:39:22</t>
        </is>
      </c>
      <c r="AL142" s="49" t="n"/>
      <c r="AM142" s="49" t="n"/>
      <c r="AN142" s="49" t="n"/>
      <c r="AO142" s="49" t="n"/>
      <c r="AP142" s="49" t="n"/>
      <c r="AQ142" s="49" t="n"/>
      <c r="AR142" s="49" t="n"/>
      <c r="AS142" s="49" t="n"/>
      <c r="AT142" s="49" t="n"/>
      <c r="AU142" s="49" t="n"/>
      <c r="AV142" s="49" t="n"/>
      <c r="AW142" s="49" t="n"/>
      <c r="AX142" s="49" t="n"/>
      <c r="AY142" s="49" t="n"/>
    </row>
    <row r="143" ht="15" customHeight="1" s="27">
      <c r="A143" s="49" t="inlineStr">
        <is>
          <t>2026-03-21 08:39:22</t>
        </is>
      </c>
      <c r="B143" s="49" t="inlineStr">
        <is>
          <t>E1_v2</t>
        </is>
      </c>
      <c r="C143" s="50" t="inlineStr">
        <is>
          <t>E1</t>
        </is>
      </c>
      <c r="D143" s="50" t="inlineStr">
        <is>
          <t>lineal_regularizado</t>
        </is>
      </c>
      <c r="E143" s="50" t="inlineStr">
        <is>
          <t>RidgeCV</t>
        </is>
      </c>
      <c r="F143" s="50" t="n">
        <v>2</v>
      </c>
      <c r="G143" s="49" t="inlineStr">
        <is>
          <t>nivel</t>
        </is>
      </c>
      <c r="H143" s="50" t="inlineStr">
        <is>
          <t>y_t + lags [1, 2, 3, 4]</t>
        </is>
      </c>
      <c r="I143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43" s="50" t="inlineStr">
        <is>
          <t>standard_scaler</t>
        </is>
      </c>
      <c r="K143" s="50" t="inlineStr">
        <is>
          <t>all</t>
        </is>
      </c>
      <c r="L143" s="50" t="inlineStr">
        <is>
          <t>walk-forward_expanding</t>
        </is>
      </c>
      <c r="M143" s="49" t="inlineStr">
        <is>
          <t>2024-10-14 a 2026-03-02</t>
        </is>
      </c>
      <c r="N143" s="49" t="inlineStr">
        <is>
          <t>{"feature_candidates": 59, "feature_mode": "all", "horizon": 2, "initial_train_size": 40, "lags": [1, 2, 3, 4], "model": "RidgeCV", "model_params": {"alphas": [0.0001, 0.00015848931924611142, 0.00025118864315095795, 0.00039810717055349735, 0.000630957344480193, 0.001, 0.001584893192461114, 0.002511886431509582, 0.003981071705534973, 0.006309573444801929, 0.01, 0.01584893192461114, 0.025118864315095822, 0.039810717055349734, 0.06309573444801936, 0.1, 0.1584893192461114, 0.25118864315095824, 0.3981071705534973, 0.6309573444801936, 1.0, 1.584893192461114, 2.5118864315095824, 3.9810717055349776, 6.309573444801943, 10.0, 15.848931924611142, 25.11886431509582, 39.81071705534978, 63.09573444801943, 100.0, 158.48931924611142, 251.18864315095823, 398.1071705534977, 630.9573444801943, 1000.0, 1584.893192461114, 2511.886431509582, 3981.0717055349774, 6309.573444801943, 10000.0], "transform_mode": "standard", "winsor_lower_quantile": 0.05, "winsor_upper_quantile": 0.95}, "rows_eval": 27, "rows_modeling": 67, "selected_feature_count_avg": 59.0, "target_mode": "nivel", "transform_mode": "standard"}</t>
        </is>
      </c>
      <c r="O143" s="51" t="n">
        <v>0.35</v>
      </c>
      <c r="P143" s="51" t="n">
        <v>0.25</v>
      </c>
      <c r="Q143" s="51" t="n">
        <v>0.25</v>
      </c>
      <c r="R143" s="51" t="n">
        <v>0.1</v>
      </c>
      <c r="S143" s="52" t="n">
        <v>0.25</v>
      </c>
      <c r="T143" s="53" t="n">
        <v>0.1677301984085808</v>
      </c>
      <c r="U143" s="53" t="n">
        <v>0.4074074074074074</v>
      </c>
      <c r="V143" s="53" t="n">
        <v>0.4166666666666666</v>
      </c>
      <c r="W143" s="53" t="n">
        <v>0.7777777777777778</v>
      </c>
      <c r="X143" s="54" t="n">
        <v>0.0856254664348249</v>
      </c>
      <c r="Y143" s="53" t="n">
        <v>0.1032017187254528</v>
      </c>
      <c r="Z143" s="53" t="n">
        <v>0.1316608391736882</v>
      </c>
      <c r="AA143" s="55" t="n">
        <v>0.5925925925925926</v>
      </c>
      <c r="AB143" s="55" t="n">
        <v>0.5833333333333334</v>
      </c>
      <c r="AC143" s="49" t="inlineStr">
        <is>
          <t>corrido</t>
        </is>
      </c>
      <c r="AD143" s="49" t="inlineStr">
        <is>
          <t>Familia lineal regularizada con RidgeCV | transform_mode=standard.</t>
        </is>
      </c>
      <c r="AE143" s="49" t="inlineStr">
        <is>
          <t>run_e1_ridge.py</t>
        </is>
      </c>
      <c r="AF143" s="49" t="inlineStr">
        <is>
          <t>Scripts/Modeling/run_e1_ridge.py</t>
        </is>
      </c>
      <c r="AG143" s="49" t="inlineStr">
        <is>
          <t>Experimentos/runs/E1_v2_20260321_083922</t>
        </is>
      </c>
      <c r="AH143" s="49" t="inlineStr">
        <is>
          <t>Experimentos/runs/E1_v2_20260321_083922/scripts/run_e1_ridge.py</t>
        </is>
      </c>
      <c r="AI143" s="49" t="inlineStr">
        <is>
          <t>Experimentos/runs/E1_v2_20260321_083922/parametros_run.json</t>
        </is>
      </c>
      <c r="AJ143" s="49" t="inlineStr">
        <is>
          <t>Experimentos/runs/E1_v2_20260321_083922/metricas_horizonte.json</t>
        </is>
      </c>
      <c r="AK143" s="49" t="inlineStr">
        <is>
          <t>2026-03-21 08:39:22</t>
        </is>
      </c>
      <c r="AL143" s="49" t="n"/>
      <c r="AM143" s="49" t="n"/>
      <c r="AN143" s="49" t="n"/>
      <c r="AO143" s="49" t="n"/>
      <c r="AP143" s="49" t="n"/>
      <c r="AQ143" s="49" t="n"/>
      <c r="AR143" s="49" t="n"/>
      <c r="AS143" s="49" t="n"/>
      <c r="AT143" s="49" t="n"/>
      <c r="AU143" s="49" t="n"/>
      <c r="AV143" s="49" t="n"/>
      <c r="AW143" s="49" t="n"/>
      <c r="AX143" s="49" t="n"/>
      <c r="AY143" s="49" t="n"/>
    </row>
    <row r="144" ht="15" customHeight="1" s="27">
      <c r="A144" s="49" t="inlineStr">
        <is>
          <t>2026-03-21 08:39:22</t>
        </is>
      </c>
      <c r="B144" s="49" t="inlineStr">
        <is>
          <t>E1_v2</t>
        </is>
      </c>
      <c r="C144" s="50" t="inlineStr">
        <is>
          <t>E1</t>
        </is>
      </c>
      <c r="D144" s="50" t="inlineStr">
        <is>
          <t>lineal_regularizado</t>
        </is>
      </c>
      <c r="E144" s="50" t="inlineStr">
        <is>
          <t>RidgeCV</t>
        </is>
      </c>
      <c r="F144" s="50" t="n">
        <v>3</v>
      </c>
      <c r="G144" s="49" t="inlineStr">
        <is>
          <t>nivel</t>
        </is>
      </c>
      <c r="H144" s="50" t="inlineStr">
        <is>
          <t>y_t + lags [1, 2, 3, 4]</t>
        </is>
      </c>
      <c r="I144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44" s="50" t="inlineStr">
        <is>
          <t>standard_scaler</t>
        </is>
      </c>
      <c r="K144" s="50" t="inlineStr">
        <is>
          <t>all</t>
        </is>
      </c>
      <c r="L144" s="50" t="inlineStr">
        <is>
          <t>walk-forward_expanding</t>
        </is>
      </c>
      <c r="M144" s="49" t="inlineStr">
        <is>
          <t>2024-10-14 a 2026-03-02</t>
        </is>
      </c>
      <c r="N144" s="49" t="inlineStr">
        <is>
          <t>{"feature_candidates": 59, "feature_mode": "all", "horizon": 3, "initial_train_size": 40, "lags": [1, 2, 3, 4], "model": "RidgeCV", "model_params": {"alphas": [0.0001, 0.00015848931924611142, 0.00025118864315095795, 0.00039810717055349735, 0.000630957344480193, 0.001, 0.001584893192461114, 0.002511886431509582, 0.003981071705534973, 0.006309573444801929, 0.01, 0.01584893192461114, 0.025118864315095822, 0.039810717055349734, 0.06309573444801936, 0.1, 0.1584893192461114, 0.25118864315095824, 0.3981071705534973, 0.6309573444801936, 1.0, 1.584893192461114, 2.5118864315095824, 3.9810717055349776, 6.309573444801943, 10.0, 15.848931924611142, 25.11886431509582, 39.81071705534978, 63.09573444801943, 100.0, 158.48931924611142, 251.18864315095823, 398.1071705534977, 630.9573444801943, 1000.0, 1584.893192461114, 2511.886431509582, 3981.0717055349774, 6309.573444801943, 10000.0], "transform_mode": "standard", "winsor_lower_quantile": 0.05, "winsor_upper_quantile": 0.95}, "rows_eval": 26, "rows_modeling": 66, "selected_feature_count_avg": 59.0, "target_mode": "nivel", "transform_mode": "standard"}</t>
        </is>
      </c>
      <c r="O144" s="51" t="n">
        <v>0.35</v>
      </c>
      <c r="P144" s="51" t="n">
        <v>0.25</v>
      </c>
      <c r="Q144" s="51" t="n">
        <v>0.25</v>
      </c>
      <c r="R144" s="51" t="n">
        <v>0.1</v>
      </c>
      <c r="S144" s="52" t="n">
        <v>0.3</v>
      </c>
      <c r="T144" s="53" t="n">
        <v>0.1716764812922544</v>
      </c>
      <c r="U144" s="53" t="n">
        <v>0.1538461538461539</v>
      </c>
      <c r="V144" s="53" t="n">
        <v>0.1666666666666666</v>
      </c>
      <c r="W144" s="53" t="n">
        <v>0.7692307692307693</v>
      </c>
      <c r="X144" s="54" t="n">
        <v>0.06514141515107132</v>
      </c>
      <c r="Y144" s="53" t="n">
        <v>0.1056298037097672</v>
      </c>
      <c r="Z144" s="53" t="n">
        <v>0.1371961916014883</v>
      </c>
      <c r="AA144" s="55" t="n">
        <v>0.8461538461538461</v>
      </c>
      <c r="AB144" s="55" t="n">
        <v>0.8333333333333334</v>
      </c>
      <c r="AC144" s="49" t="inlineStr">
        <is>
          <t>corrido</t>
        </is>
      </c>
      <c r="AD144" s="49" t="inlineStr">
        <is>
          <t>Familia lineal regularizada con RidgeCV | transform_mode=standard.</t>
        </is>
      </c>
      <c r="AE144" s="49" t="inlineStr">
        <is>
          <t>run_e1_ridge.py</t>
        </is>
      </c>
      <c r="AF144" s="49" t="inlineStr">
        <is>
          <t>Scripts/Modeling/run_e1_ridge.py</t>
        </is>
      </c>
      <c r="AG144" s="49" t="inlineStr">
        <is>
          <t>Experimentos/runs/E1_v2_20260321_083922</t>
        </is>
      </c>
      <c r="AH144" s="49" t="inlineStr">
        <is>
          <t>Experimentos/runs/E1_v2_20260321_083922/scripts/run_e1_ridge.py</t>
        </is>
      </c>
      <c r="AI144" s="49" t="inlineStr">
        <is>
          <t>Experimentos/runs/E1_v2_20260321_083922/parametros_run.json</t>
        </is>
      </c>
      <c r="AJ144" s="49" t="inlineStr">
        <is>
          <t>Experimentos/runs/E1_v2_20260321_083922/metricas_horizonte.json</t>
        </is>
      </c>
      <c r="AK144" s="49" t="inlineStr">
        <is>
          <t>2026-03-21 08:39:22</t>
        </is>
      </c>
      <c r="AL144" s="49" t="n"/>
      <c r="AM144" s="49" t="n"/>
      <c r="AN144" s="49" t="n"/>
      <c r="AO144" s="49" t="n"/>
      <c r="AP144" s="49" t="n"/>
      <c r="AQ144" s="49" t="n"/>
      <c r="AR144" s="49" t="n"/>
      <c r="AS144" s="49" t="n"/>
      <c r="AT144" s="49" t="n"/>
      <c r="AU144" s="49" t="n"/>
      <c r="AV144" s="49" t="n"/>
      <c r="AW144" s="49" t="n"/>
      <c r="AX144" s="49" t="n"/>
      <c r="AY144" s="49" t="n"/>
    </row>
    <row r="145" ht="15" customHeight="1" s="27">
      <c r="A145" s="49" t="inlineStr">
        <is>
          <t>2026-03-21 08:39:22</t>
        </is>
      </c>
      <c r="B145" s="49" t="inlineStr">
        <is>
          <t>E1_v2</t>
        </is>
      </c>
      <c r="C145" s="50" t="inlineStr">
        <is>
          <t>E1</t>
        </is>
      </c>
      <c r="D145" s="50" t="inlineStr">
        <is>
          <t>lineal_regularizado</t>
        </is>
      </c>
      <c r="E145" s="50" t="inlineStr">
        <is>
          <t>RidgeCV</t>
        </is>
      </c>
      <c r="F145" s="50" t="n">
        <v>4</v>
      </c>
      <c r="G145" s="49" t="inlineStr">
        <is>
          <t>nivel</t>
        </is>
      </c>
      <c r="H145" s="50" t="inlineStr">
        <is>
          <t>y_t + lags [1, 2, 3, 4]</t>
        </is>
      </c>
      <c r="I145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45" s="50" t="inlineStr">
        <is>
          <t>standard_scaler</t>
        </is>
      </c>
      <c r="K145" s="50" t="inlineStr">
        <is>
          <t>all</t>
        </is>
      </c>
      <c r="L145" s="50" t="inlineStr">
        <is>
          <t>walk-forward_expanding</t>
        </is>
      </c>
      <c r="M145" s="49" t="inlineStr">
        <is>
          <t>2024-10-14 a 2026-03-02</t>
        </is>
      </c>
      <c r="N145" s="49" t="inlineStr">
        <is>
          <t>{"feature_candidates": 59, "feature_mode": "all", "horizon": 4, "initial_train_size": 40, "lags": [1, 2, 3, 4], "model": "RidgeCV", "model_params": {"alphas": [0.0001, 0.00015848931924611142, 0.00025118864315095795, 0.00039810717055349735, 0.000630957344480193, 0.001, 0.001584893192461114, 0.002511886431509582, 0.003981071705534973, 0.006309573444801929, 0.01, 0.01584893192461114, 0.025118864315095822, 0.039810717055349734, 0.06309573444801936, 0.1, 0.1584893192461114, 0.25118864315095824, 0.3981071705534973, 0.6309573444801936, 1.0, 1.584893192461114, 2.5118864315095824, 3.9810717055349776, 6.309573444801943, 10.0, 15.848931924611142, 25.11886431509582, 39.81071705534978, 63.09573444801943, 100.0, 158.48931924611142, 251.18864315095823, 398.1071705534977, 630.9573444801943, 1000.0, 1584.893192461114, 2511.886431509582, 3981.0717055349774, 6309.573444801943, 10000.0], "transform_mode": "standard", "winsor_lower_quantile": 0.05, "winsor_upper_quantile": 0.95}, "rows_eval": 25, "rows_modeling": 65, "selected_feature_count_avg": 59.0, "target_mode": "nivel", "transform_mode": "standard"}</t>
        </is>
      </c>
      <c r="O145" s="51" t="n">
        <v>0.35</v>
      </c>
      <c r="P145" s="51" t="n">
        <v>0.25</v>
      </c>
      <c r="Q145" s="51" t="n">
        <v>0.25</v>
      </c>
      <c r="R145" s="51" t="n">
        <v>0.1</v>
      </c>
      <c r="S145" s="52" t="n">
        <v>0.15</v>
      </c>
      <c r="T145" s="53" t="n">
        <v>0.1657678226368655</v>
      </c>
      <c r="U145" s="53" t="n">
        <v>0.28</v>
      </c>
      <c r="V145" s="53" t="n">
        <v>0.2</v>
      </c>
      <c r="W145" s="53" t="n">
        <v>0.72</v>
      </c>
      <c r="X145" s="54" t="n">
        <v>0.03750281068843544</v>
      </c>
      <c r="Y145" s="53" t="n">
        <v>0.1019943001785977</v>
      </c>
      <c r="Z145" s="53" t="n">
        <v>0.1356427850388481</v>
      </c>
      <c r="AA145" s="55" t="n">
        <v>0.72</v>
      </c>
      <c r="AB145" s="55" t="n">
        <v>0.8</v>
      </c>
      <c r="AC145" s="49" t="inlineStr">
        <is>
          <t>corrido</t>
        </is>
      </c>
      <c r="AD145" s="49" t="inlineStr">
        <is>
          <t>Familia lineal regularizada con RidgeCV | transform_mode=standard.</t>
        </is>
      </c>
      <c r="AE145" s="49" t="inlineStr">
        <is>
          <t>run_e1_ridge.py</t>
        </is>
      </c>
      <c r="AF145" s="49" t="inlineStr">
        <is>
          <t>Scripts/Modeling/run_e1_ridge.py</t>
        </is>
      </c>
      <c r="AG145" s="49" t="inlineStr">
        <is>
          <t>Experimentos/runs/E1_v2_20260321_083922</t>
        </is>
      </c>
      <c r="AH145" s="49" t="inlineStr">
        <is>
          <t>Experimentos/runs/E1_v2_20260321_083922/scripts/run_e1_ridge.py</t>
        </is>
      </c>
      <c r="AI145" s="49" t="inlineStr">
        <is>
          <t>Experimentos/runs/E1_v2_20260321_083922/parametros_run.json</t>
        </is>
      </c>
      <c r="AJ145" s="49" t="inlineStr">
        <is>
          <t>Experimentos/runs/E1_v2_20260321_083922/metricas_horizonte.json</t>
        </is>
      </c>
      <c r="AK145" s="49" t="inlineStr">
        <is>
          <t>2026-03-21 08:39:22</t>
        </is>
      </c>
      <c r="AL145" s="49" t="n"/>
      <c r="AM145" s="49" t="n"/>
      <c r="AN145" s="49" t="n"/>
      <c r="AO145" s="49" t="n"/>
      <c r="AP145" s="49" t="n"/>
      <c r="AQ145" s="49" t="n"/>
      <c r="AR145" s="49" t="n"/>
      <c r="AS145" s="49" t="n"/>
      <c r="AT145" s="49" t="n"/>
      <c r="AU145" s="49" t="n"/>
      <c r="AV145" s="49" t="n"/>
      <c r="AW145" s="49" t="n"/>
      <c r="AX145" s="49" t="n"/>
      <c r="AY145" s="49" t="n"/>
    </row>
    <row r="146" ht="15" customHeight="1" s="27">
      <c r="A146" s="49" t="inlineStr">
        <is>
          <t>2026-03-21 09:42:41</t>
        </is>
      </c>
      <c r="B146" s="49" t="inlineStr">
        <is>
          <t>E1_v2_clean</t>
        </is>
      </c>
      <c r="C146" s="50" t="inlineStr">
        <is>
          <t>E1</t>
        </is>
      </c>
      <c r="D146" s="50" t="inlineStr">
        <is>
          <t>lineal_regularizado</t>
        </is>
      </c>
      <c r="E146" s="50" t="inlineStr">
        <is>
          <t>ridge_tscv</t>
        </is>
      </c>
      <c r="F146" s="50" t="n">
        <v>1</v>
      </c>
      <c r="G146" s="49" t="inlineStr">
        <is>
          <t>nivel</t>
        </is>
      </c>
      <c r="H146" s="50" t="inlineStr">
        <is>
          <t>y_t + lags [1, 2, 3, 4]</t>
        </is>
      </c>
      <c r="I146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46" s="50" t="inlineStr">
        <is>
          <t>standard_scaler</t>
        </is>
      </c>
      <c r="K146" s="50" t="inlineStr">
        <is>
          <t>all</t>
        </is>
      </c>
      <c r="L146" s="50" t="inlineStr">
        <is>
          <t>walk-forward_expanding</t>
        </is>
      </c>
      <c r="M146" s="49" t="inlineStr">
        <is>
          <t>2024-10-14 a 2026-03-02</t>
        </is>
      </c>
      <c r="N146" s="49" t="inlineStr">
        <is>
          <t>{"feature_candidates": 59, "feature_mode": "all", "horizon": 1, "initial_train_size": 40, "lags": [1, 2, 3, 4], "model": "ridge_tscv",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"inner_splits": 3, "transform_mode": "standard", "winsor_lower_quantile": 0.05, "winsor_upper_quantile": 0.95}, "rows_eval": 28, "rows_modeling": 68, "selected_feature_count_avg": 59.0, "target_mode": "nivel", "transform_mode": "standard"}</t>
        </is>
      </c>
      <c r="O146" s="51" t="n">
        <v>0.35</v>
      </c>
      <c r="P146" s="51" t="n">
        <v>0.25</v>
      </c>
      <c r="Q146" s="51" t="n">
        <v>0.25</v>
      </c>
      <c r="R146" s="51" t="n">
        <v>0.1</v>
      </c>
      <c r="S146" s="52" t="n">
        <v>0.3</v>
      </c>
      <c r="T146" s="53" t="n">
        <v>0.1768609806022627</v>
      </c>
      <c r="U146" s="53" t="n">
        <v>0.1785714285714286</v>
      </c>
      <c r="V146" s="53" t="n">
        <v>0.2307692307692307</v>
      </c>
      <c r="W146" s="53" t="n">
        <v>0.8571428571428571</v>
      </c>
      <c r="X146" s="54" t="n">
        <v>0.07498523812807274</v>
      </c>
      <c r="Y146" s="53" t="n">
        <v>0.1088197435333667</v>
      </c>
      <c r="Z146" s="53" t="n">
        <v>0.1340214097591685</v>
      </c>
      <c r="AA146" s="55" t="n">
        <v>0.8214285714285714</v>
      </c>
      <c r="AB146" s="55" t="n">
        <v>0.7692307692307693</v>
      </c>
      <c r="AC146" s="49" t="inlineStr">
        <is>
          <t>corrido</t>
        </is>
      </c>
      <c r="AD146" s="49" t="inlineStr">
        <is>
          <t>Ridge limpio con tuning temporal interno | metric=mae | inner_splits=3</t>
        </is>
      </c>
      <c r="AE146" s="49" t="inlineStr">
        <is>
          <t>run_e1_ridge_clean.py</t>
        </is>
      </c>
      <c r="AF146" s="49" t="inlineStr">
        <is>
          <t>Scripts/Modeling/run_e1_ridge_clean.py</t>
        </is>
      </c>
      <c r="AG146" s="49" t="inlineStr">
        <is>
          <t>Experimentos/runs/E1_v2_clean_20260321_094241</t>
        </is>
      </c>
      <c r="AH146" s="49" t="inlineStr">
        <is>
          <t>Experimentos/runs/E1_v2_clean_20260321_094241/scripts/run_e1_ridge_clean.py</t>
        </is>
      </c>
      <c r="AI146" s="49" t="inlineStr">
        <is>
          <t>Experimentos/runs/E1_v2_clean_20260321_094241/parametros_run.json</t>
        </is>
      </c>
      <c r="AJ146" s="49" t="inlineStr">
        <is>
          <t>Experimentos/runs/E1_v2_clean_20260321_094241/metricas_horizonte.json</t>
        </is>
      </c>
      <c r="AK146" s="49" t="inlineStr">
        <is>
          <t>2026-03-21 09:42:41</t>
        </is>
      </c>
      <c r="AL146" s="49" t="n"/>
      <c r="AM146" s="49" t="n"/>
      <c r="AN146" s="49" t="n"/>
      <c r="AO146" s="49" t="n"/>
      <c r="AP146" s="49" t="n"/>
      <c r="AQ146" s="49" t="n"/>
      <c r="AR146" s="49" t="n"/>
      <c r="AS146" s="49" t="n"/>
      <c r="AT146" s="49" t="n"/>
      <c r="AU146" s="49" t="n"/>
      <c r="AV146" s="49" t="n"/>
      <c r="AW146" s="49" t="n"/>
      <c r="AX146" s="49" t="n"/>
      <c r="AY146" s="49" t="n"/>
    </row>
    <row r="147" ht="15" customHeight="1" s="27">
      <c r="A147" s="49" t="inlineStr">
        <is>
          <t>2026-03-21 09:42:41</t>
        </is>
      </c>
      <c r="B147" s="49" t="inlineStr">
        <is>
          <t>E1_v2_clean</t>
        </is>
      </c>
      <c r="C147" s="50" t="inlineStr">
        <is>
          <t>E1</t>
        </is>
      </c>
      <c r="D147" s="50" t="inlineStr">
        <is>
          <t>lineal_regularizado</t>
        </is>
      </c>
      <c r="E147" s="50" t="inlineStr">
        <is>
          <t>ridge_tscv</t>
        </is>
      </c>
      <c r="F147" s="50" t="n">
        <v>2</v>
      </c>
      <c r="G147" s="49" t="inlineStr">
        <is>
          <t>nivel</t>
        </is>
      </c>
      <c r="H147" s="50" t="inlineStr">
        <is>
          <t>y_t + lags [1, 2, 3, 4]</t>
        </is>
      </c>
      <c r="I147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47" s="50" t="inlineStr">
        <is>
          <t>standard_scaler</t>
        </is>
      </c>
      <c r="K147" s="50" t="inlineStr">
        <is>
          <t>all</t>
        </is>
      </c>
      <c r="L147" s="50" t="inlineStr">
        <is>
          <t>walk-forward_expanding</t>
        </is>
      </c>
      <c r="M147" s="49" t="inlineStr">
        <is>
          <t>2024-10-14 a 2026-03-02</t>
        </is>
      </c>
      <c r="N147" s="49" t="inlineStr">
        <is>
          <t>{"feature_candidates": 59, "feature_mode": "all", "horizon": 2, "initial_train_size": 40, "lags": [1, 2, 3, 4], "model": "ridge_tscv",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"inner_splits": 3, "transform_mode": "standard", "winsor_lower_quantile": 0.05, "winsor_upper_quantile": 0.95}, "rows_eval": 27, "rows_modeling": 67, "selected_feature_count_avg": 59.0, "target_mode": "nivel", "transform_mode": "standard"}</t>
        </is>
      </c>
      <c r="O147" s="51" t="n">
        <v>0.35</v>
      </c>
      <c r="P147" s="51" t="n">
        <v>0.25</v>
      </c>
      <c r="Q147" s="51" t="n">
        <v>0.25</v>
      </c>
      <c r="R147" s="51" t="n">
        <v>0.1</v>
      </c>
      <c r="S147" s="52" t="n">
        <v>0.25</v>
      </c>
      <c r="T147" s="53" t="n">
        <v>0.1649915813142501</v>
      </c>
      <c r="U147" s="53" t="n">
        <v>0.4074074074074074</v>
      </c>
      <c r="V147" s="53" t="n">
        <v>0.4166666666666666</v>
      </c>
      <c r="W147" s="53" t="n">
        <v>0.7407407407407407</v>
      </c>
      <c r="X147" s="54" t="n">
        <v>0.08445991151314503</v>
      </c>
      <c r="Y147" s="53" t="n">
        <v>0.1015166912602293</v>
      </c>
      <c r="Z147" s="53" t="n">
        <v>0.1290204807156698</v>
      </c>
      <c r="AA147" s="55" t="n">
        <v>0.5925925925925926</v>
      </c>
      <c r="AB147" s="55" t="n">
        <v>0.5833333333333334</v>
      </c>
      <c r="AC147" s="49" t="inlineStr">
        <is>
          <t>corrido</t>
        </is>
      </c>
      <c r="AD147" s="49" t="inlineStr">
        <is>
          <t>Ridge limpio con tuning temporal interno | metric=mae | inner_splits=3</t>
        </is>
      </c>
      <c r="AE147" s="49" t="inlineStr">
        <is>
          <t>run_e1_ridge_clean.py</t>
        </is>
      </c>
      <c r="AF147" s="49" t="inlineStr">
        <is>
          <t>Scripts/Modeling/run_e1_ridge_clean.py</t>
        </is>
      </c>
      <c r="AG147" s="49" t="inlineStr">
        <is>
          <t>Experimentos/runs/E1_v2_clean_20260321_094241</t>
        </is>
      </c>
      <c r="AH147" s="49" t="inlineStr">
        <is>
          <t>Experimentos/runs/E1_v2_clean_20260321_094241/scripts/run_e1_ridge_clean.py</t>
        </is>
      </c>
      <c r="AI147" s="49" t="inlineStr">
        <is>
          <t>Experimentos/runs/E1_v2_clean_20260321_094241/parametros_run.json</t>
        </is>
      </c>
      <c r="AJ147" s="49" t="inlineStr">
        <is>
          <t>Experimentos/runs/E1_v2_clean_20260321_094241/metricas_horizonte.json</t>
        </is>
      </c>
      <c r="AK147" s="49" t="inlineStr">
        <is>
          <t>2026-03-21 09:42:41</t>
        </is>
      </c>
      <c r="AL147" s="49" t="n"/>
      <c r="AM147" s="49" t="n"/>
      <c r="AN147" s="49" t="n"/>
      <c r="AO147" s="49" t="n"/>
      <c r="AP147" s="49" t="n"/>
      <c r="AQ147" s="49" t="n"/>
      <c r="AR147" s="49" t="n"/>
      <c r="AS147" s="49" t="n"/>
      <c r="AT147" s="49" t="n"/>
      <c r="AU147" s="49" t="n"/>
      <c r="AV147" s="49" t="n"/>
      <c r="AW147" s="49" t="n"/>
      <c r="AX147" s="49" t="n"/>
      <c r="AY147" s="49" t="n"/>
    </row>
    <row r="148" ht="15" customHeight="1" s="27">
      <c r="A148" s="49" t="inlineStr">
        <is>
          <t>2026-03-21 09:42:41</t>
        </is>
      </c>
      <c r="B148" s="49" t="inlineStr">
        <is>
          <t>E1_v2_clean</t>
        </is>
      </c>
      <c r="C148" s="50" t="inlineStr">
        <is>
          <t>E1</t>
        </is>
      </c>
      <c r="D148" s="50" t="inlineStr">
        <is>
          <t>lineal_regularizado</t>
        </is>
      </c>
      <c r="E148" s="50" t="inlineStr">
        <is>
          <t>ridge_tscv</t>
        </is>
      </c>
      <c r="F148" s="50" t="n">
        <v>3</v>
      </c>
      <c r="G148" s="49" t="inlineStr">
        <is>
          <t>nivel</t>
        </is>
      </c>
      <c r="H148" s="50" t="inlineStr">
        <is>
          <t>y_t + lags [1, 2, 3, 4]</t>
        </is>
      </c>
      <c r="I148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48" s="50" t="inlineStr">
        <is>
          <t>standard_scaler</t>
        </is>
      </c>
      <c r="K148" s="50" t="inlineStr">
        <is>
          <t>all</t>
        </is>
      </c>
      <c r="L148" s="50" t="inlineStr">
        <is>
          <t>walk-forward_expanding</t>
        </is>
      </c>
      <c r="M148" s="49" t="inlineStr">
        <is>
          <t>2024-10-14 a 2026-03-02</t>
        </is>
      </c>
      <c r="N148" s="49" t="inlineStr">
        <is>
          <t>{"feature_candidates": 59, "feature_mode": "all", "horizon": 3, "initial_train_size": 40, "lags": [1, 2, 3, 4], "model": "ridge_tscv",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"inner_splits": 3, "transform_mode": "standard", "winsor_lower_quantile": 0.05, "winsor_upper_quantile": 0.95}, "rows_eval": 26, "rows_modeling": 66, "selected_feature_count_avg": 59.0, "target_mode": "nivel", "transform_mode": "standard"}</t>
        </is>
      </c>
      <c r="O148" s="51" t="n">
        <v>0.35</v>
      </c>
      <c r="P148" s="51" t="n">
        <v>0.25</v>
      </c>
      <c r="Q148" s="51" t="n">
        <v>0.25</v>
      </c>
      <c r="R148" s="51" t="n">
        <v>0.1</v>
      </c>
      <c r="S148" s="52" t="n">
        <v>0.3</v>
      </c>
      <c r="T148" s="53" t="n">
        <v>0.1636971765067125</v>
      </c>
      <c r="U148" s="53" t="n">
        <v>0.1538461538461539</v>
      </c>
      <c r="V148" s="53" t="n">
        <v>0.1666666666666666</v>
      </c>
      <c r="W148" s="53" t="n">
        <v>0.7692307692307693</v>
      </c>
      <c r="X148" s="54" t="n">
        <v>0.06430358814858943</v>
      </c>
      <c r="Y148" s="53" t="n">
        <v>0.1007202646052095</v>
      </c>
      <c r="Z148" s="53" t="n">
        <v>0.130351478515439</v>
      </c>
      <c r="AA148" s="55" t="n">
        <v>0.8461538461538461</v>
      </c>
      <c r="AB148" s="55" t="n">
        <v>0.8333333333333334</v>
      </c>
      <c r="AC148" s="49" t="inlineStr">
        <is>
          <t>corrido</t>
        </is>
      </c>
      <c r="AD148" s="49" t="inlineStr">
        <is>
          <t>Ridge limpio con tuning temporal interno | metric=mae | inner_splits=3</t>
        </is>
      </c>
      <c r="AE148" s="49" t="inlineStr">
        <is>
          <t>run_e1_ridge_clean.py</t>
        </is>
      </c>
      <c r="AF148" s="49" t="inlineStr">
        <is>
          <t>Scripts/Modeling/run_e1_ridge_clean.py</t>
        </is>
      </c>
      <c r="AG148" s="49" t="inlineStr">
        <is>
          <t>Experimentos/runs/E1_v2_clean_20260321_094241</t>
        </is>
      </c>
      <c r="AH148" s="49" t="inlineStr">
        <is>
          <t>Experimentos/runs/E1_v2_clean_20260321_094241/scripts/run_e1_ridge_clean.py</t>
        </is>
      </c>
      <c r="AI148" s="49" t="inlineStr">
        <is>
          <t>Experimentos/runs/E1_v2_clean_20260321_094241/parametros_run.json</t>
        </is>
      </c>
      <c r="AJ148" s="49" t="inlineStr">
        <is>
          <t>Experimentos/runs/E1_v2_clean_20260321_094241/metricas_horizonte.json</t>
        </is>
      </c>
      <c r="AK148" s="49" t="inlineStr">
        <is>
          <t>2026-03-21 09:42:41</t>
        </is>
      </c>
      <c r="AL148" s="49" t="n"/>
      <c r="AM148" s="49" t="n"/>
      <c r="AN148" s="49" t="n"/>
      <c r="AO148" s="49" t="n"/>
      <c r="AP148" s="49" t="n"/>
      <c r="AQ148" s="49" t="n"/>
      <c r="AR148" s="49" t="n"/>
      <c r="AS148" s="49" t="n"/>
      <c r="AT148" s="49" t="n"/>
      <c r="AU148" s="49" t="n"/>
      <c r="AV148" s="49" t="n"/>
      <c r="AW148" s="49" t="n"/>
      <c r="AX148" s="49" t="n"/>
      <c r="AY148" s="49" t="n"/>
    </row>
    <row r="149" ht="15" customHeight="1" s="27">
      <c r="A149" s="49" t="inlineStr">
        <is>
          <t>2026-03-21 09:42:41</t>
        </is>
      </c>
      <c r="B149" s="49" t="inlineStr">
        <is>
          <t>E1_v2_clean</t>
        </is>
      </c>
      <c r="C149" s="50" t="inlineStr">
        <is>
          <t>E1</t>
        </is>
      </c>
      <c r="D149" s="50" t="inlineStr">
        <is>
          <t>lineal_regularizado</t>
        </is>
      </c>
      <c r="E149" s="50" t="inlineStr">
        <is>
          <t>ridge_tscv</t>
        </is>
      </c>
      <c r="F149" s="50" t="n">
        <v>4</v>
      </c>
      <c r="G149" s="49" t="inlineStr">
        <is>
          <t>nivel</t>
        </is>
      </c>
      <c r="H149" s="50" t="inlineStr">
        <is>
          <t>y_t + lags [1, 2, 3, 4]</t>
        </is>
      </c>
      <c r="I149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49" s="50" t="inlineStr">
        <is>
          <t>standard_scaler</t>
        </is>
      </c>
      <c r="K149" s="50" t="inlineStr">
        <is>
          <t>all</t>
        </is>
      </c>
      <c r="L149" s="50" t="inlineStr">
        <is>
          <t>walk-forward_expanding</t>
        </is>
      </c>
      <c r="M149" s="49" t="inlineStr">
        <is>
          <t>2024-10-14 a 2026-03-02</t>
        </is>
      </c>
      <c r="N149" s="49" t="inlineStr">
        <is>
          <t>{"feature_candidates": 59, "feature_mode": "all", "horizon": 4, "initial_train_size": 40, "lags": [1, 2, 3, 4], "model": "ridge_tscv",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"inner_splits": 3, "transform_mode": "standard", "winsor_lower_quantile": 0.05, "winsor_upper_quantile": 0.95}, "rows_eval": 25, "rows_modeling": 65, "selected_feature_count_avg": 59.0, "target_mode": "nivel", "transform_mode": "standard"}</t>
        </is>
      </c>
      <c r="O149" s="51" t="n">
        <v>0.35</v>
      </c>
      <c r="P149" s="51" t="n">
        <v>0.25</v>
      </c>
      <c r="Q149" s="51" t="n">
        <v>0.25</v>
      </c>
      <c r="R149" s="51" t="n">
        <v>0.1</v>
      </c>
      <c r="S149" s="52" t="n">
        <v>0.15</v>
      </c>
      <c r="T149" s="53" t="n">
        <v>0.165522516212495</v>
      </c>
      <c r="U149" s="53" t="n">
        <v>0.28</v>
      </c>
      <c r="V149" s="53" t="n">
        <v>0.2</v>
      </c>
      <c r="W149" s="53" t="n">
        <v>0.72</v>
      </c>
      <c r="X149" s="54" t="n">
        <v>0.03748993210115598</v>
      </c>
      <c r="Y149" s="53" t="n">
        <v>0.1018433670440183</v>
      </c>
      <c r="Z149" s="53" t="n">
        <v>0.1355117907704749</v>
      </c>
      <c r="AA149" s="55" t="n">
        <v>0.72</v>
      </c>
      <c r="AB149" s="55" t="n">
        <v>0.8</v>
      </c>
      <c r="AC149" s="49" t="inlineStr">
        <is>
          <t>corrido</t>
        </is>
      </c>
      <c r="AD149" s="49" t="inlineStr">
        <is>
          <t>Ridge limpio con tuning temporal interno | metric=mae | inner_splits=3</t>
        </is>
      </c>
      <c r="AE149" s="49" t="inlineStr">
        <is>
          <t>run_e1_ridge_clean.py</t>
        </is>
      </c>
      <c r="AF149" s="49" t="inlineStr">
        <is>
          <t>Scripts/Modeling/run_e1_ridge_clean.py</t>
        </is>
      </c>
      <c r="AG149" s="49" t="inlineStr">
        <is>
          <t>Experimentos/runs/E1_v2_clean_20260321_094241</t>
        </is>
      </c>
      <c r="AH149" s="49" t="inlineStr">
        <is>
          <t>Experimentos/runs/E1_v2_clean_20260321_094241/scripts/run_e1_ridge_clean.py</t>
        </is>
      </c>
      <c r="AI149" s="49" t="inlineStr">
        <is>
          <t>Experimentos/runs/E1_v2_clean_20260321_094241/parametros_run.json</t>
        </is>
      </c>
      <c r="AJ149" s="49" t="inlineStr">
        <is>
          <t>Experimentos/runs/E1_v2_clean_20260321_094241/metricas_horizonte.json</t>
        </is>
      </c>
      <c r="AK149" s="49" t="inlineStr">
        <is>
          <t>2026-03-21 09:42:41</t>
        </is>
      </c>
      <c r="AL149" s="49" t="n"/>
      <c r="AM149" s="49" t="n"/>
      <c r="AN149" s="49" t="n"/>
      <c r="AO149" s="49" t="n"/>
      <c r="AP149" s="49" t="n"/>
      <c r="AQ149" s="49" t="n"/>
      <c r="AR149" s="49" t="n"/>
      <c r="AS149" s="49" t="n"/>
      <c r="AT149" s="49" t="n"/>
      <c r="AU149" s="49" t="n"/>
      <c r="AV149" s="49" t="n"/>
      <c r="AW149" s="49" t="n"/>
      <c r="AX149" s="49" t="n"/>
      <c r="AY149" s="49" t="n"/>
    </row>
    <row r="150" ht="15" customHeight="1" s="27">
      <c r="A150" s="49" t="inlineStr">
        <is>
          <t>2026-03-21 10:32:56</t>
        </is>
      </c>
      <c r="B150" s="49" t="inlineStr">
        <is>
          <t>E1_v3_clean</t>
        </is>
      </c>
      <c r="C150" s="50" t="inlineStr">
        <is>
          <t>E1</t>
        </is>
      </c>
      <c r="D150" s="50" t="inlineStr">
        <is>
          <t>lineal_regularizado</t>
        </is>
      </c>
      <c r="E150" s="50" t="inlineStr">
        <is>
          <t>ridge_tscv</t>
        </is>
      </c>
      <c r="F150" s="50" t="n">
        <v>1</v>
      </c>
      <c r="G150" s="49" t="inlineStr">
        <is>
          <t>delta</t>
        </is>
      </c>
      <c r="H150" s="50" t="inlineStr">
        <is>
          <t>y_t + lags [1, 2, 3, 4]</t>
        </is>
      </c>
      <c r="I150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50" s="50" t="inlineStr">
        <is>
          <t>standard_scaler</t>
        </is>
      </c>
      <c r="K150" s="50" t="inlineStr">
        <is>
          <t>all</t>
        </is>
      </c>
      <c r="L150" s="50" t="inlineStr">
        <is>
          <t>walk-forward_expanding</t>
        </is>
      </c>
      <c r="M150" s="49" t="inlineStr">
        <is>
          <t>2024-10-14 a 2026-03-02</t>
        </is>
      </c>
      <c r="N150" s="49" t="inlineStr">
        <is>
          <t>{"feature_candidates": 59, "feature_mode": "all", "horizon": 1, "initial_train_size": 40, "lags": [1, 2, 3, 4], "model": "ridge_tscv",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"inner_splits": 3, "transform_mode": "standard", "winsor_lower_quantile": 0.05, "winsor_upper_quantile": 0.95}, "rows_eval": 28, "rows_modeling": 68, "selected_feature_count_avg": 59.0, "target_mode": "delta", "transform_mode": "standard"}</t>
        </is>
      </c>
      <c r="O150" s="51" t="n">
        <v>0.35</v>
      </c>
      <c r="P150" s="51" t="n">
        <v>0.25</v>
      </c>
      <c r="Q150" s="51" t="n">
        <v>0.25</v>
      </c>
      <c r="R150" s="51" t="n">
        <v>0.1</v>
      </c>
      <c r="S150" s="52" t="n">
        <v>0.3</v>
      </c>
      <c r="T150" s="53" t="n">
        <v>0.2654768676293615</v>
      </c>
      <c r="U150" s="53" t="n">
        <v>0.7142857142857143</v>
      </c>
      <c r="V150" s="53" t="n">
        <v>0.4615384615384616</v>
      </c>
      <c r="W150" s="53" t="n">
        <v>0.7857142857142857</v>
      </c>
      <c r="X150" s="54" t="n">
        <v>0.1396333128593247</v>
      </c>
      <c r="Y150" s="53" t="n">
        <v>0.1633436869517112</v>
      </c>
      <c r="Z150" s="53" t="n">
        <v>0.2045576753399985</v>
      </c>
      <c r="AA150" s="55" t="n">
        <v>0.2857142857142857</v>
      </c>
      <c r="AB150" s="55" t="n">
        <v>0.5384615384615384</v>
      </c>
      <c r="AC150" s="49" t="inlineStr">
        <is>
          <t>corrido</t>
        </is>
      </c>
      <c r="AD150" s="49" t="inlineStr">
        <is>
          <t>Ridge limpio con tuning temporal interno | metric=mae | inner_splits=3</t>
        </is>
      </c>
      <c r="AE150" s="49" t="inlineStr">
        <is>
          <t>run_e1_ridge_clean.py</t>
        </is>
      </c>
      <c r="AF150" s="49" t="inlineStr">
        <is>
          <t>Scripts/Modeling/run_e1_ridge_clean.py</t>
        </is>
      </c>
      <c r="AG150" s="49" t="inlineStr">
        <is>
          <t>Experimentos/runs/E1_v3_clean_20260321_103256</t>
        </is>
      </c>
      <c r="AH150" s="49" t="inlineStr">
        <is>
          <t>Experimentos/runs/E1_v3_clean_20260321_103256/scripts/run_e1_ridge_clean.py</t>
        </is>
      </c>
      <c r="AI150" s="49" t="inlineStr">
        <is>
          <t>Experimentos/runs/E1_v3_clean_20260321_103256/parametros_run.json</t>
        </is>
      </c>
      <c r="AJ150" s="49" t="inlineStr">
        <is>
          <t>Experimentos/runs/E1_v3_clean_20260321_103256/metricas_horizonte.json</t>
        </is>
      </c>
      <c r="AK150" s="49" t="inlineStr">
        <is>
          <t>2026-03-21 10:32:56</t>
        </is>
      </c>
      <c r="AL150" s="49" t="n"/>
      <c r="AM150" s="49" t="n"/>
      <c r="AN150" s="49" t="n"/>
      <c r="AO150" s="49" t="n"/>
      <c r="AP150" s="49" t="n"/>
      <c r="AQ150" s="49" t="n"/>
      <c r="AR150" s="49" t="n"/>
      <c r="AS150" s="49" t="n"/>
      <c r="AT150" s="49" t="n"/>
      <c r="AU150" s="49" t="n"/>
      <c r="AV150" s="49" t="n"/>
      <c r="AW150" s="49" t="n"/>
      <c r="AX150" s="49" t="n"/>
      <c r="AY150" s="49" t="n"/>
    </row>
    <row r="151" ht="15" customHeight="1" s="27">
      <c r="A151" s="49" t="inlineStr">
        <is>
          <t>2026-03-21 10:32:56</t>
        </is>
      </c>
      <c r="B151" s="49" t="inlineStr">
        <is>
          <t>E1_v3_clean</t>
        </is>
      </c>
      <c r="C151" s="50" t="inlineStr">
        <is>
          <t>E1</t>
        </is>
      </c>
      <c r="D151" s="50" t="inlineStr">
        <is>
          <t>lineal_regularizado</t>
        </is>
      </c>
      <c r="E151" s="50" t="inlineStr">
        <is>
          <t>ridge_tscv</t>
        </is>
      </c>
      <c r="F151" s="50" t="n">
        <v>2</v>
      </c>
      <c r="G151" s="49" t="inlineStr">
        <is>
          <t>delta</t>
        </is>
      </c>
      <c r="H151" s="50" t="inlineStr">
        <is>
          <t>y_t + lags [1, 2, 3, 4]</t>
        </is>
      </c>
      <c r="I151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51" s="50" t="inlineStr">
        <is>
          <t>standard_scaler</t>
        </is>
      </c>
      <c r="K151" s="50" t="inlineStr">
        <is>
          <t>all</t>
        </is>
      </c>
      <c r="L151" s="50" t="inlineStr">
        <is>
          <t>walk-forward_expanding</t>
        </is>
      </c>
      <c r="M151" s="49" t="inlineStr">
        <is>
          <t>2024-10-14 a 2026-03-02</t>
        </is>
      </c>
      <c r="N151" s="49" t="inlineStr">
        <is>
          <t>{"feature_candidates": 59, "feature_mode": "all", "horizon": 2, "initial_train_size": 40, "lags": [1, 2, 3, 4], "model": "ridge_tscv",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"inner_splits": 3, "transform_mode": "standard", "winsor_lower_quantile": 0.05, "winsor_upper_quantile": 0.95}, "rows_eval": 27, "rows_modeling": 67, "selected_feature_count_avg": 59.0, "target_mode": "delta", "transform_mode": "standard"}</t>
        </is>
      </c>
      <c r="O151" s="51" t="n">
        <v>0.35</v>
      </c>
      <c r="P151" s="51" t="n">
        <v>0.25</v>
      </c>
      <c r="Q151" s="51" t="n">
        <v>0.25</v>
      </c>
      <c r="R151" s="51" t="n">
        <v>0.1</v>
      </c>
      <c r="S151" s="52" t="n">
        <v>0.25</v>
      </c>
      <c r="T151" s="53" t="n">
        <v>0.2278525502766393</v>
      </c>
      <c r="U151" s="53" t="n">
        <v>0.4814814814814815</v>
      </c>
      <c r="V151" s="53" t="n">
        <v>0.5</v>
      </c>
      <c r="W151" s="53" t="n">
        <v>0.6296296296296297</v>
      </c>
      <c r="X151" s="54" t="n">
        <v>0.09702043148253928</v>
      </c>
      <c r="Y151" s="53" t="n">
        <v>0.1401940439326627</v>
      </c>
      <c r="Z151" s="53" t="n">
        <v>0.1810362691606062</v>
      </c>
      <c r="AA151" s="55" t="n">
        <v>0.5185185185185185</v>
      </c>
      <c r="AB151" s="55" t="n">
        <v>0.5</v>
      </c>
      <c r="AC151" s="49" t="inlineStr">
        <is>
          <t>corrido</t>
        </is>
      </c>
      <c r="AD151" s="49" t="inlineStr">
        <is>
          <t>Ridge limpio con tuning temporal interno | metric=mae | inner_splits=3</t>
        </is>
      </c>
      <c r="AE151" s="49" t="inlineStr">
        <is>
          <t>run_e1_ridge_clean.py</t>
        </is>
      </c>
      <c r="AF151" s="49" t="inlineStr">
        <is>
          <t>Scripts/Modeling/run_e1_ridge_clean.py</t>
        </is>
      </c>
      <c r="AG151" s="49" t="inlineStr">
        <is>
          <t>Experimentos/runs/E1_v3_clean_20260321_103256</t>
        </is>
      </c>
      <c r="AH151" s="49" t="inlineStr">
        <is>
          <t>Experimentos/runs/E1_v3_clean_20260321_103256/scripts/run_e1_ridge_clean.py</t>
        </is>
      </c>
      <c r="AI151" s="49" t="inlineStr">
        <is>
          <t>Experimentos/runs/E1_v3_clean_20260321_103256/parametros_run.json</t>
        </is>
      </c>
      <c r="AJ151" s="49" t="inlineStr">
        <is>
          <t>Experimentos/runs/E1_v3_clean_20260321_103256/metricas_horizonte.json</t>
        </is>
      </c>
      <c r="AK151" s="49" t="inlineStr">
        <is>
          <t>2026-03-21 10:32:56</t>
        </is>
      </c>
      <c r="AL151" s="49" t="n"/>
      <c r="AM151" s="49" t="n"/>
      <c r="AN151" s="49" t="n"/>
      <c r="AO151" s="49" t="n"/>
      <c r="AP151" s="49" t="n"/>
      <c r="AQ151" s="49" t="n"/>
      <c r="AR151" s="49" t="n"/>
      <c r="AS151" s="49" t="n"/>
      <c r="AT151" s="49" t="n"/>
      <c r="AU151" s="49" t="n"/>
      <c r="AV151" s="49" t="n"/>
      <c r="AW151" s="49" t="n"/>
      <c r="AX151" s="49" t="n"/>
      <c r="AY151" s="49" t="n"/>
    </row>
    <row r="152" ht="15" customHeight="1" s="27">
      <c r="A152" s="49" t="inlineStr">
        <is>
          <t>2026-03-21 10:32:56</t>
        </is>
      </c>
      <c r="B152" s="49" t="inlineStr">
        <is>
          <t>E1_v3_clean</t>
        </is>
      </c>
      <c r="C152" s="50" t="inlineStr">
        <is>
          <t>E1</t>
        </is>
      </c>
      <c r="D152" s="50" t="inlineStr">
        <is>
          <t>lineal_regularizado</t>
        </is>
      </c>
      <c r="E152" s="50" t="inlineStr">
        <is>
          <t>ridge_tscv</t>
        </is>
      </c>
      <c r="F152" s="50" t="n">
        <v>3</v>
      </c>
      <c r="G152" s="49" t="inlineStr">
        <is>
          <t>delta</t>
        </is>
      </c>
      <c r="H152" s="50" t="inlineStr">
        <is>
          <t>y_t + lags [1, 2, 3, 4]</t>
        </is>
      </c>
      <c r="I152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52" s="50" t="inlineStr">
        <is>
          <t>standard_scaler</t>
        </is>
      </c>
      <c r="K152" s="50" t="inlineStr">
        <is>
          <t>all</t>
        </is>
      </c>
      <c r="L152" s="50" t="inlineStr">
        <is>
          <t>walk-forward_expanding</t>
        </is>
      </c>
      <c r="M152" s="49" t="inlineStr">
        <is>
          <t>2024-10-14 a 2026-03-02</t>
        </is>
      </c>
      <c r="N152" s="49" t="inlineStr">
        <is>
          <t>{"feature_candidates": 59, "feature_mode": "all", "horizon": 3, "initial_train_size": 40, "lags": [1, 2, 3, 4], "model": "ridge_tscv",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"inner_splits": 3, "transform_mode": "standard", "winsor_lower_quantile": 0.05, "winsor_upper_quantile": 0.95}, "rows_eval": 26, "rows_modeling": 66, "selected_feature_count_avg": 59.0, "target_mode": "delta", "transform_mode": "standard"}</t>
        </is>
      </c>
      <c r="O152" s="51" t="n">
        <v>0.35</v>
      </c>
      <c r="P152" s="51" t="n">
        <v>0.25</v>
      </c>
      <c r="Q152" s="51" t="n">
        <v>0.25</v>
      </c>
      <c r="R152" s="51" t="n">
        <v>0.1</v>
      </c>
      <c r="S152" s="52" t="n">
        <v>0.3</v>
      </c>
      <c r="T152" s="53" t="n">
        <v>0.2644412956047229</v>
      </c>
      <c r="U152" s="53" t="n">
        <v>0.4615384615384616</v>
      </c>
      <c r="V152" s="53" t="n">
        <v>0.3333333333333334</v>
      </c>
      <c r="W152" s="53" t="n">
        <v>0.8461538461538461</v>
      </c>
      <c r="X152" s="54" t="n">
        <v>0.1127663360384959</v>
      </c>
      <c r="Y152" s="53" t="n">
        <v>0.1627065159841651</v>
      </c>
      <c r="Z152" s="53" t="n">
        <v>0.1953694454071293</v>
      </c>
      <c r="AA152" s="55" t="n">
        <v>0.5384615384615384</v>
      </c>
      <c r="AB152" s="55" t="n">
        <v>0.6666666666666666</v>
      </c>
      <c r="AC152" s="49" t="inlineStr">
        <is>
          <t>corrido</t>
        </is>
      </c>
      <c r="AD152" s="49" t="inlineStr">
        <is>
          <t>Ridge limpio con tuning temporal interno | metric=mae | inner_splits=3</t>
        </is>
      </c>
      <c r="AE152" s="49" t="inlineStr">
        <is>
          <t>run_e1_ridge_clean.py</t>
        </is>
      </c>
      <c r="AF152" s="49" t="inlineStr">
        <is>
          <t>Scripts/Modeling/run_e1_ridge_clean.py</t>
        </is>
      </c>
      <c r="AG152" s="49" t="inlineStr">
        <is>
          <t>Experimentos/runs/E1_v3_clean_20260321_103256</t>
        </is>
      </c>
      <c r="AH152" s="49" t="inlineStr">
        <is>
          <t>Experimentos/runs/E1_v3_clean_20260321_103256/scripts/run_e1_ridge_clean.py</t>
        </is>
      </c>
      <c r="AI152" s="49" t="inlineStr">
        <is>
          <t>Experimentos/runs/E1_v3_clean_20260321_103256/parametros_run.json</t>
        </is>
      </c>
      <c r="AJ152" s="49" t="inlineStr">
        <is>
          <t>Experimentos/runs/E1_v3_clean_20260321_103256/metricas_horizonte.json</t>
        </is>
      </c>
      <c r="AK152" s="49" t="inlineStr">
        <is>
          <t>2026-03-21 10:32:56</t>
        </is>
      </c>
      <c r="AL152" s="49" t="n"/>
      <c r="AM152" s="49" t="n"/>
      <c r="AN152" s="49" t="n"/>
      <c r="AO152" s="49" t="n"/>
      <c r="AP152" s="49" t="n"/>
      <c r="AQ152" s="49" t="n"/>
      <c r="AR152" s="49" t="n"/>
      <c r="AS152" s="49" t="n"/>
      <c r="AT152" s="49" t="n"/>
      <c r="AU152" s="49" t="n"/>
      <c r="AV152" s="49" t="n"/>
      <c r="AW152" s="49" t="n"/>
      <c r="AX152" s="49" t="n"/>
      <c r="AY152" s="49" t="n"/>
    </row>
    <row r="153" ht="15" customHeight="1" s="27">
      <c r="A153" s="49" t="inlineStr">
        <is>
          <t>2026-03-21 10:32:56</t>
        </is>
      </c>
      <c r="B153" s="49" t="inlineStr">
        <is>
          <t>E1_v3_clean</t>
        </is>
      </c>
      <c r="C153" s="50" t="inlineStr">
        <is>
          <t>E1</t>
        </is>
      </c>
      <c r="D153" s="50" t="inlineStr">
        <is>
          <t>lineal_regularizado</t>
        </is>
      </c>
      <c r="E153" s="50" t="inlineStr">
        <is>
          <t>ridge_tscv</t>
        </is>
      </c>
      <c r="F153" s="50" t="n">
        <v>4</v>
      </c>
      <c r="G153" s="49" t="inlineStr">
        <is>
          <t>delta</t>
        </is>
      </c>
      <c r="H153" s="50" t="inlineStr">
        <is>
          <t>y_t + lags [1, 2, 3, 4]</t>
        </is>
      </c>
      <c r="I153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53" s="50" t="inlineStr">
        <is>
          <t>standard_scaler</t>
        </is>
      </c>
      <c r="K153" s="50" t="inlineStr">
        <is>
          <t>all</t>
        </is>
      </c>
      <c r="L153" s="50" t="inlineStr">
        <is>
          <t>walk-forward_expanding</t>
        </is>
      </c>
      <c r="M153" s="49" t="inlineStr">
        <is>
          <t>2024-10-14 a 2026-03-02</t>
        </is>
      </c>
      <c r="N153" s="49" t="inlineStr">
        <is>
          <t>{"feature_candidates": 59, "feature_mode": "all", "horizon": 4, "initial_train_size": 40, "lags": [1, 2, 3, 4], "model": "ridge_tscv",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"inner_splits": 3, "transform_mode": "standard", "winsor_lower_quantile": 0.05, "winsor_upper_quantile": 0.95}, "rows_eval": 25, "rows_modeling": 65, "selected_feature_count_avg": 59.0, "target_mode": "delta", "transform_mode": "standard"}</t>
        </is>
      </c>
      <c r="O153" s="51" t="n">
        <v>0.35</v>
      </c>
      <c r="P153" s="51" t="n">
        <v>0.25</v>
      </c>
      <c r="Q153" s="51" t="n">
        <v>0.25</v>
      </c>
      <c r="R153" s="51" t="n">
        <v>0.1</v>
      </c>
      <c r="S153" s="52" t="n">
        <v>0.15</v>
      </c>
      <c r="T153" s="53" t="n">
        <v>0.2090950909411144</v>
      </c>
      <c r="U153" s="53" t="n">
        <v>0.4</v>
      </c>
      <c r="V153" s="53" t="n">
        <v>0.3</v>
      </c>
      <c r="W153" s="53" t="n">
        <v>0.76</v>
      </c>
      <c r="X153" s="54" t="n">
        <v>0.0486274922744085</v>
      </c>
      <c r="Y153" s="53" t="n">
        <v>0.1286528780560598</v>
      </c>
      <c r="Z153" s="53" t="n">
        <v>0.1611654105409709</v>
      </c>
      <c r="AA153" s="55" t="n">
        <v>0.6</v>
      </c>
      <c r="AB153" s="55" t="n">
        <v>0.7</v>
      </c>
      <c r="AC153" s="49" t="inlineStr">
        <is>
          <t>corrido</t>
        </is>
      </c>
      <c r="AD153" s="49" t="inlineStr">
        <is>
          <t>Ridge limpio con tuning temporal interno | metric=mae | inner_splits=3</t>
        </is>
      </c>
      <c r="AE153" s="49" t="inlineStr">
        <is>
          <t>run_e1_ridge_clean.py</t>
        </is>
      </c>
      <c r="AF153" s="49" t="inlineStr">
        <is>
          <t>Scripts/Modeling/run_e1_ridge_clean.py</t>
        </is>
      </c>
      <c r="AG153" s="49" t="inlineStr">
        <is>
          <t>Experimentos/runs/E1_v3_clean_20260321_103256</t>
        </is>
      </c>
      <c r="AH153" s="49" t="inlineStr">
        <is>
          <t>Experimentos/runs/E1_v3_clean_20260321_103256/scripts/run_e1_ridge_clean.py</t>
        </is>
      </c>
      <c r="AI153" s="49" t="inlineStr">
        <is>
          <t>Experimentos/runs/E1_v3_clean_20260321_103256/parametros_run.json</t>
        </is>
      </c>
      <c r="AJ153" s="49" t="inlineStr">
        <is>
          <t>Experimentos/runs/E1_v3_clean_20260321_103256/metricas_horizonte.json</t>
        </is>
      </c>
      <c r="AK153" s="49" t="inlineStr">
        <is>
          <t>2026-03-21 10:32:56</t>
        </is>
      </c>
      <c r="AL153" s="49" t="n"/>
      <c r="AM153" s="49" t="n"/>
      <c r="AN153" s="49" t="n"/>
      <c r="AO153" s="49" t="n"/>
      <c r="AP153" s="49" t="n"/>
      <c r="AQ153" s="49" t="n"/>
      <c r="AR153" s="49" t="n"/>
      <c r="AS153" s="49" t="n"/>
      <c r="AT153" s="49" t="n"/>
      <c r="AU153" s="49" t="n"/>
      <c r="AV153" s="49" t="n"/>
      <c r="AW153" s="49" t="n"/>
      <c r="AX153" s="49" t="n"/>
      <c r="AY153" s="49" t="n"/>
    </row>
    <row r="154" ht="15" customHeight="1" s="27">
      <c r="A154" s="49" t="inlineStr">
        <is>
          <t>2026-03-21 10:38:32</t>
        </is>
      </c>
      <c r="B154" s="49" t="inlineStr">
        <is>
          <t>E1_v4_clean</t>
        </is>
      </c>
      <c r="C154" s="50" t="inlineStr">
        <is>
          <t>E1</t>
        </is>
      </c>
      <c r="D154" s="50" t="inlineStr">
        <is>
          <t>lineal_regularizado</t>
        </is>
      </c>
      <c r="E154" s="50" t="inlineStr">
        <is>
          <t>ridge_tscv</t>
        </is>
      </c>
      <c r="F154" s="50" t="n">
        <v>1</v>
      </c>
      <c r="G154" s="49" t="inlineStr">
        <is>
          <t>nivel</t>
        </is>
      </c>
      <c r="H154" s="50" t="inlineStr">
        <is>
          <t>y_t + lags [1, 2, 3, 4]</t>
        </is>
      </c>
      <c r="I154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54" s="50" t="inlineStr">
        <is>
          <t>standard_scaler</t>
        </is>
      </c>
      <c r="K154" s="50" t="inlineStr">
        <is>
          <t>corr</t>
        </is>
      </c>
      <c r="L154" s="50" t="inlineStr">
        <is>
          <t>walk-forward_expanding</t>
        </is>
      </c>
      <c r="M154" s="49" t="inlineStr">
        <is>
          <t>2024-10-14 a 2026-03-02</t>
        </is>
      </c>
      <c r="N154" s="49" t="inlineStr">
        <is>
          <t>{"feature_candidates": 59, "feature_mode": "corr", "horizon": 1, "initial_train_size": 40, "lags": [1, 2, 3, 4], "model": "ridge_tscv",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"inner_splits": 3, "transform_mode": "standard", "winsor_lower_quantile": 0.05, "winsor_upper_quantile": 0.95}, "rows_eval": 28, "rows_modeling": 68, "selected_feature_count_avg": 21.0, "target_mode": "nivel", "transform_mode": "standard"}</t>
        </is>
      </c>
      <c r="O154" s="51" t="n">
        <v>0.35</v>
      </c>
      <c r="P154" s="51" t="n">
        <v>0.25</v>
      </c>
      <c r="Q154" s="51" t="n">
        <v>0.25</v>
      </c>
      <c r="R154" s="51" t="n">
        <v>0.1</v>
      </c>
      <c r="S154" s="52" t="n">
        <v>0.3</v>
      </c>
      <c r="T154" s="53" t="n">
        <v>0.1731883202777869</v>
      </c>
      <c r="U154" s="53" t="n">
        <v>0.1428571428571429</v>
      </c>
      <c r="V154" s="53" t="n">
        <v>0.1538461538461539</v>
      </c>
      <c r="W154" s="53" t="n">
        <v>0.7857142857142857</v>
      </c>
      <c r="X154" s="54" t="n">
        <v>0.06400894945334344</v>
      </c>
      <c r="Y154" s="53" t="n">
        <v>0.1065600141502451</v>
      </c>
      <c r="Z154" s="53" t="n">
        <v>0.1345951697303669</v>
      </c>
      <c r="AA154" s="55" t="n">
        <v>0.8571428571428571</v>
      </c>
      <c r="AB154" s="55" t="n">
        <v>0.8461538461538461</v>
      </c>
      <c r="AC154" s="49" t="inlineStr">
        <is>
          <t>corrido</t>
        </is>
      </c>
      <c r="AD154" s="49" t="inlineStr">
        <is>
          <t>Ridge limpio con tuning temporal interno | metric=mae | inner_splits=3</t>
        </is>
      </c>
      <c r="AE154" s="49" t="inlineStr">
        <is>
          <t>run_e1_ridge_clean.py</t>
        </is>
      </c>
      <c r="AF154" s="49" t="inlineStr">
        <is>
          <t>Scripts/Modeling/run_e1_ridge_clean.py</t>
        </is>
      </c>
      <c r="AG154" s="49" t="inlineStr">
        <is>
          <t>Experimentos/runs/E1_v4_clean_20260321_103832</t>
        </is>
      </c>
      <c r="AH154" s="49" t="inlineStr">
        <is>
          <t>Experimentos/runs/E1_v4_clean_20260321_103832/scripts/run_e1_ridge_clean.py</t>
        </is>
      </c>
      <c r="AI154" s="49" t="inlineStr">
        <is>
          <t>Experimentos/runs/E1_v4_clean_20260321_103832/parametros_run.json</t>
        </is>
      </c>
      <c r="AJ154" s="49" t="inlineStr">
        <is>
          <t>Experimentos/runs/E1_v4_clean_20260321_103832/metricas_horizonte.json</t>
        </is>
      </c>
      <c r="AK154" s="49" t="inlineStr">
        <is>
          <t>2026-03-21 10:38:32</t>
        </is>
      </c>
      <c r="AL154" s="49" t="n"/>
      <c r="AM154" s="49" t="n"/>
      <c r="AN154" s="49" t="n"/>
      <c r="AO154" s="49" t="n"/>
      <c r="AP154" s="49" t="n"/>
      <c r="AQ154" s="49" t="n"/>
      <c r="AR154" s="49" t="n"/>
      <c r="AS154" s="49" t="n"/>
      <c r="AT154" s="49" t="n"/>
      <c r="AU154" s="49" t="n"/>
      <c r="AV154" s="49" t="n"/>
      <c r="AW154" s="49" t="n"/>
      <c r="AX154" s="49" t="n"/>
      <c r="AY154" s="49" t="n"/>
    </row>
    <row r="155" ht="15" customHeight="1" s="27">
      <c r="A155" s="49" t="inlineStr">
        <is>
          <t>2026-03-21 10:38:32</t>
        </is>
      </c>
      <c r="B155" s="49" t="inlineStr">
        <is>
          <t>E1_v4_clean</t>
        </is>
      </c>
      <c r="C155" s="50" t="inlineStr">
        <is>
          <t>E1</t>
        </is>
      </c>
      <c r="D155" s="50" t="inlineStr">
        <is>
          <t>lineal_regularizado</t>
        </is>
      </c>
      <c r="E155" s="50" t="inlineStr">
        <is>
          <t>ridge_tscv</t>
        </is>
      </c>
      <c r="F155" s="50" t="n">
        <v>2</v>
      </c>
      <c r="G155" s="49" t="inlineStr">
        <is>
          <t>nivel</t>
        </is>
      </c>
      <c r="H155" s="50" t="inlineStr">
        <is>
          <t>y_t + lags [1, 2, 3, 4]</t>
        </is>
      </c>
      <c r="I155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55" s="50" t="inlineStr">
        <is>
          <t>standard_scaler</t>
        </is>
      </c>
      <c r="K155" s="50" t="inlineStr">
        <is>
          <t>corr</t>
        </is>
      </c>
      <c r="L155" s="50" t="inlineStr">
        <is>
          <t>walk-forward_expanding</t>
        </is>
      </c>
      <c r="M155" s="49" t="inlineStr">
        <is>
          <t>2024-10-14 a 2026-03-02</t>
        </is>
      </c>
      <c r="N155" s="49" t="inlineStr">
        <is>
          <t>{"feature_candidates": 59, "feature_mode": "corr", "horizon": 2, "initial_train_size": 40, "lags": [1, 2, 3, 4], "model": "ridge_tscv",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"inner_splits": 3, "transform_mode": "standard", "winsor_lower_quantile": 0.05, "winsor_upper_quantile": 0.95}, "rows_eval": 27, "rows_modeling": 67, "selected_feature_count_avg": 21.0, "target_mode": "nivel", "transform_mode": "standard"}</t>
        </is>
      </c>
      <c r="O155" s="51" t="n">
        <v>0.35</v>
      </c>
      <c r="P155" s="51" t="n">
        <v>0.25</v>
      </c>
      <c r="Q155" s="51" t="n">
        <v>0.25</v>
      </c>
      <c r="R155" s="51" t="n">
        <v>0.1</v>
      </c>
      <c r="S155" s="52" t="n">
        <v>0.25</v>
      </c>
      <c r="T155" s="53" t="n">
        <v>0.1636162618045333</v>
      </c>
      <c r="U155" s="53" t="n">
        <v>0.4074074074074074</v>
      </c>
      <c r="V155" s="53" t="n">
        <v>0.4166666666666666</v>
      </c>
      <c r="W155" s="53" t="n">
        <v>0.7407407407407407</v>
      </c>
      <c r="X155" s="54" t="n">
        <v>0.08433957105604481</v>
      </c>
      <c r="Y155" s="53" t="n">
        <v>0.1006704790781292</v>
      </c>
      <c r="Z155" s="53" t="n">
        <v>0.1294561383613403</v>
      </c>
      <c r="AA155" s="55" t="n">
        <v>0.5925925925925926</v>
      </c>
      <c r="AB155" s="55" t="n">
        <v>0.5833333333333334</v>
      </c>
      <c r="AC155" s="49" t="inlineStr">
        <is>
          <t>corrido</t>
        </is>
      </c>
      <c r="AD155" s="49" t="inlineStr">
        <is>
          <t>Ridge limpio con tuning temporal interno | metric=mae | inner_splits=3</t>
        </is>
      </c>
      <c r="AE155" s="49" t="inlineStr">
        <is>
          <t>run_e1_ridge_clean.py</t>
        </is>
      </c>
      <c r="AF155" s="49" t="inlineStr">
        <is>
          <t>Scripts/Modeling/run_e1_ridge_clean.py</t>
        </is>
      </c>
      <c r="AG155" s="49" t="inlineStr">
        <is>
          <t>Experimentos/runs/E1_v4_clean_20260321_103832</t>
        </is>
      </c>
      <c r="AH155" s="49" t="inlineStr">
        <is>
          <t>Experimentos/runs/E1_v4_clean_20260321_103832/scripts/run_e1_ridge_clean.py</t>
        </is>
      </c>
      <c r="AI155" s="49" t="inlineStr">
        <is>
          <t>Experimentos/runs/E1_v4_clean_20260321_103832/parametros_run.json</t>
        </is>
      </c>
      <c r="AJ155" s="49" t="inlineStr">
        <is>
          <t>Experimentos/runs/E1_v4_clean_20260321_103832/metricas_horizonte.json</t>
        </is>
      </c>
      <c r="AK155" s="49" t="inlineStr">
        <is>
          <t>2026-03-21 10:38:32</t>
        </is>
      </c>
      <c r="AL155" s="49" t="n"/>
      <c r="AM155" s="49" t="n"/>
      <c r="AN155" s="49" t="n"/>
      <c r="AO155" s="49" t="n"/>
      <c r="AP155" s="49" t="n"/>
      <c r="AQ155" s="49" t="n"/>
      <c r="AR155" s="49" t="n"/>
      <c r="AS155" s="49" t="n"/>
      <c r="AT155" s="49" t="n"/>
      <c r="AU155" s="49" t="n"/>
      <c r="AV155" s="49" t="n"/>
      <c r="AW155" s="49" t="n"/>
      <c r="AX155" s="49" t="n"/>
      <c r="AY155" s="49" t="n"/>
    </row>
    <row r="156" ht="15" customHeight="1" s="27">
      <c r="A156" s="49" t="inlineStr">
        <is>
          <t>2026-03-21 10:38:32</t>
        </is>
      </c>
      <c r="B156" s="49" t="inlineStr">
        <is>
          <t>E1_v4_clean</t>
        </is>
      </c>
      <c r="C156" s="50" t="inlineStr">
        <is>
          <t>E1</t>
        </is>
      </c>
      <c r="D156" s="50" t="inlineStr">
        <is>
          <t>lineal_regularizado</t>
        </is>
      </c>
      <c r="E156" s="50" t="inlineStr">
        <is>
          <t>ridge_tscv</t>
        </is>
      </c>
      <c r="F156" s="50" t="n">
        <v>3</v>
      </c>
      <c r="G156" s="49" t="inlineStr">
        <is>
          <t>nivel</t>
        </is>
      </c>
      <c r="H156" s="50" t="inlineStr">
        <is>
          <t>y_t + lags [1, 2, 3, 4]</t>
        </is>
      </c>
      <c r="I156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56" s="50" t="inlineStr">
        <is>
          <t>standard_scaler</t>
        </is>
      </c>
      <c r="K156" s="50" t="inlineStr">
        <is>
          <t>corr</t>
        </is>
      </c>
      <c r="L156" s="50" t="inlineStr">
        <is>
          <t>walk-forward_expanding</t>
        </is>
      </c>
      <c r="M156" s="49" t="inlineStr">
        <is>
          <t>2024-10-14 a 2026-03-02</t>
        </is>
      </c>
      <c r="N156" s="49" t="inlineStr">
        <is>
          <t>{"feature_candidates": 59, "feature_mode": "corr", "horizon": 3, "initial_train_size": 40, "lags": [1, 2, 3, 4], "model": "ridge_tscv",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"inner_splits": 3, "transform_mode": "standard", "winsor_lower_quantile": 0.05, "winsor_upper_quantile": 0.95}, "rows_eval": 26, "rows_modeling": 66, "selected_feature_count_avg": 21.0, "target_mode": "nivel", "transform_mode": "standard"}</t>
        </is>
      </c>
      <c r="O156" s="51" t="n">
        <v>0.35</v>
      </c>
      <c r="P156" s="51" t="n">
        <v>0.25</v>
      </c>
      <c r="Q156" s="51" t="n">
        <v>0.25</v>
      </c>
      <c r="R156" s="51" t="n">
        <v>0.1</v>
      </c>
      <c r="S156" s="52" t="n">
        <v>0.3</v>
      </c>
      <c r="T156" s="53" t="n">
        <v>0.1656941980701846</v>
      </c>
      <c r="U156" s="53" t="n">
        <v>0.1923076923076923</v>
      </c>
      <c r="V156" s="53" t="n">
        <v>0.1666666666666666</v>
      </c>
      <c r="W156" s="53" t="n">
        <v>0.7692307692307693</v>
      </c>
      <c r="X156" s="54" t="n">
        <v>0.06739789079736938</v>
      </c>
      <c r="Y156" s="53" t="n">
        <v>0.1019490001557397</v>
      </c>
      <c r="Z156" s="53" t="n">
        <v>0.1316838014867373</v>
      </c>
      <c r="AA156" s="55" t="n">
        <v>0.8076923076923077</v>
      </c>
      <c r="AB156" s="55" t="n">
        <v>0.8333333333333334</v>
      </c>
      <c r="AC156" s="49" t="inlineStr">
        <is>
          <t>corrido</t>
        </is>
      </c>
      <c r="AD156" s="49" t="inlineStr">
        <is>
          <t>Ridge limpio con tuning temporal interno | metric=mae | inner_splits=3</t>
        </is>
      </c>
      <c r="AE156" s="49" t="inlineStr">
        <is>
          <t>run_e1_ridge_clean.py</t>
        </is>
      </c>
      <c r="AF156" s="49" t="inlineStr">
        <is>
          <t>Scripts/Modeling/run_e1_ridge_clean.py</t>
        </is>
      </c>
      <c r="AG156" s="49" t="inlineStr">
        <is>
          <t>Experimentos/runs/E1_v4_clean_20260321_103832</t>
        </is>
      </c>
      <c r="AH156" s="49" t="inlineStr">
        <is>
          <t>Experimentos/runs/E1_v4_clean_20260321_103832/scripts/run_e1_ridge_clean.py</t>
        </is>
      </c>
      <c r="AI156" s="49" t="inlineStr">
        <is>
          <t>Experimentos/runs/E1_v4_clean_20260321_103832/parametros_run.json</t>
        </is>
      </c>
      <c r="AJ156" s="49" t="inlineStr">
        <is>
          <t>Experimentos/runs/E1_v4_clean_20260321_103832/metricas_horizonte.json</t>
        </is>
      </c>
      <c r="AK156" s="49" t="inlineStr">
        <is>
          <t>2026-03-21 10:38:32</t>
        </is>
      </c>
      <c r="AL156" s="49" t="n"/>
      <c r="AM156" s="49" t="n"/>
      <c r="AN156" s="49" t="n"/>
      <c r="AO156" s="49" t="n"/>
      <c r="AP156" s="49" t="n"/>
      <c r="AQ156" s="49" t="n"/>
      <c r="AR156" s="49" t="n"/>
      <c r="AS156" s="49" t="n"/>
      <c r="AT156" s="49" t="n"/>
      <c r="AU156" s="49" t="n"/>
      <c r="AV156" s="49" t="n"/>
      <c r="AW156" s="49" t="n"/>
      <c r="AX156" s="49" t="n"/>
      <c r="AY156" s="49" t="n"/>
    </row>
    <row r="157" ht="15" customHeight="1" s="27">
      <c r="A157" s="49" t="inlineStr">
        <is>
          <t>2026-03-21 10:38:32</t>
        </is>
      </c>
      <c r="B157" s="49" t="inlineStr">
        <is>
          <t>E1_v4_clean</t>
        </is>
      </c>
      <c r="C157" s="50" t="inlineStr">
        <is>
          <t>E1</t>
        </is>
      </c>
      <c r="D157" s="50" t="inlineStr">
        <is>
          <t>lineal_regularizado</t>
        </is>
      </c>
      <c r="E157" s="50" t="inlineStr">
        <is>
          <t>ridge_tscv</t>
        </is>
      </c>
      <c r="F157" s="50" t="n">
        <v>4</v>
      </c>
      <c r="G157" s="49" t="inlineStr">
        <is>
          <t>nivel</t>
        </is>
      </c>
      <c r="H157" s="50" t="inlineStr">
        <is>
          <t>y_t + lags [1, 2, 3, 4]</t>
        </is>
      </c>
      <c r="I157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57" s="50" t="inlineStr">
        <is>
          <t>standard_scaler</t>
        </is>
      </c>
      <c r="K157" s="50" t="inlineStr">
        <is>
          <t>corr</t>
        </is>
      </c>
      <c r="L157" s="50" t="inlineStr">
        <is>
          <t>walk-forward_expanding</t>
        </is>
      </c>
      <c r="M157" s="49" t="inlineStr">
        <is>
          <t>2024-10-14 a 2026-03-02</t>
        </is>
      </c>
      <c r="N157" s="49" t="inlineStr">
        <is>
          <t>{"feature_candidates": 59, "feature_mode": "corr", "horizon": 4, "initial_train_size": 40, "lags": [1, 2, 3, 4], "model": "ridge_tscv",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"inner_splits": 3, "transform_mode": "standard", "winsor_lower_quantile": 0.05, "winsor_upper_quantile": 0.95}, "rows_eval": 25, "rows_modeling": 65, "selected_feature_count_avg": 21.0, "target_mode": "nivel", "transform_mode": "standard"}</t>
        </is>
      </c>
      <c r="O157" s="51" t="n">
        <v>0.35</v>
      </c>
      <c r="P157" s="51" t="n">
        <v>0.25</v>
      </c>
      <c r="Q157" s="51" t="n">
        <v>0.25</v>
      </c>
      <c r="R157" s="51" t="n">
        <v>0.1</v>
      </c>
      <c r="S157" s="52" t="n">
        <v>0.15</v>
      </c>
      <c r="T157" s="53" t="n">
        <v>0.1663053893857941</v>
      </c>
      <c r="U157" s="53" t="n">
        <v>0.28</v>
      </c>
      <c r="V157" s="53" t="n">
        <v>0.2</v>
      </c>
      <c r="W157" s="53" t="n">
        <v>0.72</v>
      </c>
      <c r="X157" s="54" t="n">
        <v>0.03753103294275419</v>
      </c>
      <c r="Y157" s="53" t="n">
        <v>0.1023250564344506</v>
      </c>
      <c r="Z157" s="53" t="n">
        <v>0.1358552189498907</v>
      </c>
      <c r="AA157" s="55" t="n">
        <v>0.72</v>
      </c>
      <c r="AB157" s="55" t="n">
        <v>0.8</v>
      </c>
      <c r="AC157" s="49" t="inlineStr">
        <is>
          <t>corrido</t>
        </is>
      </c>
      <c r="AD157" s="49" t="inlineStr">
        <is>
          <t>Ridge limpio con tuning temporal interno | metric=mae | inner_splits=3</t>
        </is>
      </c>
      <c r="AE157" s="49" t="inlineStr">
        <is>
          <t>run_e1_ridge_clean.py</t>
        </is>
      </c>
      <c r="AF157" s="49" t="inlineStr">
        <is>
          <t>Scripts/Modeling/run_e1_ridge_clean.py</t>
        </is>
      </c>
      <c r="AG157" s="49" t="inlineStr">
        <is>
          <t>Experimentos/runs/E1_v4_clean_20260321_103832</t>
        </is>
      </c>
      <c r="AH157" s="49" t="inlineStr">
        <is>
          <t>Experimentos/runs/E1_v4_clean_20260321_103832/scripts/run_e1_ridge_clean.py</t>
        </is>
      </c>
      <c r="AI157" s="49" t="inlineStr">
        <is>
          <t>Experimentos/runs/E1_v4_clean_20260321_103832/parametros_run.json</t>
        </is>
      </c>
      <c r="AJ157" s="49" t="inlineStr">
        <is>
          <t>Experimentos/runs/E1_v4_clean_20260321_103832/metricas_horizonte.json</t>
        </is>
      </c>
      <c r="AK157" s="49" t="inlineStr">
        <is>
          <t>2026-03-21 10:38:32</t>
        </is>
      </c>
      <c r="AL157" s="49" t="n"/>
      <c r="AM157" s="49" t="n"/>
      <c r="AN157" s="49" t="n"/>
      <c r="AO157" s="49" t="n"/>
      <c r="AP157" s="49" t="n"/>
      <c r="AQ157" s="49" t="n"/>
      <c r="AR157" s="49" t="n"/>
      <c r="AS157" s="49" t="n"/>
      <c r="AT157" s="49" t="n"/>
      <c r="AU157" s="49" t="n"/>
      <c r="AV157" s="49" t="n"/>
      <c r="AW157" s="49" t="n"/>
      <c r="AX157" s="49" t="n"/>
      <c r="AY157" s="49" t="n"/>
    </row>
    <row r="158" ht="15" customHeight="1" s="27">
      <c r="A158" s="49" t="inlineStr">
        <is>
          <t>2026-03-21 10:54:49</t>
        </is>
      </c>
      <c r="B158" s="49" t="inlineStr">
        <is>
          <t>E1_v5_clean</t>
        </is>
      </c>
      <c r="C158" s="50" t="inlineStr">
        <is>
          <t>E1</t>
        </is>
      </c>
      <c r="D158" s="50" t="inlineStr">
        <is>
          <t>lineal_regularizado</t>
        </is>
      </c>
      <c r="E158" s="50" t="inlineStr">
        <is>
          <t>ridge_tscv</t>
        </is>
      </c>
      <c r="F158" s="50" t="n">
        <v>1</v>
      </c>
      <c r="G158" s="49" t="inlineStr">
        <is>
          <t>nivel</t>
        </is>
      </c>
      <c r="H158" s="50" t="inlineStr">
        <is>
          <t>y_t + lags [1, 2, 3, 4, 5, 6]</t>
        </is>
      </c>
      <c r="I158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58" s="50" t="inlineStr">
        <is>
          <t>standard_scaler</t>
        </is>
      </c>
      <c r="K158" s="50" t="inlineStr">
        <is>
          <t>corr</t>
        </is>
      </c>
      <c r="L158" s="50" t="inlineStr">
        <is>
          <t>walk-forward_expanding</t>
        </is>
      </c>
      <c r="M158" s="49" t="inlineStr">
        <is>
          <t>2024-10-14 a 2026-03-02</t>
        </is>
      </c>
      <c r="N158" s="49" t="inlineStr">
        <is>
          <t>{"feature_candidates": 83, "feature_mode": "corr", "horizon": 1, "initial_train_size": 40, "lags": [1, 2, 3, 4, 5, 6], "model": "ridge_tscv",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"inner_splits": 3, "transform_mode": "standard", "winsor_lower_quantile": 0.05, "winsor_upper_quantile": 0.95}, "rows_eval": 26, "rows_modeling": 66, "selected_feature_count_avg": 30.0, "target_mode": "nivel", "transform_mode": "standard"}</t>
        </is>
      </c>
      <c r="O158" s="51" t="n">
        <v>0.35</v>
      </c>
      <c r="P158" s="51" t="n">
        <v>0.25</v>
      </c>
      <c r="Q158" s="51" t="n">
        <v>0.25</v>
      </c>
      <c r="R158" s="51" t="n">
        <v>0.1</v>
      </c>
      <c r="S158" s="52" t="n">
        <v>0.3</v>
      </c>
      <c r="T158" s="53" t="n">
        <v>0.1634997352388688</v>
      </c>
      <c r="U158" s="53" t="n">
        <v>0.1923076923076923</v>
      </c>
      <c r="V158" s="53" t="n">
        <v>0.1666666666666666</v>
      </c>
      <c r="W158" s="53" t="n">
        <v>0.6923076923076923</v>
      </c>
      <c r="X158" s="54" t="n">
        <v>0.06485977989238891</v>
      </c>
      <c r="Y158" s="53" t="n">
        <v>0.1005987821388311</v>
      </c>
      <c r="Z158" s="53" t="n">
        <v>0.132851981620608</v>
      </c>
      <c r="AA158" s="55" t="n">
        <v>0.8076923076923077</v>
      </c>
      <c r="AB158" s="55" t="n">
        <v>0.8333333333333334</v>
      </c>
      <c r="AC158" s="49" t="inlineStr">
        <is>
          <t>corrido</t>
        </is>
      </c>
      <c r="AD158" s="49" t="inlineStr">
        <is>
          <t>Ridge limpio con tuning temporal interno | metric=mae | inner_splits=3</t>
        </is>
      </c>
      <c r="AE158" s="49" t="inlineStr">
        <is>
          <t>run_e1_ridge_clean.py</t>
        </is>
      </c>
      <c r="AF158" s="49" t="inlineStr">
        <is>
          <t>Scripts/Modeling/run_e1_ridge_clean.py</t>
        </is>
      </c>
      <c r="AG158" s="49" t="inlineStr">
        <is>
          <t>Experimentos/runs/E1_v5_clean_20260321_105449</t>
        </is>
      </c>
      <c r="AH158" s="49" t="inlineStr">
        <is>
          <t>Experimentos/runs/E1_v5_clean_20260321_105449/scripts/run_e1_ridge_clean.py</t>
        </is>
      </c>
      <c r="AI158" s="49" t="inlineStr">
        <is>
          <t>Experimentos/runs/E1_v5_clean_20260321_105449/parametros_run.json</t>
        </is>
      </c>
      <c r="AJ158" s="49" t="inlineStr">
        <is>
          <t>Experimentos/runs/E1_v5_clean_20260321_105449/metricas_horizonte.json</t>
        </is>
      </c>
      <c r="AK158" s="49" t="inlineStr">
        <is>
          <t>2026-03-21 10:54:49</t>
        </is>
      </c>
      <c r="AL158" s="49" t="n"/>
      <c r="AM158" s="49" t="n"/>
      <c r="AN158" s="49" t="n"/>
      <c r="AO158" s="49" t="n"/>
      <c r="AP158" s="49" t="n"/>
      <c r="AQ158" s="49" t="n"/>
      <c r="AR158" s="49" t="n"/>
      <c r="AS158" s="49" t="n"/>
      <c r="AT158" s="49" t="n"/>
      <c r="AU158" s="49" t="n"/>
      <c r="AV158" s="49" t="n"/>
      <c r="AW158" s="49" t="n"/>
      <c r="AX158" s="49" t="n"/>
      <c r="AY158" s="49" t="n"/>
    </row>
    <row r="159" ht="15" customHeight="1" s="27">
      <c r="A159" s="49" t="inlineStr">
        <is>
          <t>2026-03-21 10:54:49</t>
        </is>
      </c>
      <c r="B159" s="49" t="inlineStr">
        <is>
          <t>E1_v5_clean</t>
        </is>
      </c>
      <c r="C159" s="50" t="inlineStr">
        <is>
          <t>E1</t>
        </is>
      </c>
      <c r="D159" s="50" t="inlineStr">
        <is>
          <t>lineal_regularizado</t>
        </is>
      </c>
      <c r="E159" s="50" t="inlineStr">
        <is>
          <t>ridge_tscv</t>
        </is>
      </c>
      <c r="F159" s="50" t="n">
        <v>2</v>
      </c>
      <c r="G159" s="49" t="inlineStr">
        <is>
          <t>nivel</t>
        </is>
      </c>
      <c r="H159" s="50" t="inlineStr">
        <is>
          <t>y_t + lags [1, 2, 3, 4, 5, 6]</t>
        </is>
      </c>
      <c r="I159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59" s="50" t="inlineStr">
        <is>
          <t>standard_scaler</t>
        </is>
      </c>
      <c r="K159" s="50" t="inlineStr">
        <is>
          <t>corr</t>
        </is>
      </c>
      <c r="L159" s="50" t="inlineStr">
        <is>
          <t>walk-forward_expanding</t>
        </is>
      </c>
      <c r="M159" s="49" t="inlineStr">
        <is>
          <t>2024-10-14 a 2026-03-02</t>
        </is>
      </c>
      <c r="N159" s="49" t="inlineStr">
        <is>
          <t>{"feature_candidates": 83, "feature_mode": "corr", "horizon": 2, "initial_train_size": 40, "lags": [1, 2, 3, 4, 5, 6], "model": "ridge_tscv",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"inner_splits": 3, "transform_mode": "standard", "winsor_lower_quantile": 0.05, "winsor_upper_quantile": 0.95}, "rows_eval": 25, "rows_modeling": 65, "selected_feature_count_avg": 30.0, "target_mode": "nivel", "transform_mode": "standard"}</t>
        </is>
      </c>
      <c r="O159" s="51" t="n">
        <v>0.35</v>
      </c>
      <c r="P159" s="51" t="n">
        <v>0.25</v>
      </c>
      <c r="Q159" s="51" t="n">
        <v>0.25</v>
      </c>
      <c r="R159" s="51" t="n">
        <v>0.1</v>
      </c>
      <c r="S159" s="52" t="n">
        <v>0.25</v>
      </c>
      <c r="T159" s="53" t="n">
        <v>0.1685817487834816</v>
      </c>
      <c r="U159" s="53" t="n">
        <v>0.32</v>
      </c>
      <c r="V159" s="53" t="n">
        <v>0.3</v>
      </c>
      <c r="W159" s="53" t="n">
        <v>0.72</v>
      </c>
      <c r="X159" s="54" t="n">
        <v>0.07150090301855463</v>
      </c>
      <c r="Y159" s="53" t="n">
        <v>0.1037256641038336</v>
      </c>
      <c r="Z159" s="53" t="n">
        <v>0.1364839721702182</v>
      </c>
      <c r="AA159" s="55" t="n">
        <v>0.68</v>
      </c>
      <c r="AB159" s="55" t="n">
        <v>0.7</v>
      </c>
      <c r="AC159" s="49" t="inlineStr">
        <is>
          <t>corrido</t>
        </is>
      </c>
      <c r="AD159" s="49" t="inlineStr">
        <is>
          <t>Ridge limpio con tuning temporal interno | metric=mae | inner_splits=3</t>
        </is>
      </c>
      <c r="AE159" s="49" t="inlineStr">
        <is>
          <t>run_e1_ridge_clean.py</t>
        </is>
      </c>
      <c r="AF159" s="49" t="inlineStr">
        <is>
          <t>Scripts/Modeling/run_e1_ridge_clean.py</t>
        </is>
      </c>
      <c r="AG159" s="49" t="inlineStr">
        <is>
          <t>Experimentos/runs/E1_v5_clean_20260321_105449</t>
        </is>
      </c>
      <c r="AH159" s="49" t="inlineStr">
        <is>
          <t>Experimentos/runs/E1_v5_clean_20260321_105449/scripts/run_e1_ridge_clean.py</t>
        </is>
      </c>
      <c r="AI159" s="49" t="inlineStr">
        <is>
          <t>Experimentos/runs/E1_v5_clean_20260321_105449/parametros_run.json</t>
        </is>
      </c>
      <c r="AJ159" s="49" t="inlineStr">
        <is>
          <t>Experimentos/runs/E1_v5_clean_20260321_105449/metricas_horizonte.json</t>
        </is>
      </c>
      <c r="AK159" s="49" t="inlineStr">
        <is>
          <t>2026-03-21 10:54:49</t>
        </is>
      </c>
      <c r="AL159" s="49" t="n"/>
      <c r="AM159" s="49" t="n"/>
      <c r="AN159" s="49" t="n"/>
      <c r="AO159" s="49" t="n"/>
      <c r="AP159" s="49" t="n"/>
      <c r="AQ159" s="49" t="n"/>
      <c r="AR159" s="49" t="n"/>
      <c r="AS159" s="49" t="n"/>
      <c r="AT159" s="49" t="n"/>
      <c r="AU159" s="49" t="n"/>
      <c r="AV159" s="49" t="n"/>
      <c r="AW159" s="49" t="n"/>
      <c r="AX159" s="49" t="n"/>
      <c r="AY159" s="49" t="n"/>
    </row>
    <row r="160" ht="15" customHeight="1" s="27">
      <c r="A160" s="49" t="inlineStr">
        <is>
          <t>2026-03-21 10:54:49</t>
        </is>
      </c>
      <c r="B160" s="49" t="inlineStr">
        <is>
          <t>E1_v5_clean</t>
        </is>
      </c>
      <c r="C160" s="50" t="inlineStr">
        <is>
          <t>E1</t>
        </is>
      </c>
      <c r="D160" s="50" t="inlineStr">
        <is>
          <t>lineal_regularizado</t>
        </is>
      </c>
      <c r="E160" s="50" t="inlineStr">
        <is>
          <t>ridge_tscv</t>
        </is>
      </c>
      <c r="F160" s="50" t="n">
        <v>3</v>
      </c>
      <c r="G160" s="49" t="inlineStr">
        <is>
          <t>nivel</t>
        </is>
      </c>
      <c r="H160" s="50" t="inlineStr">
        <is>
          <t>y_t + lags [1, 2, 3, 4, 5, 6]</t>
        </is>
      </c>
      <c r="I160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60" s="50" t="inlineStr">
        <is>
          <t>standard_scaler</t>
        </is>
      </c>
      <c r="K160" s="50" t="inlineStr">
        <is>
          <t>corr</t>
        </is>
      </c>
      <c r="L160" s="50" t="inlineStr">
        <is>
          <t>walk-forward_expanding</t>
        </is>
      </c>
      <c r="M160" s="49" t="inlineStr">
        <is>
          <t>2024-10-14 a 2026-03-02</t>
        </is>
      </c>
      <c r="N160" s="49" t="inlineStr">
        <is>
          <t>{"feature_candidates": 83, "feature_mode": "corr", "horizon": 3, "initial_train_size": 40, "lags": [1, 2, 3, 4, 5, 6], "model": "ridge_tscv",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"inner_splits": 3, "transform_mode": "standard", "winsor_lower_quantile": 0.05, "winsor_upper_quantile": 0.95}, "rows_eval": 24, "rows_modeling": 64, "selected_feature_count_avg": 30.0, "target_mode": "nivel", "transform_mode": "standard"}</t>
        </is>
      </c>
      <c r="O160" s="51" t="n">
        <v>0.35</v>
      </c>
      <c r="P160" s="51" t="n">
        <v>0.25</v>
      </c>
      <c r="Q160" s="51" t="n">
        <v>0.25</v>
      </c>
      <c r="R160" s="51" t="n">
        <v>0.1</v>
      </c>
      <c r="S160" s="52" t="n">
        <v>0.3</v>
      </c>
      <c r="T160" s="53" t="n">
        <v>0.1682839772617777</v>
      </c>
      <c r="U160" s="53" t="n">
        <v>0.2083333333333334</v>
      </c>
      <c r="V160" s="53" t="n">
        <v>0.1818181818181818</v>
      </c>
      <c r="W160" s="53" t="n">
        <v>0.7083333333333334</v>
      </c>
      <c r="X160" s="54" t="n">
        <v>0.06818118124885029</v>
      </c>
      <c r="Y160" s="53" t="n">
        <v>0.1035424500307632</v>
      </c>
      <c r="Z160" s="53" t="n">
        <v>0.1371907008468709</v>
      </c>
      <c r="AA160" s="55" t="n">
        <v>0.7916666666666666</v>
      </c>
      <c r="AB160" s="55" t="n">
        <v>0.8181818181818182</v>
      </c>
      <c r="AC160" s="49" t="inlineStr">
        <is>
          <t>corrido</t>
        </is>
      </c>
      <c r="AD160" s="49" t="inlineStr">
        <is>
          <t>Ridge limpio con tuning temporal interno | metric=mae | inner_splits=3</t>
        </is>
      </c>
      <c r="AE160" s="49" t="inlineStr">
        <is>
          <t>run_e1_ridge_clean.py</t>
        </is>
      </c>
      <c r="AF160" s="49" t="inlineStr">
        <is>
          <t>Scripts/Modeling/run_e1_ridge_clean.py</t>
        </is>
      </c>
      <c r="AG160" s="49" t="inlineStr">
        <is>
          <t>Experimentos/runs/E1_v5_clean_20260321_105449</t>
        </is>
      </c>
      <c r="AH160" s="49" t="inlineStr">
        <is>
          <t>Experimentos/runs/E1_v5_clean_20260321_105449/scripts/run_e1_ridge_clean.py</t>
        </is>
      </c>
      <c r="AI160" s="49" t="inlineStr">
        <is>
          <t>Experimentos/runs/E1_v5_clean_20260321_105449/parametros_run.json</t>
        </is>
      </c>
      <c r="AJ160" s="49" t="inlineStr">
        <is>
          <t>Experimentos/runs/E1_v5_clean_20260321_105449/metricas_horizonte.json</t>
        </is>
      </c>
      <c r="AK160" s="49" t="inlineStr">
        <is>
          <t>2026-03-21 10:54:49</t>
        </is>
      </c>
      <c r="AL160" s="49" t="n"/>
      <c r="AM160" s="49" t="n"/>
      <c r="AN160" s="49" t="n"/>
      <c r="AO160" s="49" t="n"/>
      <c r="AP160" s="49" t="n"/>
      <c r="AQ160" s="49" t="n"/>
      <c r="AR160" s="49" t="n"/>
      <c r="AS160" s="49" t="n"/>
      <c r="AT160" s="49" t="n"/>
      <c r="AU160" s="49" t="n"/>
      <c r="AV160" s="49" t="n"/>
      <c r="AW160" s="49" t="n"/>
      <c r="AX160" s="49" t="n"/>
      <c r="AY160" s="49" t="n"/>
    </row>
    <row r="161" ht="15" customHeight="1" s="27">
      <c r="A161" s="49" t="inlineStr">
        <is>
          <t>2026-03-21 10:54:49</t>
        </is>
      </c>
      <c r="B161" s="49" t="inlineStr">
        <is>
          <t>E1_v5_clean</t>
        </is>
      </c>
      <c r="C161" s="50" t="inlineStr">
        <is>
          <t>E1</t>
        </is>
      </c>
      <c r="D161" s="50" t="inlineStr">
        <is>
          <t>lineal_regularizado</t>
        </is>
      </c>
      <c r="E161" s="50" t="inlineStr">
        <is>
          <t>ridge_tscv</t>
        </is>
      </c>
      <c r="F161" s="50" t="n">
        <v>4</v>
      </c>
      <c r="G161" s="49" t="inlineStr">
        <is>
          <t>nivel</t>
        </is>
      </c>
      <c r="H161" s="50" t="inlineStr">
        <is>
          <t>y_t + lags [1, 2, 3, 4, 5, 6]</t>
        </is>
      </c>
      <c r="I161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61" s="50" t="inlineStr">
        <is>
          <t>standard_scaler</t>
        </is>
      </c>
      <c r="K161" s="50" t="inlineStr">
        <is>
          <t>corr</t>
        </is>
      </c>
      <c r="L161" s="50" t="inlineStr">
        <is>
          <t>walk-forward_expanding</t>
        </is>
      </c>
      <c r="M161" s="49" t="inlineStr">
        <is>
          <t>2024-10-14 a 2026-03-02</t>
        </is>
      </c>
      <c r="N161" s="49" t="inlineStr">
        <is>
          <t>{"feature_candidates": 83, "feature_mode": "corr", "horizon": 4, "initial_train_size": 40, "lags": [1, 2, 3, 4, 5, 6], "model": "ridge_tscv", "model_params":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"alpha_selection_metric": "mae", "inner_splits": 3, "transform_mode": "standard", "winsor_lower_quantile": 0.05, "winsor_upper_quantile": 0.95}, "rows_eval": 23, "rows_modeling": 63, "selected_feature_count_avg": 30.0, "target_mode": "nivel", "transform_mode": "standard"}</t>
        </is>
      </c>
      <c r="O161" s="51" t="n">
        <v>0.35</v>
      </c>
      <c r="P161" s="51" t="n">
        <v>0.25</v>
      </c>
      <c r="Q161" s="51" t="n">
        <v>0.25</v>
      </c>
      <c r="R161" s="51" t="n">
        <v>0.1</v>
      </c>
      <c r="S161" s="52" t="n">
        <v>0.15</v>
      </c>
      <c r="T161" s="53" t="n">
        <v>0.1660711902196331</v>
      </c>
      <c r="U161" s="53" t="n">
        <v>0.3043478260869565</v>
      </c>
      <c r="V161" s="53" t="n">
        <v>0.2222222222222222</v>
      </c>
      <c r="W161" s="53" t="n">
        <v>0.6956521739130435</v>
      </c>
      <c r="X161" s="54" t="n">
        <v>0.03889989690682059</v>
      </c>
      <c r="Y161" s="53" t="n">
        <v>0.1021809574188815</v>
      </c>
      <c r="Z161" s="53" t="n">
        <v>0.1395220541604563</v>
      </c>
      <c r="AA161" s="55" t="n">
        <v>0.6956521739130435</v>
      </c>
      <c r="AB161" s="55" t="n">
        <v>0.7777777777777778</v>
      </c>
      <c r="AC161" s="49" t="inlineStr">
        <is>
          <t>corrido</t>
        </is>
      </c>
      <c r="AD161" s="49" t="inlineStr">
        <is>
          <t>Ridge limpio con tuning temporal interno | metric=mae | inner_splits=3</t>
        </is>
      </c>
      <c r="AE161" s="49" t="inlineStr">
        <is>
          <t>run_e1_ridge_clean.py</t>
        </is>
      </c>
      <c r="AF161" s="49" t="inlineStr">
        <is>
          <t>Scripts/Modeling/run_e1_ridge_clean.py</t>
        </is>
      </c>
      <c r="AG161" s="49" t="inlineStr">
        <is>
          <t>Experimentos/runs/E1_v5_clean_20260321_105449</t>
        </is>
      </c>
      <c r="AH161" s="49" t="inlineStr">
        <is>
          <t>Experimentos/runs/E1_v5_clean_20260321_105449/scripts/run_e1_ridge_clean.py</t>
        </is>
      </c>
      <c r="AI161" s="49" t="inlineStr">
        <is>
          <t>Experimentos/runs/E1_v5_clean_20260321_105449/parametros_run.json</t>
        </is>
      </c>
      <c r="AJ161" s="49" t="inlineStr">
        <is>
          <t>Experimentos/runs/E1_v5_clean_20260321_105449/metricas_horizonte.json</t>
        </is>
      </c>
      <c r="AK161" s="49" t="inlineStr">
        <is>
          <t>2026-03-21 10:54:49</t>
        </is>
      </c>
      <c r="AL161" s="49" t="n"/>
      <c r="AM161" s="49" t="n"/>
      <c r="AN161" s="49" t="n"/>
      <c r="AO161" s="49" t="n"/>
      <c r="AP161" s="49" t="n"/>
      <c r="AQ161" s="49" t="n"/>
      <c r="AR161" s="49" t="n"/>
      <c r="AS161" s="49" t="n"/>
      <c r="AT161" s="49" t="n"/>
      <c r="AU161" s="49" t="n"/>
      <c r="AV161" s="49" t="n"/>
      <c r="AW161" s="49" t="n"/>
      <c r="AX161" s="49" t="n"/>
      <c r="AY161" s="49" t="n"/>
    </row>
    <row r="162" ht="15" customHeight="1" s="27">
      <c r="A162" s="49" t="inlineStr">
        <is>
          <t>2026-03-23 05:00:29</t>
        </is>
      </c>
      <c r="B162" s="49" t="inlineStr">
        <is>
          <t>E2_v1_clean</t>
        </is>
      </c>
      <c r="C162" s="50" t="inlineStr">
        <is>
          <t>E2</t>
        </is>
      </c>
      <c r="D162" s="50" t="inlineStr">
        <is>
          <t>robusto</t>
        </is>
      </c>
      <c r="E162" s="50" t="inlineStr">
        <is>
          <t>huber_tscv</t>
        </is>
      </c>
      <c r="F162" s="50" t="n">
        <v>1</v>
      </c>
      <c r="G162" s="49" t="inlineStr">
        <is>
          <t>nivel</t>
        </is>
      </c>
      <c r="H162" s="50" t="inlineStr">
        <is>
          <t>y_t + lags [1, 2, 3, 4, 5, 6]</t>
        </is>
      </c>
      <c r="I162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62" s="50" t="inlineStr">
        <is>
          <t>standard_scaler</t>
        </is>
      </c>
      <c r="K162" s="50" t="inlineStr">
        <is>
          <t>corr</t>
        </is>
      </c>
      <c r="L162" s="50" t="inlineStr">
        <is>
          <t>walk-forward_expanding</t>
        </is>
      </c>
      <c r="M162" s="49" t="inlineStr">
        <is>
          <t>2024-10-14 a 2026-03-02</t>
        </is>
      </c>
      <c r="N162" s="49" t="inlineStr">
        <is>
          <t>{"feature_candidates": 83, "feature_mode": "corr", "horizon": 1, "initial_train_size": 40, "lags": [1, 2, 3, 4, 5, 6], "model": "huber_tscv", "model_params": {"inner_splits": 3, "param_grid": {"alpha": [1e-06, 9.999999999999999e-06, 0.0001, 0.001, 0.01, 0.1], "epsilon": [1.1, 1.2, 1.35, 1.5, 1.75, 2.0], "max_iter": [1000], "tol": [0.0001]}, "transform_mode": "standard", "tuning_metric": "mae", "winsor_lower_quantile": 0.05, "winsor_upper_quantile": 0.95}, "rows_eval": 26, "rows_modeling": 66, "selected_feature_count_avg": 30.0, "target_mode": "nivel", "transform_mode": "standard"}</t>
        </is>
      </c>
      <c r="O162" s="51" t="n">
        <v>0.35</v>
      </c>
      <c r="P162" s="51" t="n">
        <v>0.25</v>
      </c>
      <c r="Q162" s="51" t="n">
        <v>0.25</v>
      </c>
      <c r="R162" s="51" t="n">
        <v>0.1</v>
      </c>
      <c r="S162" s="52" t="n">
        <v>0.3</v>
      </c>
      <c r="T162" s="53" t="n">
        <v>0.184685768753275</v>
      </c>
      <c r="U162" s="53" t="n">
        <v>0.2307692307692307</v>
      </c>
      <c r="V162" s="53" t="n">
        <v>0.1666666666666666</v>
      </c>
      <c r="W162" s="53" t="n">
        <v>0.6538461538461539</v>
      </c>
      <c r="X162" s="54" t="n">
        <v>0.06881508264217079</v>
      </c>
      <c r="Y162" s="53" t="n">
        <v>0.1136342110145291</v>
      </c>
      <c r="Z162" s="53" t="n">
        <v>0.1492880502016995</v>
      </c>
      <c r="AA162" s="55" t="n">
        <v>0.7692307692307693</v>
      </c>
      <c r="AB162" s="55" t="n">
        <v>0.8333333333333334</v>
      </c>
      <c r="AC162" s="49" t="inlineStr">
        <is>
          <t>corrido</t>
        </is>
      </c>
      <c r="AD162" s="49" t="inlineStr">
        <is>
          <t>Huber limpio con tuning temporal interno | metric=mae | inner_splits=3</t>
        </is>
      </c>
      <c r="AE162" s="49" t="inlineStr">
        <is>
          <t>run_e2_huber_clean.py</t>
        </is>
      </c>
      <c r="AF162" s="49" t="inlineStr">
        <is>
          <t>Scripts/Modeling/run_e2_huber_clean.py</t>
        </is>
      </c>
      <c r="AG162" s="49" t="inlineStr">
        <is>
          <t>Experimentos/runs/E2_v1_clean_20260323_050029</t>
        </is>
      </c>
      <c r="AH162" s="49" t="inlineStr">
        <is>
          <t>Experimentos/runs/E2_v1_clean_20260323_050029/scripts/run_e2_huber_clean.py</t>
        </is>
      </c>
      <c r="AI162" s="49" t="inlineStr">
        <is>
          <t>Experimentos/runs/E2_v1_clean_20260323_050029/parametros_run.json</t>
        </is>
      </c>
      <c r="AJ162" s="49" t="inlineStr">
        <is>
          <t>Experimentos/runs/E2_v1_clean_20260323_050029/metricas_horizonte.json</t>
        </is>
      </c>
      <c r="AK162" s="49" t="inlineStr">
        <is>
          <t>2026-03-23 05:00:29</t>
        </is>
      </c>
      <c r="AL162" s="49" t="n"/>
      <c r="AM162" s="49" t="n"/>
      <c r="AN162" s="49" t="n"/>
      <c r="AO162" s="49" t="n"/>
      <c r="AP162" s="49" t="n"/>
      <c r="AQ162" s="49" t="n"/>
      <c r="AR162" s="49" t="n"/>
      <c r="AS162" s="49" t="n"/>
      <c r="AT162" s="49" t="n"/>
      <c r="AU162" s="49" t="n"/>
      <c r="AV162" s="49" t="n"/>
      <c r="AW162" s="49" t="n"/>
      <c r="AX162" s="49" t="n"/>
      <c r="AY162" s="49" t="n"/>
    </row>
    <row r="163" ht="15" customHeight="1" s="27">
      <c r="A163" s="49" t="inlineStr">
        <is>
          <t>2026-03-23 05:00:29</t>
        </is>
      </c>
      <c r="B163" s="49" t="inlineStr">
        <is>
          <t>E2_v1_clean</t>
        </is>
      </c>
      <c r="C163" s="50" t="inlineStr">
        <is>
          <t>E2</t>
        </is>
      </c>
      <c r="D163" s="50" t="inlineStr">
        <is>
          <t>robusto</t>
        </is>
      </c>
      <c r="E163" s="50" t="inlineStr">
        <is>
          <t>huber_tscv</t>
        </is>
      </c>
      <c r="F163" s="50" t="n">
        <v>2</v>
      </c>
      <c r="G163" s="49" t="inlineStr">
        <is>
          <t>nivel</t>
        </is>
      </c>
      <c r="H163" s="50" t="inlineStr">
        <is>
          <t>y_t + lags [1, 2, 3, 4, 5, 6]</t>
        </is>
      </c>
      <c r="I163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63" s="50" t="inlineStr">
        <is>
          <t>standard_scaler</t>
        </is>
      </c>
      <c r="K163" s="50" t="inlineStr">
        <is>
          <t>corr</t>
        </is>
      </c>
      <c r="L163" s="50" t="inlineStr">
        <is>
          <t>walk-forward_expanding</t>
        </is>
      </c>
      <c r="M163" s="49" t="inlineStr">
        <is>
          <t>2024-10-14 a 2026-03-02</t>
        </is>
      </c>
      <c r="N163" s="49" t="inlineStr">
        <is>
          <t>{"feature_candidates": 83, "feature_mode": "corr", "horizon": 2, "initial_train_size": 40, "lags": [1, 2, 3, 4, 5, 6], "model": "huber_tscv", "model_params": {"inner_splits": 3, "param_grid": {"alpha": [1e-06, 9.999999999999999e-06, 0.0001, 0.001, 0.01, 0.1], "epsilon": [1.1, 1.2, 1.35, 1.5, 1.75, 2.0], "max_iter": [1000], "tol": [0.0001]}, "transform_mode": "standard", "tuning_metric": "mae", "winsor_lower_quantile": 0.05, "winsor_upper_quantile": 0.95}, "rows_eval": 25, "rows_modeling": 65, "selected_feature_count_avg": 30.0, "target_mode": "nivel", "transform_mode": "standard"}</t>
        </is>
      </c>
      <c r="O163" s="51" t="n">
        <v>0.35</v>
      </c>
      <c r="P163" s="51" t="n">
        <v>0.25</v>
      </c>
      <c r="Q163" s="51" t="n">
        <v>0.25</v>
      </c>
      <c r="R163" s="51" t="n">
        <v>0.1</v>
      </c>
      <c r="S163" s="52" t="n">
        <v>0.25</v>
      </c>
      <c r="T163" s="53" t="n">
        <v>0.198125454400369</v>
      </c>
      <c r="U163" s="53" t="n">
        <v>0.48</v>
      </c>
      <c r="V163" s="53" t="n">
        <v>0.3</v>
      </c>
      <c r="W163" s="53" t="n">
        <v>0.84</v>
      </c>
      <c r="X163" s="54" t="n">
        <v>0.0870859772600323</v>
      </c>
      <c r="Y163" s="53" t="n">
        <v>0.1219034354658784</v>
      </c>
      <c r="Z163" s="53" t="n">
        <v>0.1466092520563559</v>
      </c>
      <c r="AA163" s="55" t="n">
        <v>0.52</v>
      </c>
      <c r="AB163" s="55" t="n">
        <v>0.7</v>
      </c>
      <c r="AC163" s="49" t="inlineStr">
        <is>
          <t>corrido</t>
        </is>
      </c>
      <c r="AD163" s="49" t="inlineStr">
        <is>
          <t>Huber limpio con tuning temporal interno | metric=mae | inner_splits=3</t>
        </is>
      </c>
      <c r="AE163" s="49" t="inlineStr">
        <is>
          <t>run_e2_huber_clean.py</t>
        </is>
      </c>
      <c r="AF163" s="49" t="inlineStr">
        <is>
          <t>Scripts/Modeling/run_e2_huber_clean.py</t>
        </is>
      </c>
      <c r="AG163" s="49" t="inlineStr">
        <is>
          <t>Experimentos/runs/E2_v1_clean_20260323_050029</t>
        </is>
      </c>
      <c r="AH163" s="49" t="inlineStr">
        <is>
          <t>Experimentos/runs/E2_v1_clean_20260323_050029/scripts/run_e2_huber_clean.py</t>
        </is>
      </c>
      <c r="AI163" s="49" t="inlineStr">
        <is>
          <t>Experimentos/runs/E2_v1_clean_20260323_050029/parametros_run.json</t>
        </is>
      </c>
      <c r="AJ163" s="49" t="inlineStr">
        <is>
          <t>Experimentos/runs/E2_v1_clean_20260323_050029/metricas_horizonte.json</t>
        </is>
      </c>
      <c r="AK163" s="49" t="inlineStr">
        <is>
          <t>2026-03-23 05:00:29</t>
        </is>
      </c>
      <c r="AL163" s="49" t="n"/>
      <c r="AM163" s="49" t="n"/>
      <c r="AN163" s="49" t="n"/>
      <c r="AO163" s="49" t="n"/>
      <c r="AP163" s="49" t="n"/>
      <c r="AQ163" s="49" t="n"/>
      <c r="AR163" s="49" t="n"/>
      <c r="AS163" s="49" t="n"/>
      <c r="AT163" s="49" t="n"/>
      <c r="AU163" s="49" t="n"/>
      <c r="AV163" s="49" t="n"/>
      <c r="AW163" s="49" t="n"/>
      <c r="AX163" s="49" t="n"/>
      <c r="AY163" s="49" t="n"/>
    </row>
    <row r="164" ht="15" customHeight="1" s="27">
      <c r="A164" s="49" t="inlineStr">
        <is>
          <t>2026-03-23 05:00:29</t>
        </is>
      </c>
      <c r="B164" s="49" t="inlineStr">
        <is>
          <t>E2_v1_clean</t>
        </is>
      </c>
      <c r="C164" s="50" t="inlineStr">
        <is>
          <t>E2</t>
        </is>
      </c>
      <c r="D164" s="50" t="inlineStr">
        <is>
          <t>robusto</t>
        </is>
      </c>
      <c r="E164" s="50" t="inlineStr">
        <is>
          <t>huber_tscv</t>
        </is>
      </c>
      <c r="F164" s="50" t="n">
        <v>3</v>
      </c>
      <c r="G164" s="49" t="inlineStr">
        <is>
          <t>nivel</t>
        </is>
      </c>
      <c r="H164" s="50" t="inlineStr">
        <is>
          <t>y_t + lags [1, 2, 3, 4, 5, 6]</t>
        </is>
      </c>
      <c r="I164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64" s="50" t="inlineStr">
        <is>
          <t>standard_scaler</t>
        </is>
      </c>
      <c r="K164" s="50" t="inlineStr">
        <is>
          <t>corr</t>
        </is>
      </c>
      <c r="L164" s="50" t="inlineStr">
        <is>
          <t>walk-forward_expanding</t>
        </is>
      </c>
      <c r="M164" s="49" t="inlineStr">
        <is>
          <t>2024-10-14 a 2026-03-02</t>
        </is>
      </c>
      <c r="N164" s="49" t="inlineStr">
        <is>
          <t>{"feature_candidates": 83, "feature_mode": "corr", "horizon": 3, "initial_train_size": 40, "lags": [1, 2, 3, 4, 5, 6], "model": "huber_tscv", "model_params": {"inner_splits": 3, "param_grid": {"alpha": [1e-06, 9.999999999999999e-06, 0.0001, 0.001, 0.01, 0.1], "epsilon": [1.1, 1.2, 1.35, 1.5, 1.75, 2.0], "max_iter": [1000], "tol": [0.0001]}, "transform_mode": "standard", "tuning_metric": "mae", "winsor_lower_quantile": 0.05, "winsor_upper_quantile": 0.95}, "rows_eval": 24, "rows_modeling": 64, "selected_feature_count_avg": 30.0, "target_mode": "nivel", "transform_mode": "standard"}</t>
        </is>
      </c>
      <c r="O164" s="51" t="n">
        <v>0.35</v>
      </c>
      <c r="P164" s="51" t="n">
        <v>0.25</v>
      </c>
      <c r="Q164" s="51" t="n">
        <v>0.25</v>
      </c>
      <c r="R164" s="51" t="n">
        <v>0.1</v>
      </c>
      <c r="S164" s="52" t="n">
        <v>0.3</v>
      </c>
      <c r="T164" s="53" t="n">
        <v>0.258896465891488</v>
      </c>
      <c r="U164" s="53" t="n">
        <v>0.2916666666666666</v>
      </c>
      <c r="V164" s="53" t="n">
        <v>0.1818181818181818</v>
      </c>
      <c r="W164" s="53" t="n">
        <v>0.7083333333333334</v>
      </c>
      <c r="X164" s="54" t="n">
        <v>0.08394549255496986</v>
      </c>
      <c r="Y164" s="53" t="n">
        <v>0.1592948706044114</v>
      </c>
      <c r="Z164" s="53" t="n">
        <v>0.2059121290091017</v>
      </c>
      <c r="AA164" s="55" t="n">
        <v>0.7083333333333334</v>
      </c>
      <c r="AB164" s="55" t="n">
        <v>0.8181818181818182</v>
      </c>
      <c r="AC164" s="49" t="inlineStr">
        <is>
          <t>corrido</t>
        </is>
      </c>
      <c r="AD164" s="49" t="inlineStr">
        <is>
          <t>Huber limpio con tuning temporal interno | metric=mae | inner_splits=3</t>
        </is>
      </c>
      <c r="AE164" s="49" t="inlineStr">
        <is>
          <t>run_e2_huber_clean.py</t>
        </is>
      </c>
      <c r="AF164" s="49" t="inlineStr">
        <is>
          <t>Scripts/Modeling/run_e2_huber_clean.py</t>
        </is>
      </c>
      <c r="AG164" s="49" t="inlineStr">
        <is>
          <t>Experimentos/runs/E2_v1_clean_20260323_050029</t>
        </is>
      </c>
      <c r="AH164" s="49" t="inlineStr">
        <is>
          <t>Experimentos/runs/E2_v1_clean_20260323_050029/scripts/run_e2_huber_clean.py</t>
        </is>
      </c>
      <c r="AI164" s="49" t="inlineStr">
        <is>
          <t>Experimentos/runs/E2_v1_clean_20260323_050029/parametros_run.json</t>
        </is>
      </c>
      <c r="AJ164" s="49" t="inlineStr">
        <is>
          <t>Experimentos/runs/E2_v1_clean_20260323_050029/metricas_horizonte.json</t>
        </is>
      </c>
      <c r="AK164" s="49" t="inlineStr">
        <is>
          <t>2026-03-23 05:00:29</t>
        </is>
      </c>
      <c r="AL164" s="49" t="n"/>
      <c r="AM164" s="49" t="n"/>
      <c r="AN164" s="49" t="n"/>
      <c r="AO164" s="49" t="n"/>
      <c r="AP164" s="49" t="n"/>
      <c r="AQ164" s="49" t="n"/>
      <c r="AR164" s="49" t="n"/>
      <c r="AS164" s="49" t="n"/>
      <c r="AT164" s="49" t="n"/>
      <c r="AU164" s="49" t="n"/>
      <c r="AV164" s="49" t="n"/>
      <c r="AW164" s="49" t="n"/>
      <c r="AX164" s="49" t="n"/>
      <c r="AY164" s="49" t="n"/>
    </row>
    <row r="165" ht="15" customHeight="1" s="27">
      <c r="A165" s="49" t="inlineStr">
        <is>
          <t>2026-03-23 05:00:29</t>
        </is>
      </c>
      <c r="B165" s="49" t="inlineStr">
        <is>
          <t>E2_v1_clean</t>
        </is>
      </c>
      <c r="C165" s="50" t="inlineStr">
        <is>
          <t>E2</t>
        </is>
      </c>
      <c r="D165" s="50" t="inlineStr">
        <is>
          <t>robusto</t>
        </is>
      </c>
      <c r="E165" s="50" t="inlineStr">
        <is>
          <t>huber_tscv</t>
        </is>
      </c>
      <c r="F165" s="50" t="n">
        <v>4</v>
      </c>
      <c r="G165" s="49" t="inlineStr">
        <is>
          <t>nivel</t>
        </is>
      </c>
      <c r="H165" s="50" t="inlineStr">
        <is>
          <t>y_t + lags [1, 2, 3, 4, 5, 6]</t>
        </is>
      </c>
      <c r="I165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65" s="50" t="inlineStr">
        <is>
          <t>standard_scaler</t>
        </is>
      </c>
      <c r="K165" s="50" t="inlineStr">
        <is>
          <t>corr</t>
        </is>
      </c>
      <c r="L165" s="50" t="inlineStr">
        <is>
          <t>walk-forward_expanding</t>
        </is>
      </c>
      <c r="M165" s="49" t="inlineStr">
        <is>
          <t>2024-10-14 a 2026-03-02</t>
        </is>
      </c>
      <c r="N165" s="49" t="inlineStr">
        <is>
          <t>{"feature_candidates": 83, "feature_mode": "corr", "horizon": 4, "initial_train_size": 40, "lags": [1, 2, 3, 4, 5, 6], "model": "huber_tscv", "model_params": {"inner_splits": 3, "param_grid": {"alpha": [1e-06, 9.999999999999999e-06, 0.0001, 0.001, 0.01, 0.1], "epsilon": [1.1, 1.2, 1.35, 1.5, 1.75, 2.0], "max_iter": [1000], "tol": [0.0001]}, "transform_mode": "standard", "tuning_metric": "mae", "winsor_lower_quantile": 0.05, "winsor_upper_quantile": 0.95}, "rows_eval": 23, "rows_modeling": 63, "selected_feature_count_avg": 30.0, "target_mode": "nivel", "transform_mode": "standard"}</t>
        </is>
      </c>
      <c r="O165" s="51" t="n">
        <v>0.35</v>
      </c>
      <c r="P165" s="51" t="n">
        <v>0.25</v>
      </c>
      <c r="Q165" s="51" t="n">
        <v>0.25</v>
      </c>
      <c r="R165" s="51" t="n">
        <v>0.1</v>
      </c>
      <c r="S165" s="52" t="n">
        <v>0.15</v>
      </c>
      <c r="T165" s="53" t="n">
        <v>0.3118545795245171</v>
      </c>
      <c r="U165" s="53" t="n">
        <v>0.4782608695652174</v>
      </c>
      <c r="V165" s="53" t="n">
        <v>0.4444444444444444</v>
      </c>
      <c r="W165" s="53" t="n">
        <v>0.7391304347826086</v>
      </c>
      <c r="X165" s="54" t="n">
        <v>0.06206077122213859</v>
      </c>
      <c r="Y165" s="53" t="n">
        <v>0.1918791541695755</v>
      </c>
      <c r="Z165" s="53" t="n">
        <v>0.2633428327259931</v>
      </c>
      <c r="AA165" s="55" t="n">
        <v>0.5217391304347826</v>
      </c>
      <c r="AB165" s="55" t="n">
        <v>0.5555555555555556</v>
      </c>
      <c r="AC165" s="49" t="inlineStr">
        <is>
          <t>corrido</t>
        </is>
      </c>
      <c r="AD165" s="49" t="inlineStr">
        <is>
          <t>Huber limpio con tuning temporal interno | metric=mae | inner_splits=3</t>
        </is>
      </c>
      <c r="AE165" s="49" t="inlineStr">
        <is>
          <t>run_e2_huber_clean.py</t>
        </is>
      </c>
      <c r="AF165" s="49" t="inlineStr">
        <is>
          <t>Scripts/Modeling/run_e2_huber_clean.py</t>
        </is>
      </c>
      <c r="AG165" s="49" t="inlineStr">
        <is>
          <t>Experimentos/runs/E2_v1_clean_20260323_050029</t>
        </is>
      </c>
      <c r="AH165" s="49" t="inlineStr">
        <is>
          <t>Experimentos/runs/E2_v1_clean_20260323_050029/scripts/run_e2_huber_clean.py</t>
        </is>
      </c>
      <c r="AI165" s="49" t="inlineStr">
        <is>
          <t>Experimentos/runs/E2_v1_clean_20260323_050029/parametros_run.json</t>
        </is>
      </c>
      <c r="AJ165" s="49" t="inlineStr">
        <is>
          <t>Experimentos/runs/E2_v1_clean_20260323_050029/metricas_horizonte.json</t>
        </is>
      </c>
      <c r="AK165" s="49" t="inlineStr">
        <is>
          <t>2026-03-23 05:00:29</t>
        </is>
      </c>
      <c r="AL165" s="49" t="n"/>
      <c r="AM165" s="49" t="n"/>
      <c r="AN165" s="49" t="n"/>
      <c r="AO165" s="49" t="n"/>
      <c r="AP165" s="49" t="n"/>
      <c r="AQ165" s="49" t="n"/>
      <c r="AR165" s="49" t="n"/>
      <c r="AS165" s="49" t="n"/>
      <c r="AT165" s="49" t="n"/>
      <c r="AU165" s="49" t="n"/>
      <c r="AV165" s="49" t="n"/>
      <c r="AW165" s="49" t="n"/>
      <c r="AX165" s="49" t="n"/>
      <c r="AY165" s="49" t="n"/>
    </row>
    <row r="166" ht="15" customHeight="1" s="27">
      <c r="A166" s="49" t="inlineStr">
        <is>
          <t>2026-03-23 05:41:01</t>
        </is>
      </c>
      <c r="B166" s="49" t="inlineStr">
        <is>
          <t>E2_v2_clean</t>
        </is>
      </c>
      <c r="C166" s="50" t="inlineStr">
        <is>
          <t>E2</t>
        </is>
      </c>
      <c r="D166" s="50" t="inlineStr">
        <is>
          <t>robusto</t>
        </is>
      </c>
      <c r="E166" s="50" t="inlineStr">
        <is>
          <t>huber_tscv</t>
        </is>
      </c>
      <c r="F166" s="50" t="n">
        <v>1</v>
      </c>
      <c r="G166" s="49" t="inlineStr">
        <is>
          <t>nivel</t>
        </is>
      </c>
      <c r="H166" s="50" t="inlineStr">
        <is>
          <t>y_t + lags [1, 2, 3, 4, 5, 6]</t>
        </is>
      </c>
      <c r="I166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66" s="50" t="inlineStr">
        <is>
          <t>standard_scaler</t>
        </is>
      </c>
      <c r="K166" s="50" t="inlineStr">
        <is>
          <t>corr</t>
        </is>
      </c>
      <c r="L166" s="50" t="inlineStr">
        <is>
          <t>walk-forward_expanding</t>
        </is>
      </c>
      <c r="M166" s="49" t="inlineStr">
        <is>
          <t>2024-10-14 a 2026-03-02</t>
        </is>
      </c>
      <c r="N166" s="49" t="inlineStr">
        <is>
          <t>{"feature_candidates": 83, "feature_mode": "corr", "horizon": 1, "initial_train_size": 40, "lags": [1, 2, 3, 4, 5, 6], "model": "huber_tscv", "model_params": {"hypothesis_note": "control_de_convergencia", "inner_splits": 3, "param_grid": {"alpha": [1e-06, 9.999999999999999e-06, 0.0001, 0.001, 0.01, 0.1], "epsilon": [1.1, 1.2, 1.35, 1.5, 1.75, 2.0], "max_iter": [5000], "tol": [0.0001, 0.001]}, "transform_mode": "standard", "tuning_metric": "mae", "winsor_lower_quantile": 0.05, "winsor_upper_quantile": 0.95}, "rows_eval": 26, "rows_modeling": 66, "selected_feature_count_avg": 30.0, "target_mode": "nivel", "transform_mode": "standard"}</t>
        </is>
      </c>
      <c r="O166" s="51" t="n">
        <v>0.35</v>
      </c>
      <c r="P166" s="51" t="n">
        <v>0.25</v>
      </c>
      <c r="Q166" s="51" t="n">
        <v>0.25</v>
      </c>
      <c r="R166" s="51" t="n">
        <v>0.1</v>
      </c>
      <c r="S166" s="52" t="n">
        <v>0.3</v>
      </c>
      <c r="T166" s="53" t="n">
        <v>0.1848095621248963</v>
      </c>
      <c r="U166" s="53" t="n">
        <v>0.2307692307692307</v>
      </c>
      <c r="V166" s="53" t="n">
        <v>0.1666666666666666</v>
      </c>
      <c r="W166" s="53" t="n">
        <v>0.6538461538461539</v>
      </c>
      <c r="X166" s="54" t="n">
        <v>0.06882808094619103</v>
      </c>
      <c r="Y166" s="53" t="n">
        <v>0.1137103791037543</v>
      </c>
      <c r="Z166" s="53" t="n">
        <v>0.1491199728508273</v>
      </c>
      <c r="AA166" s="55" t="n">
        <v>0.7692307692307693</v>
      </c>
      <c r="AB166" s="55" t="n">
        <v>0.8333333333333334</v>
      </c>
      <c r="AC166" s="49" t="inlineStr">
        <is>
          <t>corrido</t>
        </is>
      </c>
      <c r="AD166" s="49" t="inlineStr">
        <is>
          <t>Huber limpio con tuning temporal interno | hipotesis=control_de_convergencia | metric=mae | inner_splits=3</t>
        </is>
      </c>
      <c r="AE166" s="49" t="inlineStr">
        <is>
          <t>run_e2_huber_clean.py</t>
        </is>
      </c>
      <c r="AF166" s="49" t="inlineStr">
        <is>
          <t>Scripts/Modeling/run_e2_huber_clean.py</t>
        </is>
      </c>
      <c r="AG166" s="49" t="inlineStr">
        <is>
          <t>Experimentos/runs/E2_v2_clean_20260323_054101</t>
        </is>
      </c>
      <c r="AH166" s="49" t="inlineStr">
        <is>
          <t>Experimentos/runs/E2_v2_clean_20260323_054101/scripts/run_e2_huber_clean.py</t>
        </is>
      </c>
      <c r="AI166" s="49" t="inlineStr">
        <is>
          <t>Experimentos/runs/E2_v2_clean_20260323_054101/parametros_run.json</t>
        </is>
      </c>
      <c r="AJ166" s="49" t="inlineStr">
        <is>
          <t>Experimentos/runs/E2_v2_clean_20260323_054101/metricas_horizonte.json</t>
        </is>
      </c>
      <c r="AK166" s="49" t="inlineStr">
        <is>
          <t>2026-03-23 05:41:01</t>
        </is>
      </c>
      <c r="AL166" s="49" t="n"/>
      <c r="AM166" s="49" t="n"/>
      <c r="AN166" s="49" t="n"/>
      <c r="AO166" s="49" t="n"/>
      <c r="AP166" s="49" t="n"/>
      <c r="AQ166" s="49" t="n"/>
      <c r="AR166" s="49" t="n"/>
      <c r="AS166" s="49" t="n"/>
      <c r="AT166" s="49" t="n"/>
      <c r="AU166" s="49" t="n"/>
      <c r="AV166" s="49" t="n"/>
      <c r="AW166" s="49" t="n"/>
      <c r="AX166" s="49" t="n"/>
      <c r="AY166" s="49" t="n"/>
    </row>
    <row r="167" ht="15" customHeight="1" s="27">
      <c r="A167" s="49" t="inlineStr">
        <is>
          <t>2026-03-23 05:41:01</t>
        </is>
      </c>
      <c r="B167" s="49" t="inlineStr">
        <is>
          <t>E2_v2_clean</t>
        </is>
      </c>
      <c r="C167" s="50" t="inlineStr">
        <is>
          <t>E2</t>
        </is>
      </c>
      <c r="D167" s="50" t="inlineStr">
        <is>
          <t>robusto</t>
        </is>
      </c>
      <c r="E167" s="50" t="inlineStr">
        <is>
          <t>huber_tscv</t>
        </is>
      </c>
      <c r="F167" s="50" t="n">
        <v>2</v>
      </c>
      <c r="G167" s="49" t="inlineStr">
        <is>
          <t>nivel</t>
        </is>
      </c>
      <c r="H167" s="50" t="inlineStr">
        <is>
          <t>y_t + lags [1, 2, 3, 4, 5, 6]</t>
        </is>
      </c>
      <c r="I167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67" s="50" t="inlineStr">
        <is>
          <t>standard_scaler</t>
        </is>
      </c>
      <c r="K167" s="50" t="inlineStr">
        <is>
          <t>corr</t>
        </is>
      </c>
      <c r="L167" s="50" t="inlineStr">
        <is>
          <t>walk-forward_expanding</t>
        </is>
      </c>
      <c r="M167" s="49" t="inlineStr">
        <is>
          <t>2024-10-14 a 2026-03-02</t>
        </is>
      </c>
      <c r="N167" s="49" t="inlineStr">
        <is>
          <t>{"feature_candidates": 83, "feature_mode": "corr", "horizon": 2, "initial_train_size": 40, "lags": [1, 2, 3, 4, 5, 6], "model": "huber_tscv", "model_params": {"hypothesis_note": "control_de_convergencia", "inner_splits": 3, "param_grid": {"alpha": [1e-06, 9.999999999999999e-06, 0.0001, 0.001, 0.01, 0.1], "epsilon": [1.1, 1.2, 1.35, 1.5, 1.75, 2.0], "max_iter": [5000], "tol": [0.0001, 0.001]}, "transform_mode": "standard", "tuning_metric": "mae", "winsor_lower_quantile": 0.05, "winsor_upper_quantile": 0.95}, "rows_eval": 25, "rows_modeling": 65, "selected_feature_count_avg": 30.0, "target_mode": "nivel", "transform_mode": "standard"}</t>
        </is>
      </c>
      <c r="O167" s="51" t="n">
        <v>0.35</v>
      </c>
      <c r="P167" s="51" t="n">
        <v>0.25</v>
      </c>
      <c r="Q167" s="51" t="n">
        <v>0.25</v>
      </c>
      <c r="R167" s="51" t="n">
        <v>0.1</v>
      </c>
      <c r="S167" s="52" t="n">
        <v>0.25</v>
      </c>
      <c r="T167" s="53" t="n">
        <v>0.198125454400369</v>
      </c>
      <c r="U167" s="53" t="n">
        <v>0.48</v>
      </c>
      <c r="V167" s="53" t="n">
        <v>0.3</v>
      </c>
      <c r="W167" s="53" t="n">
        <v>0.84</v>
      </c>
      <c r="X167" s="54" t="n">
        <v>0.0870859772600323</v>
      </c>
      <c r="Y167" s="53" t="n">
        <v>0.1219034354658784</v>
      </c>
      <c r="Z167" s="53" t="n">
        <v>0.1466092520563559</v>
      </c>
      <c r="AA167" s="55" t="n">
        <v>0.52</v>
      </c>
      <c r="AB167" s="55" t="n">
        <v>0.7</v>
      </c>
      <c r="AC167" s="49" t="inlineStr">
        <is>
          <t>corrido</t>
        </is>
      </c>
      <c r="AD167" s="49" t="inlineStr">
        <is>
          <t>Huber limpio con tuning temporal interno | hipotesis=control_de_convergencia | metric=mae | inner_splits=3</t>
        </is>
      </c>
      <c r="AE167" s="49" t="inlineStr">
        <is>
          <t>run_e2_huber_clean.py</t>
        </is>
      </c>
      <c r="AF167" s="49" t="inlineStr">
        <is>
          <t>Scripts/Modeling/run_e2_huber_clean.py</t>
        </is>
      </c>
      <c r="AG167" s="49" t="inlineStr">
        <is>
          <t>Experimentos/runs/E2_v2_clean_20260323_054101</t>
        </is>
      </c>
      <c r="AH167" s="49" t="inlineStr">
        <is>
          <t>Experimentos/runs/E2_v2_clean_20260323_054101/scripts/run_e2_huber_clean.py</t>
        </is>
      </c>
      <c r="AI167" s="49" t="inlineStr">
        <is>
          <t>Experimentos/runs/E2_v2_clean_20260323_054101/parametros_run.json</t>
        </is>
      </c>
      <c r="AJ167" s="49" t="inlineStr">
        <is>
          <t>Experimentos/runs/E2_v2_clean_20260323_054101/metricas_horizonte.json</t>
        </is>
      </c>
      <c r="AK167" s="49" t="inlineStr">
        <is>
          <t>2026-03-23 05:41:01</t>
        </is>
      </c>
      <c r="AL167" s="49" t="n"/>
      <c r="AM167" s="49" t="n"/>
      <c r="AN167" s="49" t="n"/>
      <c r="AO167" s="49" t="n"/>
      <c r="AP167" s="49" t="n"/>
      <c r="AQ167" s="49" t="n"/>
      <c r="AR167" s="49" t="n"/>
      <c r="AS167" s="49" t="n"/>
      <c r="AT167" s="49" t="n"/>
      <c r="AU167" s="49" t="n"/>
      <c r="AV167" s="49" t="n"/>
      <c r="AW167" s="49" t="n"/>
      <c r="AX167" s="49" t="n"/>
      <c r="AY167" s="49" t="n"/>
    </row>
    <row r="168" ht="15" customHeight="1" s="27">
      <c r="A168" s="49" t="inlineStr">
        <is>
          <t>2026-03-23 05:41:01</t>
        </is>
      </c>
      <c r="B168" s="49" t="inlineStr">
        <is>
          <t>E2_v2_clean</t>
        </is>
      </c>
      <c r="C168" s="50" t="inlineStr">
        <is>
          <t>E2</t>
        </is>
      </c>
      <c r="D168" s="50" t="inlineStr">
        <is>
          <t>robusto</t>
        </is>
      </c>
      <c r="E168" s="50" t="inlineStr">
        <is>
          <t>huber_tscv</t>
        </is>
      </c>
      <c r="F168" s="50" t="n">
        <v>3</v>
      </c>
      <c r="G168" s="49" t="inlineStr">
        <is>
          <t>nivel</t>
        </is>
      </c>
      <c r="H168" s="50" t="inlineStr">
        <is>
          <t>y_t + lags [1, 2, 3, 4, 5, 6]</t>
        </is>
      </c>
      <c r="I168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68" s="50" t="inlineStr">
        <is>
          <t>standard_scaler</t>
        </is>
      </c>
      <c r="K168" s="50" t="inlineStr">
        <is>
          <t>corr</t>
        </is>
      </c>
      <c r="L168" s="50" t="inlineStr">
        <is>
          <t>walk-forward_expanding</t>
        </is>
      </c>
      <c r="M168" s="49" t="inlineStr">
        <is>
          <t>2024-10-14 a 2026-03-02</t>
        </is>
      </c>
      <c r="N168" s="49" t="inlineStr">
        <is>
          <t>{"feature_candidates": 83, "feature_mode": "corr", "horizon": 3, "initial_train_size": 40, "lags": [1, 2, 3, 4, 5, 6], "model": "huber_tscv", "model_params": {"hypothesis_note": "control_de_convergencia", "inner_splits": 3, "param_grid": {"alpha": [1e-06, 9.999999999999999e-06, 0.0001, 0.001, 0.01, 0.1], "epsilon": [1.1, 1.2, 1.35, 1.5, 1.75, 2.0], "max_iter": [5000], "tol": [0.0001, 0.001]}, "transform_mode": "standard", "tuning_metric": "mae", "winsor_lower_quantile": 0.05, "winsor_upper_quantile": 0.95}, "rows_eval": 24, "rows_modeling": 64, "selected_feature_count_avg": 30.0, "target_mode": "nivel", "transform_mode": "standard"}</t>
        </is>
      </c>
      <c r="O168" s="51" t="n">
        <v>0.35</v>
      </c>
      <c r="P168" s="51" t="n">
        <v>0.25</v>
      </c>
      <c r="Q168" s="51" t="n">
        <v>0.25</v>
      </c>
      <c r="R168" s="51" t="n">
        <v>0.1</v>
      </c>
      <c r="S168" s="52" t="n">
        <v>0.3</v>
      </c>
      <c r="T168" s="53" t="n">
        <v>0.258896465891488</v>
      </c>
      <c r="U168" s="53" t="n">
        <v>0.2916666666666666</v>
      </c>
      <c r="V168" s="53" t="n">
        <v>0.1818181818181818</v>
      </c>
      <c r="W168" s="53" t="n">
        <v>0.7083333333333334</v>
      </c>
      <c r="X168" s="54" t="n">
        <v>0.08394549255496986</v>
      </c>
      <c r="Y168" s="53" t="n">
        <v>0.1592948706044114</v>
      </c>
      <c r="Z168" s="53" t="n">
        <v>0.2059121290091017</v>
      </c>
      <c r="AA168" s="55" t="n">
        <v>0.7083333333333334</v>
      </c>
      <c r="AB168" s="55" t="n">
        <v>0.8181818181818182</v>
      </c>
      <c r="AC168" s="49" t="inlineStr">
        <is>
          <t>corrido</t>
        </is>
      </c>
      <c r="AD168" s="49" t="inlineStr">
        <is>
          <t>Huber limpio con tuning temporal interno | hipotesis=control_de_convergencia | metric=mae | inner_splits=3</t>
        </is>
      </c>
      <c r="AE168" s="49" t="inlineStr">
        <is>
          <t>run_e2_huber_clean.py</t>
        </is>
      </c>
      <c r="AF168" s="49" t="inlineStr">
        <is>
          <t>Scripts/Modeling/run_e2_huber_clean.py</t>
        </is>
      </c>
      <c r="AG168" s="49" t="inlineStr">
        <is>
          <t>Experimentos/runs/E2_v2_clean_20260323_054101</t>
        </is>
      </c>
      <c r="AH168" s="49" t="inlineStr">
        <is>
          <t>Experimentos/runs/E2_v2_clean_20260323_054101/scripts/run_e2_huber_clean.py</t>
        </is>
      </c>
      <c r="AI168" s="49" t="inlineStr">
        <is>
          <t>Experimentos/runs/E2_v2_clean_20260323_054101/parametros_run.json</t>
        </is>
      </c>
      <c r="AJ168" s="49" t="inlineStr">
        <is>
          <t>Experimentos/runs/E2_v2_clean_20260323_054101/metricas_horizonte.json</t>
        </is>
      </c>
      <c r="AK168" s="49" t="inlineStr">
        <is>
          <t>2026-03-23 05:41:01</t>
        </is>
      </c>
      <c r="AL168" s="49" t="n"/>
      <c r="AM168" s="49" t="n"/>
      <c r="AN168" s="49" t="n"/>
      <c r="AO168" s="49" t="n"/>
      <c r="AP168" s="49" t="n"/>
      <c r="AQ168" s="49" t="n"/>
      <c r="AR168" s="49" t="n"/>
      <c r="AS168" s="49" t="n"/>
      <c r="AT168" s="49" t="n"/>
      <c r="AU168" s="49" t="n"/>
      <c r="AV168" s="49" t="n"/>
      <c r="AW168" s="49" t="n"/>
      <c r="AX168" s="49" t="n"/>
      <c r="AY168" s="49" t="n"/>
    </row>
    <row r="169" ht="15" customHeight="1" s="27">
      <c r="A169" s="49" t="inlineStr">
        <is>
          <t>2026-03-23 05:41:01</t>
        </is>
      </c>
      <c r="B169" s="49" t="inlineStr">
        <is>
          <t>E2_v2_clean</t>
        </is>
      </c>
      <c r="C169" s="50" t="inlineStr">
        <is>
          <t>E2</t>
        </is>
      </c>
      <c r="D169" s="50" t="inlineStr">
        <is>
          <t>robusto</t>
        </is>
      </c>
      <c r="E169" s="50" t="inlineStr">
        <is>
          <t>huber_tscv</t>
        </is>
      </c>
      <c r="F169" s="50" t="n">
        <v>4</v>
      </c>
      <c r="G169" s="49" t="inlineStr">
        <is>
          <t>nivel</t>
        </is>
      </c>
      <c r="H169" s="50" t="inlineStr">
        <is>
          <t>y_t + lags [1, 2, 3, 4, 5, 6]</t>
        </is>
      </c>
      <c r="I169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69" s="50" t="inlineStr">
        <is>
          <t>standard_scaler</t>
        </is>
      </c>
      <c r="K169" s="50" t="inlineStr">
        <is>
          <t>corr</t>
        </is>
      </c>
      <c r="L169" s="50" t="inlineStr">
        <is>
          <t>walk-forward_expanding</t>
        </is>
      </c>
      <c r="M169" s="49" t="inlineStr">
        <is>
          <t>2024-10-14 a 2026-03-02</t>
        </is>
      </c>
      <c r="N169" s="49" t="inlineStr">
        <is>
          <t>{"feature_candidates": 83, "feature_mode": "corr", "horizon": 4, "initial_train_size": 40, "lags": [1, 2, 3, 4, 5, 6], "model": "huber_tscv", "model_params": {"hypothesis_note": "control_de_convergencia", "inner_splits": 3, "param_grid": {"alpha": [1e-06, 9.999999999999999e-06, 0.0001, 0.001, 0.01, 0.1], "epsilon": [1.1, 1.2, 1.35, 1.5, 1.75, 2.0], "max_iter": [5000], "tol": [0.0001, 0.001]}, "transform_mode": "standard", "tuning_metric": "mae", "winsor_lower_quantile": 0.05, "winsor_upper_quantile": 0.95}, "rows_eval": 23, "rows_modeling": 63, "selected_feature_count_avg": 30.0, "target_mode": "nivel", "transform_mode": "standard"}</t>
        </is>
      </c>
      <c r="O169" s="51" t="n">
        <v>0.35</v>
      </c>
      <c r="P169" s="51" t="n">
        <v>0.25</v>
      </c>
      <c r="Q169" s="51" t="n">
        <v>0.25</v>
      </c>
      <c r="R169" s="51" t="n">
        <v>0.1</v>
      </c>
      <c r="S169" s="52" t="n">
        <v>0.15</v>
      </c>
      <c r="T169" s="53" t="n">
        <v>0.3118545795245171</v>
      </c>
      <c r="U169" s="53" t="n">
        <v>0.4782608695652174</v>
      </c>
      <c r="V169" s="53" t="n">
        <v>0.4444444444444444</v>
      </c>
      <c r="W169" s="53" t="n">
        <v>0.7391304347826086</v>
      </c>
      <c r="X169" s="54" t="n">
        <v>0.06206077122213859</v>
      </c>
      <c r="Y169" s="53" t="n">
        <v>0.1918791541695755</v>
      </c>
      <c r="Z169" s="53" t="n">
        <v>0.2633428327259931</v>
      </c>
      <c r="AA169" s="55" t="n">
        <v>0.5217391304347826</v>
      </c>
      <c r="AB169" s="55" t="n">
        <v>0.5555555555555556</v>
      </c>
      <c r="AC169" s="49" t="inlineStr">
        <is>
          <t>corrido</t>
        </is>
      </c>
      <c r="AD169" s="49" t="inlineStr">
        <is>
          <t>Huber limpio con tuning temporal interno | hipotesis=control_de_convergencia | metric=mae | inner_splits=3</t>
        </is>
      </c>
      <c r="AE169" s="49" t="inlineStr">
        <is>
          <t>run_e2_huber_clean.py</t>
        </is>
      </c>
      <c r="AF169" s="49" t="inlineStr">
        <is>
          <t>Scripts/Modeling/run_e2_huber_clean.py</t>
        </is>
      </c>
      <c r="AG169" s="49" t="inlineStr">
        <is>
          <t>Experimentos/runs/E2_v2_clean_20260323_054101</t>
        </is>
      </c>
      <c r="AH169" s="49" t="inlineStr">
        <is>
          <t>Experimentos/runs/E2_v2_clean_20260323_054101/scripts/run_e2_huber_clean.py</t>
        </is>
      </c>
      <c r="AI169" s="49" t="inlineStr">
        <is>
          <t>Experimentos/runs/E2_v2_clean_20260323_054101/parametros_run.json</t>
        </is>
      </c>
      <c r="AJ169" s="49" t="inlineStr">
        <is>
          <t>Experimentos/runs/E2_v2_clean_20260323_054101/metricas_horizonte.json</t>
        </is>
      </c>
      <c r="AK169" s="49" t="inlineStr">
        <is>
          <t>2026-03-23 05:41:01</t>
        </is>
      </c>
      <c r="AL169" s="49" t="n"/>
      <c r="AM169" s="49" t="n"/>
      <c r="AN169" s="49" t="n"/>
      <c r="AO169" s="49" t="n"/>
      <c r="AP169" s="49" t="n"/>
      <c r="AQ169" s="49" t="n"/>
      <c r="AR169" s="49" t="n"/>
      <c r="AS169" s="49" t="n"/>
      <c r="AT169" s="49" t="n"/>
      <c r="AU169" s="49" t="n"/>
      <c r="AV169" s="49" t="n"/>
      <c r="AW169" s="49" t="n"/>
      <c r="AX169" s="49" t="n"/>
      <c r="AY169" s="49" t="n"/>
    </row>
    <row r="170" ht="15" customHeight="1" s="27">
      <c r="A170" s="49" t="inlineStr">
        <is>
          <t>2026-03-23 06:12:13</t>
        </is>
      </c>
      <c r="B170" s="49" t="inlineStr">
        <is>
          <t>E2_v3_clean</t>
        </is>
      </c>
      <c r="C170" s="50" t="inlineStr">
        <is>
          <t>E2</t>
        </is>
      </c>
      <c r="D170" s="50" t="inlineStr">
        <is>
          <t>robusto</t>
        </is>
      </c>
      <c r="E170" s="50" t="inlineStr">
        <is>
          <t>huber_tscv</t>
        </is>
      </c>
      <c r="F170" s="50" t="n">
        <v>1</v>
      </c>
      <c r="G170" s="49" t="inlineStr">
        <is>
          <t>nivel</t>
        </is>
      </c>
      <c r="H170" s="50" t="inlineStr">
        <is>
          <t>y_t + lags [1, 2, 3, 4]</t>
        </is>
      </c>
      <c r="I170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70" s="50" t="inlineStr">
        <is>
          <t>standard_scaler</t>
        </is>
      </c>
      <c r="K170" s="50" t="inlineStr">
        <is>
          <t>corr</t>
        </is>
      </c>
      <c r="L170" s="50" t="inlineStr">
        <is>
          <t>walk-forward_expanding</t>
        </is>
      </c>
      <c r="M170" s="49" t="inlineStr">
        <is>
          <t>2024-10-14 a 2026-03-02</t>
        </is>
      </c>
      <c r="N170" s="49" t="inlineStr">
        <is>
          <t>{"feature_candidates": 59, "feature_mode": "corr", "horizon": 1, "initial_train_size": 40, "lags": [1, 2, 3, 4], "model": "huber_tscv", "model_params": {"hypothesis_note": "prueba_sin_memoria_larga", "inner_splits": 3, "param_grid": {"alpha": [1e-06, 9.999999999999999e-06, 0.0001, 0.001, 0.01, 0.1], "epsilon": [1.1, 1.2, 1.35, 1.5, 1.75, 2.0], "max_iter": [1000], "tol": [0.0001]}, "transform_mode": "standard", "tuning_metric": "mae", "winsor_lower_quantile": 0.05, "winsor_upper_quantile": 0.95}, "rows_eval": 28, "rows_modeling": 68, "selected_feature_count_avg": 21.0, "target_mode": "nivel", "transform_mode": "standard"}</t>
        </is>
      </c>
      <c r="O170" s="51" t="n">
        <v>0.35</v>
      </c>
      <c r="P170" s="51" t="n">
        <v>0.25</v>
      </c>
      <c r="Q170" s="51" t="n">
        <v>0.25</v>
      </c>
      <c r="R170" s="51" t="n">
        <v>0.1</v>
      </c>
      <c r="S170" s="52" t="n">
        <v>0.3</v>
      </c>
      <c r="T170" s="53" t="n">
        <v>0.1945968068018527</v>
      </c>
      <c r="U170" s="53" t="n">
        <v>0.25</v>
      </c>
      <c r="V170" s="53" t="n">
        <v>0.1538461538461539</v>
      </c>
      <c r="W170" s="53" t="n">
        <v>0.6785714285714286</v>
      </c>
      <c r="X170" s="54" t="n">
        <v>0.07107826910979893</v>
      </c>
      <c r="Y170" s="53" t="n">
        <v>0.1197323148185621</v>
      </c>
      <c r="Z170" s="53" t="n">
        <v>0.1499850473896837</v>
      </c>
      <c r="AA170" s="55" t="n">
        <v>0.75</v>
      </c>
      <c r="AB170" s="55" t="n">
        <v>0.8461538461538461</v>
      </c>
      <c r="AC170" s="49" t="inlineStr">
        <is>
          <t>corrido</t>
        </is>
      </c>
      <c r="AD170" s="49" t="inlineStr">
        <is>
          <t>Huber limpio con tuning temporal interno | hipotesis=prueba_sin_memoria_larga | metric=mae | inner_splits=3</t>
        </is>
      </c>
      <c r="AE170" s="49" t="inlineStr">
        <is>
          <t>run_e2_huber_clean.py</t>
        </is>
      </c>
      <c r="AF170" s="49" t="inlineStr">
        <is>
          <t>Scripts/Modeling/run_e2_huber_clean.py</t>
        </is>
      </c>
      <c r="AG170" s="49" t="inlineStr">
        <is>
          <t>Experimentos/runs/E2_v3_clean_20260323_061213</t>
        </is>
      </c>
      <c r="AH170" s="49" t="inlineStr">
        <is>
          <t>Experimentos/runs/E2_v3_clean_20260323_061213/scripts/run_e2_huber_clean.py</t>
        </is>
      </c>
      <c r="AI170" s="49" t="inlineStr">
        <is>
          <t>Experimentos/runs/E2_v3_clean_20260323_061213/parametros_run.json</t>
        </is>
      </c>
      <c r="AJ170" s="49" t="inlineStr">
        <is>
          <t>Experimentos/runs/E2_v3_clean_20260323_061213/metricas_horizonte.json</t>
        </is>
      </c>
      <c r="AK170" s="49" t="inlineStr">
        <is>
          <t>2026-03-23 06:12:13</t>
        </is>
      </c>
      <c r="AL170" s="49" t="n"/>
      <c r="AM170" s="49" t="n"/>
      <c r="AN170" s="49" t="n"/>
      <c r="AO170" s="49" t="n"/>
      <c r="AP170" s="49" t="n"/>
      <c r="AQ170" s="49" t="n"/>
      <c r="AR170" s="49" t="n"/>
      <c r="AS170" s="49" t="n"/>
      <c r="AT170" s="49" t="n"/>
      <c r="AU170" s="49" t="n"/>
      <c r="AV170" s="49" t="n"/>
      <c r="AW170" s="49" t="n"/>
      <c r="AX170" s="49" t="n"/>
      <c r="AY170" s="49" t="n"/>
    </row>
    <row r="171" ht="15" customHeight="1" s="27">
      <c r="A171" s="49" t="inlineStr">
        <is>
          <t>2026-03-23 06:12:13</t>
        </is>
      </c>
      <c r="B171" s="49" t="inlineStr">
        <is>
          <t>E2_v3_clean</t>
        </is>
      </c>
      <c r="C171" s="50" t="inlineStr">
        <is>
          <t>E2</t>
        </is>
      </c>
      <c r="D171" s="50" t="inlineStr">
        <is>
          <t>robusto</t>
        </is>
      </c>
      <c r="E171" s="50" t="inlineStr">
        <is>
          <t>huber_tscv</t>
        </is>
      </c>
      <c r="F171" s="50" t="n">
        <v>2</v>
      </c>
      <c r="G171" s="49" t="inlineStr">
        <is>
          <t>nivel</t>
        </is>
      </c>
      <c r="H171" s="50" t="inlineStr">
        <is>
          <t>y_t + lags [1, 2, 3, 4]</t>
        </is>
      </c>
      <c r="I171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71" s="50" t="inlineStr">
        <is>
          <t>standard_scaler</t>
        </is>
      </c>
      <c r="K171" s="50" t="inlineStr">
        <is>
          <t>corr</t>
        </is>
      </c>
      <c r="L171" s="50" t="inlineStr">
        <is>
          <t>walk-forward_expanding</t>
        </is>
      </c>
      <c r="M171" s="49" t="inlineStr">
        <is>
          <t>2024-10-14 a 2026-03-02</t>
        </is>
      </c>
      <c r="N171" s="49" t="inlineStr">
        <is>
          <t>{"feature_candidates": 59, "feature_mode": "corr", "horizon": 2, "initial_train_size": 40, "lags": [1, 2, 3, 4], "model": "huber_tscv", "model_params": {"hypothesis_note": "prueba_sin_memoria_larga", "inner_splits": 3, "param_grid": {"alpha": [1e-06, 9.999999999999999e-06, 0.0001, 0.001, 0.01, 0.1], "epsilon": [1.1, 1.2, 1.35, 1.5, 1.75, 2.0], "max_iter": [1000], "tol": [0.0001]}, "transform_mode": "standard", "tuning_metric": "mae", "winsor_lower_quantile": 0.05, "winsor_upper_quantile": 0.95}, "rows_eval": 27, "rows_modeling": 67, "selected_feature_count_avg": 21.0, "target_mode": "nivel", "transform_mode": "standard"}</t>
        </is>
      </c>
      <c r="O171" s="51" t="n">
        <v>0.35</v>
      </c>
      <c r="P171" s="51" t="n">
        <v>0.25</v>
      </c>
      <c r="Q171" s="51" t="n">
        <v>0.25</v>
      </c>
      <c r="R171" s="51" t="n">
        <v>0.1</v>
      </c>
      <c r="S171" s="52" t="n">
        <v>0.25</v>
      </c>
      <c r="T171" s="53" t="n">
        <v>0.1845910273692062</v>
      </c>
      <c r="U171" s="53" t="n">
        <v>0.3333333333333334</v>
      </c>
      <c r="V171" s="53" t="n">
        <v>0.25</v>
      </c>
      <c r="W171" s="53" t="n">
        <v>0.6666666666666666</v>
      </c>
      <c r="X171" s="54" t="n">
        <v>0.06927671489480554</v>
      </c>
      <c r="Y171" s="53" t="n">
        <v>0.1135759181503753</v>
      </c>
      <c r="Z171" s="53" t="n">
        <v>0.1479713958144309</v>
      </c>
      <c r="AA171" s="55" t="n">
        <v>0.6666666666666666</v>
      </c>
      <c r="AB171" s="55" t="n">
        <v>0.75</v>
      </c>
      <c r="AC171" s="49" t="inlineStr">
        <is>
          <t>corrido</t>
        </is>
      </c>
      <c r="AD171" s="49" t="inlineStr">
        <is>
          <t>Huber limpio con tuning temporal interno | hipotesis=prueba_sin_memoria_larga | metric=mae | inner_splits=3</t>
        </is>
      </c>
      <c r="AE171" s="49" t="inlineStr">
        <is>
          <t>run_e2_huber_clean.py</t>
        </is>
      </c>
      <c r="AF171" s="49" t="inlineStr">
        <is>
          <t>Scripts/Modeling/run_e2_huber_clean.py</t>
        </is>
      </c>
      <c r="AG171" s="49" t="inlineStr">
        <is>
          <t>Experimentos/runs/E2_v3_clean_20260323_061213</t>
        </is>
      </c>
      <c r="AH171" s="49" t="inlineStr">
        <is>
          <t>Experimentos/runs/E2_v3_clean_20260323_061213/scripts/run_e2_huber_clean.py</t>
        </is>
      </c>
      <c r="AI171" s="49" t="inlineStr">
        <is>
          <t>Experimentos/runs/E2_v3_clean_20260323_061213/parametros_run.json</t>
        </is>
      </c>
      <c r="AJ171" s="49" t="inlineStr">
        <is>
          <t>Experimentos/runs/E2_v3_clean_20260323_061213/metricas_horizonte.json</t>
        </is>
      </c>
      <c r="AK171" s="49" t="inlineStr">
        <is>
          <t>2026-03-23 06:12:13</t>
        </is>
      </c>
      <c r="AL171" s="49" t="n"/>
      <c r="AM171" s="49" t="n"/>
      <c r="AN171" s="49" t="n"/>
      <c r="AO171" s="49" t="n"/>
      <c r="AP171" s="49" t="n"/>
      <c r="AQ171" s="49" t="n"/>
      <c r="AR171" s="49" t="n"/>
      <c r="AS171" s="49" t="n"/>
      <c r="AT171" s="49" t="n"/>
      <c r="AU171" s="49" t="n"/>
      <c r="AV171" s="49" t="n"/>
      <c r="AW171" s="49" t="n"/>
      <c r="AX171" s="49" t="n"/>
      <c r="AY171" s="49" t="n"/>
    </row>
    <row r="172" ht="15" customHeight="1" s="27">
      <c r="A172" s="49" t="inlineStr">
        <is>
          <t>2026-03-23 06:12:13</t>
        </is>
      </c>
      <c r="B172" s="49" t="inlineStr">
        <is>
          <t>E2_v3_clean</t>
        </is>
      </c>
      <c r="C172" s="50" t="inlineStr">
        <is>
          <t>E2</t>
        </is>
      </c>
      <c r="D172" s="50" t="inlineStr">
        <is>
          <t>robusto</t>
        </is>
      </c>
      <c r="E172" s="50" t="inlineStr">
        <is>
          <t>huber_tscv</t>
        </is>
      </c>
      <c r="F172" s="50" t="n">
        <v>3</v>
      </c>
      <c r="G172" s="49" t="inlineStr">
        <is>
          <t>nivel</t>
        </is>
      </c>
      <c r="H172" s="50" t="inlineStr">
        <is>
          <t>y_t + lags [1, 2, 3, 4]</t>
        </is>
      </c>
      <c r="I172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72" s="50" t="inlineStr">
        <is>
          <t>standard_scaler</t>
        </is>
      </c>
      <c r="K172" s="50" t="inlineStr">
        <is>
          <t>corr</t>
        </is>
      </c>
      <c r="L172" s="50" t="inlineStr">
        <is>
          <t>walk-forward_expanding</t>
        </is>
      </c>
      <c r="M172" s="49" t="inlineStr">
        <is>
          <t>2024-10-14 a 2026-03-02</t>
        </is>
      </c>
      <c r="N172" s="49" t="inlineStr">
        <is>
          <t>{"feature_candidates": 59, "feature_mode": "corr", "horizon": 3, "initial_train_size": 40, "lags": [1, 2, 3, 4], "model": "huber_tscv", "model_params": {"hypothesis_note": "prueba_sin_memoria_larga", "inner_splits": 3, "param_grid": {"alpha": [1e-06, 9.999999999999999e-06, 0.0001, 0.001, 0.01, 0.1], "epsilon": [1.1, 1.2, 1.35, 1.5, 1.75, 2.0], "max_iter": [1000], "tol": [0.0001]}, "transform_mode": "standard", "tuning_metric": "mae", "winsor_lower_quantile": 0.05, "winsor_upper_quantile": 0.95}, "rows_eval": 26, "rows_modeling": 66, "selected_feature_count_avg": 21.0, "target_mode": "nivel", "transform_mode": "standard"}</t>
        </is>
      </c>
      <c r="O172" s="51" t="n">
        <v>0.35</v>
      </c>
      <c r="P172" s="51" t="n">
        <v>0.25</v>
      </c>
      <c r="Q172" s="51" t="n">
        <v>0.25</v>
      </c>
      <c r="R172" s="51" t="n">
        <v>0.1</v>
      </c>
      <c r="S172" s="52" t="n">
        <v>0.3</v>
      </c>
      <c r="T172" s="53" t="n">
        <v>0.2306409358773327</v>
      </c>
      <c r="U172" s="53" t="n">
        <v>0.3461538461538461</v>
      </c>
      <c r="V172" s="53" t="n">
        <v>0.4166666666666666</v>
      </c>
      <c r="W172" s="53" t="n">
        <v>0.9230769230769231</v>
      </c>
      <c r="X172" s="54" t="n">
        <v>0.1091211444209661</v>
      </c>
      <c r="Y172" s="53" t="n">
        <v>0.1419096931669162</v>
      </c>
      <c r="Z172" s="53" t="n">
        <v>0.1631289658990064</v>
      </c>
      <c r="AA172" s="55" t="n">
        <v>0.6538461538461539</v>
      </c>
      <c r="AB172" s="55" t="n">
        <v>0.5833333333333334</v>
      </c>
      <c r="AC172" s="49" t="inlineStr">
        <is>
          <t>corrido</t>
        </is>
      </c>
      <c r="AD172" s="49" t="inlineStr">
        <is>
          <t>Huber limpio con tuning temporal interno | hipotesis=prueba_sin_memoria_larga | metric=mae | inner_splits=3</t>
        </is>
      </c>
      <c r="AE172" s="49" t="inlineStr">
        <is>
          <t>run_e2_huber_clean.py</t>
        </is>
      </c>
      <c r="AF172" s="49" t="inlineStr">
        <is>
          <t>Scripts/Modeling/run_e2_huber_clean.py</t>
        </is>
      </c>
      <c r="AG172" s="49" t="inlineStr">
        <is>
          <t>Experimentos/runs/E2_v3_clean_20260323_061213</t>
        </is>
      </c>
      <c r="AH172" s="49" t="inlineStr">
        <is>
          <t>Experimentos/runs/E2_v3_clean_20260323_061213/scripts/run_e2_huber_clean.py</t>
        </is>
      </c>
      <c r="AI172" s="49" t="inlineStr">
        <is>
          <t>Experimentos/runs/E2_v3_clean_20260323_061213/parametros_run.json</t>
        </is>
      </c>
      <c r="AJ172" s="49" t="inlineStr">
        <is>
          <t>Experimentos/runs/E2_v3_clean_20260323_061213/metricas_horizonte.json</t>
        </is>
      </c>
      <c r="AK172" s="49" t="inlineStr">
        <is>
          <t>2026-03-23 06:12:13</t>
        </is>
      </c>
      <c r="AL172" s="49" t="n"/>
      <c r="AM172" s="49" t="n"/>
      <c r="AN172" s="49" t="n"/>
      <c r="AO172" s="49" t="n"/>
      <c r="AP172" s="49" t="n"/>
      <c r="AQ172" s="49" t="n"/>
      <c r="AR172" s="49" t="n"/>
      <c r="AS172" s="49" t="n"/>
      <c r="AT172" s="49" t="n"/>
      <c r="AU172" s="49" t="n"/>
      <c r="AV172" s="49" t="n"/>
      <c r="AW172" s="49" t="n"/>
      <c r="AX172" s="49" t="n"/>
      <c r="AY172" s="49" t="n"/>
    </row>
    <row r="173" ht="15" customHeight="1" s="27">
      <c r="A173" s="49" t="inlineStr">
        <is>
          <t>2026-03-23 06:12:13</t>
        </is>
      </c>
      <c r="B173" s="49" t="inlineStr">
        <is>
          <t>E2_v3_clean</t>
        </is>
      </c>
      <c r="C173" s="50" t="inlineStr">
        <is>
          <t>E2</t>
        </is>
      </c>
      <c r="D173" s="50" t="inlineStr">
        <is>
          <t>robusto</t>
        </is>
      </c>
      <c r="E173" s="50" t="inlineStr">
        <is>
          <t>huber_tscv</t>
        </is>
      </c>
      <c r="F173" s="50" t="n">
        <v>4</v>
      </c>
      <c r="G173" s="49" t="inlineStr">
        <is>
          <t>nivel</t>
        </is>
      </c>
      <c r="H173" s="50" t="inlineStr">
        <is>
          <t>y_t + lags [1, 2, 3, 4]</t>
        </is>
      </c>
      <c r="I173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73" s="50" t="inlineStr">
        <is>
          <t>standard_scaler</t>
        </is>
      </c>
      <c r="K173" s="50" t="inlineStr">
        <is>
          <t>corr</t>
        </is>
      </c>
      <c r="L173" s="50" t="inlineStr">
        <is>
          <t>walk-forward_expanding</t>
        </is>
      </c>
      <c r="M173" s="49" t="inlineStr">
        <is>
          <t>2024-10-14 a 2026-03-02</t>
        </is>
      </c>
      <c r="N173" s="49" t="inlineStr">
        <is>
          <t>{"feature_candidates": 59, "feature_mode": "corr", "horizon": 4, "initial_train_size": 40, "lags": [1, 2, 3, 4], "model": "huber_tscv", "model_params": {"hypothesis_note": "prueba_sin_memoria_larga", "inner_splits": 3, "param_grid": {"alpha": [1e-06, 9.999999999999999e-06, 0.0001, 0.001, 0.01, 0.1], "epsilon": [1.1, 1.2, 1.35, 1.5, 1.75, 2.0], "max_iter": [1000], "tol": [0.0001]}, "transform_mode": "standard", "tuning_metric": "mae", "winsor_lower_quantile": 0.05, "winsor_upper_quantile": 0.95}, "rows_eval": 25, "rows_modeling": 65, "selected_feature_count_avg": 21.0, "target_mode": "nivel", "transform_mode": "standard"}</t>
        </is>
      </c>
      <c r="O173" s="51" t="n">
        <v>0.35</v>
      </c>
      <c r="P173" s="51" t="n">
        <v>0.25</v>
      </c>
      <c r="Q173" s="51" t="n">
        <v>0.25</v>
      </c>
      <c r="R173" s="51" t="n">
        <v>0.1</v>
      </c>
      <c r="S173" s="52" t="n">
        <v>0.15</v>
      </c>
      <c r="T173" s="53" t="n">
        <v>0.2331120640375527</v>
      </c>
      <c r="U173" s="53" t="n">
        <v>0.24</v>
      </c>
      <c r="V173" s="53" t="n">
        <v>0.09999999999999998</v>
      </c>
      <c r="W173" s="53" t="n">
        <v>0.8</v>
      </c>
      <c r="X173" s="54" t="n">
        <v>0.03698838336197151</v>
      </c>
      <c r="Y173" s="53" t="n">
        <v>0.1434301389527392</v>
      </c>
      <c r="Z173" s="53" t="n">
        <v>0.167126942327339</v>
      </c>
      <c r="AA173" s="55" t="n">
        <v>0.76</v>
      </c>
      <c r="AB173" s="55" t="n">
        <v>0.9</v>
      </c>
      <c r="AC173" s="49" t="inlineStr">
        <is>
          <t>corrido</t>
        </is>
      </c>
      <c r="AD173" s="49" t="inlineStr">
        <is>
          <t>Huber limpio con tuning temporal interno | hipotesis=prueba_sin_memoria_larga | metric=mae | inner_splits=3</t>
        </is>
      </c>
      <c r="AE173" s="49" t="inlineStr">
        <is>
          <t>run_e2_huber_clean.py</t>
        </is>
      </c>
      <c r="AF173" s="49" t="inlineStr">
        <is>
          <t>Scripts/Modeling/run_e2_huber_clean.py</t>
        </is>
      </c>
      <c r="AG173" s="49" t="inlineStr">
        <is>
          <t>Experimentos/runs/E2_v3_clean_20260323_061213</t>
        </is>
      </c>
      <c r="AH173" s="49" t="inlineStr">
        <is>
          <t>Experimentos/runs/E2_v3_clean_20260323_061213/scripts/run_e2_huber_clean.py</t>
        </is>
      </c>
      <c r="AI173" s="49" t="inlineStr">
        <is>
          <t>Experimentos/runs/E2_v3_clean_20260323_061213/parametros_run.json</t>
        </is>
      </c>
      <c r="AJ173" s="49" t="inlineStr">
        <is>
          <t>Experimentos/runs/E2_v3_clean_20260323_061213/metricas_horizonte.json</t>
        </is>
      </c>
      <c r="AK173" s="49" t="inlineStr">
        <is>
          <t>2026-03-23 06:12:13</t>
        </is>
      </c>
      <c r="AL173" s="49" t="n"/>
      <c r="AM173" s="49" t="n"/>
      <c r="AN173" s="49" t="n"/>
      <c r="AO173" s="49" t="n"/>
      <c r="AP173" s="49" t="n"/>
      <c r="AQ173" s="49" t="n"/>
      <c r="AR173" s="49" t="n"/>
      <c r="AS173" s="49" t="n"/>
      <c r="AT173" s="49" t="n"/>
      <c r="AU173" s="49" t="n"/>
      <c r="AV173" s="49" t="n"/>
      <c r="AW173" s="49" t="n"/>
      <c r="AX173" s="49" t="n"/>
      <c r="AY173" s="49" t="n"/>
    </row>
    <row r="174" ht="15" customHeight="1" s="27">
      <c r="A174" s="49" t="inlineStr">
        <is>
          <t>2026-03-23 07:31:44</t>
        </is>
      </c>
      <c r="B174" s="49" t="inlineStr">
        <is>
          <t>E3_v1_clean</t>
        </is>
      </c>
      <c r="C174" s="50" t="inlineStr">
        <is>
          <t>E3</t>
        </is>
      </c>
      <c r="D174" s="50" t="inlineStr">
        <is>
          <t>arboles_boosting</t>
        </is>
      </c>
      <c r="E174" s="50" t="inlineStr">
        <is>
          <t>random_forest_regressor</t>
        </is>
      </c>
      <c r="F174" s="50" t="n">
        <v>1</v>
      </c>
      <c r="G174" s="49" t="inlineStr">
        <is>
          <t>nivel</t>
        </is>
      </c>
      <c r="H174" s="50" t="inlineStr">
        <is>
          <t>y_t + lags [1, 2, 3, 4, 5, 6]</t>
        </is>
      </c>
      <c r="I174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74" s="50" t="inlineStr">
        <is>
          <t>sin_escalar</t>
        </is>
      </c>
      <c r="K174" s="50" t="inlineStr">
        <is>
          <t>corr</t>
        </is>
      </c>
      <c r="L174" s="50" t="inlineStr">
        <is>
          <t>walk-forward_expanding</t>
        </is>
      </c>
      <c r="M174" s="49" t="inlineStr">
        <is>
          <t>2024-10-14 a 2026-03-02</t>
        </is>
      </c>
      <c r="N174" s="49" t="inlineStr">
        <is>
          <t>{"feature_candidates": 83, "feature_mode": "corr", "horizon": 1, "initial_train_size": 40, "lags": [1, 2, 3, 4, 5, 6], "model": "random_forest_regressor", "model_params": {"bootstrap": true, "max_depth": 6, "max_features": "sqrt", "min_samples_leaf": 2, "min_samples_split": 4, "n_estimators": 400, "random_state": 42, "uses_scaling": false}, "rows_eval": 26, "rows_modeling": 66, "selected_feature_count_avg": 30.0, "target_mode": "nivel", "transform_mode": ""}</t>
        </is>
      </c>
      <c r="O174" s="51" t="n">
        <v>0.35</v>
      </c>
      <c r="P174" s="51" t="n">
        <v>0.25</v>
      </c>
      <c r="Q174" s="51" t="n">
        <v>0.25</v>
      </c>
      <c r="R174" s="51" t="n">
        <v>0.1</v>
      </c>
      <c r="S174" s="52" t="n">
        <v>0.3</v>
      </c>
      <c r="T174" s="53" t="n">
        <v>0.1725014827223296</v>
      </c>
      <c r="U174" s="53" t="n">
        <v>0.2692307692307693</v>
      </c>
      <c r="V174" s="53" t="n">
        <v>0.25</v>
      </c>
      <c r="W174" s="53" t="n">
        <v>0.7692307692307693</v>
      </c>
      <c r="X174" s="54" t="n">
        <v>0.08013188645507538</v>
      </c>
      <c r="Y174" s="53" t="n">
        <v>0.1061374139453869</v>
      </c>
      <c r="Z174" s="53" t="n">
        <v>0.1328844909113693</v>
      </c>
      <c r="AA174" s="55" t="n">
        <v>0.7307692307692307</v>
      </c>
      <c r="AB174" s="55" t="n">
        <v>0.75</v>
      </c>
      <c r="AC174" s="49" t="inlineStr">
        <is>
          <t>corrido</t>
        </is>
      </c>
      <c r="AD174" s="49" t="inlineStr">
        <is>
          <t>Random Forest limpio con walk-forward temporal | hipotesis=baseline_no_lineal_corr_memoria_larga | sin escalado por naturaleza basada en arboles</t>
        </is>
      </c>
      <c r="AE174" s="49" t="inlineStr">
        <is>
          <t>run_e3_random_forest.py</t>
        </is>
      </c>
      <c r="AF174" s="49" t="inlineStr">
        <is>
          <t>Scripts/Modeling/run_e3_random_forest.py</t>
        </is>
      </c>
      <c r="AG174" s="49" t="inlineStr">
        <is>
          <t>Experimentos/runs/E3_v1_clean_20260323_073144</t>
        </is>
      </c>
      <c r="AH174" s="49" t="inlineStr">
        <is>
          <t>Experimentos/runs/E3_v1_clean_20260323_073144/scripts/run_e3_random_forest.py</t>
        </is>
      </c>
      <c r="AI174" s="49" t="inlineStr">
        <is>
          <t>Experimentos/runs/E3_v1_clean_20260323_073144/parametros_run.json</t>
        </is>
      </c>
      <c r="AJ174" s="49" t="inlineStr">
        <is>
          <t>Experimentos/runs/E3_v1_clean_20260323_073144/metricas_horizonte.json</t>
        </is>
      </c>
      <c r="AK174" s="49" t="inlineStr">
        <is>
          <t>2026-03-23 07:31:44</t>
        </is>
      </c>
      <c r="AL174" s="49" t="n"/>
      <c r="AM174" s="49" t="n"/>
      <c r="AN174" s="49" t="n"/>
      <c r="AO174" s="49" t="n"/>
      <c r="AP174" s="49" t="n"/>
      <c r="AQ174" s="49" t="n"/>
      <c r="AR174" s="49" t="n"/>
      <c r="AS174" s="49" t="n"/>
      <c r="AT174" s="49" t="n"/>
      <c r="AU174" s="49" t="n"/>
      <c r="AV174" s="49" t="n"/>
      <c r="AW174" s="49" t="n"/>
      <c r="AX174" s="49" t="n"/>
      <c r="AY174" s="49" t="n"/>
    </row>
    <row r="175" ht="15" customHeight="1" s="27">
      <c r="A175" s="49" t="inlineStr">
        <is>
          <t>2026-03-23 07:31:44</t>
        </is>
      </c>
      <c r="B175" s="49" t="inlineStr">
        <is>
          <t>E3_v1_clean</t>
        </is>
      </c>
      <c r="C175" s="50" t="inlineStr">
        <is>
          <t>E3</t>
        </is>
      </c>
      <c r="D175" s="50" t="inlineStr">
        <is>
          <t>arboles_boosting</t>
        </is>
      </c>
      <c r="E175" s="50" t="inlineStr">
        <is>
          <t>random_forest_regressor</t>
        </is>
      </c>
      <c r="F175" s="50" t="n">
        <v>2</v>
      </c>
      <c r="G175" s="49" t="inlineStr">
        <is>
          <t>nivel</t>
        </is>
      </c>
      <c r="H175" s="50" t="inlineStr">
        <is>
          <t>y_t + lags [1, 2, 3, 4, 5, 6]</t>
        </is>
      </c>
      <c r="I175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75" s="50" t="inlineStr">
        <is>
          <t>sin_escalar</t>
        </is>
      </c>
      <c r="K175" s="50" t="inlineStr">
        <is>
          <t>corr</t>
        </is>
      </c>
      <c r="L175" s="50" t="inlineStr">
        <is>
          <t>walk-forward_expanding</t>
        </is>
      </c>
      <c r="M175" s="49" t="inlineStr">
        <is>
          <t>2024-10-14 a 2026-03-02</t>
        </is>
      </c>
      <c r="N175" s="49" t="inlineStr">
        <is>
          <t>{"feature_candidates": 83, "feature_mode": "corr", "horizon": 2, "initial_train_size": 40, "lags": [1, 2, 3, 4, 5, 6], "model": "random_forest_regressor", "model_params": {"bootstrap": true, "max_depth": 6, "max_features": "sqrt", "min_samples_leaf": 2, "min_samples_split": 4, "n_estimators": 400, "random_state": 42, "uses_scaling": false}, "rows_eval": 25, "rows_modeling": 65, "selected_feature_count_avg": 30.0, "target_mode": "nivel", "transform_mode": ""}</t>
        </is>
      </c>
      <c r="O175" s="51" t="n">
        <v>0.35</v>
      </c>
      <c r="P175" s="51" t="n">
        <v>0.25</v>
      </c>
      <c r="Q175" s="51" t="n">
        <v>0.25</v>
      </c>
      <c r="R175" s="51" t="n">
        <v>0.1</v>
      </c>
      <c r="S175" s="52" t="n">
        <v>0.25</v>
      </c>
      <c r="T175" s="53" t="n">
        <v>0.1740295415812016</v>
      </c>
      <c r="U175" s="53" t="n">
        <v>0.4</v>
      </c>
      <c r="V175" s="53" t="n">
        <v>0.4</v>
      </c>
      <c r="W175" s="53" t="n">
        <v>0.76</v>
      </c>
      <c r="X175" s="54" t="n">
        <v>0.08422758488835515</v>
      </c>
      <c r="Y175" s="53" t="n">
        <v>0.1070776042155081</v>
      </c>
      <c r="Z175" s="53" t="n">
        <v>0.1342516027711331</v>
      </c>
      <c r="AA175" s="55" t="n">
        <v>0.6</v>
      </c>
      <c r="AB175" s="55" t="n">
        <v>0.6</v>
      </c>
      <c r="AC175" s="49" t="inlineStr">
        <is>
          <t>corrido</t>
        </is>
      </c>
      <c r="AD175" s="49" t="inlineStr">
        <is>
          <t>Random Forest limpio con walk-forward temporal | hipotesis=baseline_no_lineal_corr_memoria_larga | sin escalado por naturaleza basada en arboles</t>
        </is>
      </c>
      <c r="AE175" s="49" t="inlineStr">
        <is>
          <t>run_e3_random_forest.py</t>
        </is>
      </c>
      <c r="AF175" s="49" t="inlineStr">
        <is>
          <t>Scripts/Modeling/run_e3_random_forest.py</t>
        </is>
      </c>
      <c r="AG175" s="49" t="inlineStr">
        <is>
          <t>Experimentos/runs/E3_v1_clean_20260323_073144</t>
        </is>
      </c>
      <c r="AH175" s="49" t="inlineStr">
        <is>
          <t>Experimentos/runs/E3_v1_clean_20260323_073144/scripts/run_e3_random_forest.py</t>
        </is>
      </c>
      <c r="AI175" s="49" t="inlineStr">
        <is>
          <t>Experimentos/runs/E3_v1_clean_20260323_073144/parametros_run.json</t>
        </is>
      </c>
      <c r="AJ175" s="49" t="inlineStr">
        <is>
          <t>Experimentos/runs/E3_v1_clean_20260323_073144/metricas_horizonte.json</t>
        </is>
      </c>
      <c r="AK175" s="49" t="inlineStr">
        <is>
          <t>2026-03-23 07:31:44</t>
        </is>
      </c>
      <c r="AL175" s="49" t="n"/>
      <c r="AM175" s="49" t="n"/>
      <c r="AN175" s="49" t="n"/>
      <c r="AO175" s="49" t="n"/>
      <c r="AP175" s="49" t="n"/>
      <c r="AQ175" s="49" t="n"/>
      <c r="AR175" s="49" t="n"/>
      <c r="AS175" s="49" t="n"/>
      <c r="AT175" s="49" t="n"/>
      <c r="AU175" s="49" t="n"/>
      <c r="AV175" s="49" t="n"/>
      <c r="AW175" s="49" t="n"/>
      <c r="AX175" s="49" t="n"/>
      <c r="AY175" s="49" t="n"/>
    </row>
    <row r="176" ht="15" customHeight="1" s="27">
      <c r="A176" s="49" t="inlineStr">
        <is>
          <t>2026-03-23 07:31:44</t>
        </is>
      </c>
      <c r="B176" s="49" t="inlineStr">
        <is>
          <t>E3_v1_clean</t>
        </is>
      </c>
      <c r="C176" s="50" t="inlineStr">
        <is>
          <t>E3</t>
        </is>
      </c>
      <c r="D176" s="50" t="inlineStr">
        <is>
          <t>arboles_boosting</t>
        </is>
      </c>
      <c r="E176" s="50" t="inlineStr">
        <is>
          <t>random_forest_regressor</t>
        </is>
      </c>
      <c r="F176" s="50" t="n">
        <v>3</v>
      </c>
      <c r="G176" s="49" t="inlineStr">
        <is>
          <t>nivel</t>
        </is>
      </c>
      <c r="H176" s="50" t="inlineStr">
        <is>
          <t>y_t + lags [1, 2, 3, 4, 5, 6]</t>
        </is>
      </c>
      <c r="I176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76" s="50" t="inlineStr">
        <is>
          <t>sin_escalar</t>
        </is>
      </c>
      <c r="K176" s="50" t="inlineStr">
        <is>
          <t>corr</t>
        </is>
      </c>
      <c r="L176" s="50" t="inlineStr">
        <is>
          <t>walk-forward_expanding</t>
        </is>
      </c>
      <c r="M176" s="49" t="inlineStr">
        <is>
          <t>2024-10-14 a 2026-03-02</t>
        </is>
      </c>
      <c r="N176" s="49" t="inlineStr">
        <is>
          <t>{"feature_candidates": 83, "feature_mode": "corr", "horizon": 3, "initial_train_size": 40, "lags": [1, 2, 3, 4, 5, 6], "model": "random_forest_regressor", "model_params": {"bootstrap": true, "max_depth": 6, "max_features": "sqrt", "min_samples_leaf": 2, "min_samples_split": 4, "n_estimators": 400, "random_state": 42, "uses_scaling": false}, "rows_eval": 24, "rows_modeling": 64, "selected_feature_count_avg": 30.0, "target_mode": "nivel", "transform_mode": ""}</t>
        </is>
      </c>
      <c r="O176" s="51" t="n">
        <v>0.35</v>
      </c>
      <c r="P176" s="51" t="n">
        <v>0.25</v>
      </c>
      <c r="Q176" s="51" t="n">
        <v>0.25</v>
      </c>
      <c r="R176" s="51" t="n">
        <v>0.1</v>
      </c>
      <c r="S176" s="52" t="n">
        <v>0.3</v>
      </c>
      <c r="T176" s="53" t="n">
        <v>0.1753743579276128</v>
      </c>
      <c r="U176" s="53" t="n">
        <v>0.1666666666666666</v>
      </c>
      <c r="V176" s="53" t="n">
        <v>0.1818181818181818</v>
      </c>
      <c r="W176" s="53" t="n">
        <v>0.7916666666666666</v>
      </c>
      <c r="X176" s="54" t="n">
        <v>0.06830067121876297</v>
      </c>
      <c r="Y176" s="53" t="n">
        <v>0.1079050482872169</v>
      </c>
      <c r="Z176" s="53" t="n">
        <v>0.1365551368707545</v>
      </c>
      <c r="AA176" s="55" t="n">
        <v>0.8333333333333334</v>
      </c>
      <c r="AB176" s="55" t="n">
        <v>0.8181818181818182</v>
      </c>
      <c r="AC176" s="49" t="inlineStr">
        <is>
          <t>corrido</t>
        </is>
      </c>
      <c r="AD176" s="49" t="inlineStr">
        <is>
          <t>Random Forest limpio con walk-forward temporal | hipotesis=baseline_no_lineal_corr_memoria_larga | sin escalado por naturaleza basada en arboles</t>
        </is>
      </c>
      <c r="AE176" s="49" t="inlineStr">
        <is>
          <t>run_e3_random_forest.py</t>
        </is>
      </c>
      <c r="AF176" s="49" t="inlineStr">
        <is>
          <t>Scripts/Modeling/run_e3_random_forest.py</t>
        </is>
      </c>
      <c r="AG176" s="49" t="inlineStr">
        <is>
          <t>Experimentos/runs/E3_v1_clean_20260323_073144</t>
        </is>
      </c>
      <c r="AH176" s="49" t="inlineStr">
        <is>
          <t>Experimentos/runs/E3_v1_clean_20260323_073144/scripts/run_e3_random_forest.py</t>
        </is>
      </c>
      <c r="AI176" s="49" t="inlineStr">
        <is>
          <t>Experimentos/runs/E3_v1_clean_20260323_073144/parametros_run.json</t>
        </is>
      </c>
      <c r="AJ176" s="49" t="inlineStr">
        <is>
          <t>Experimentos/runs/E3_v1_clean_20260323_073144/metricas_horizonte.json</t>
        </is>
      </c>
      <c r="AK176" s="49" t="inlineStr">
        <is>
          <t>2026-03-23 07:31:44</t>
        </is>
      </c>
      <c r="AL176" s="49" t="n"/>
      <c r="AM176" s="49" t="n"/>
      <c r="AN176" s="49" t="n"/>
      <c r="AO176" s="49" t="n"/>
      <c r="AP176" s="49" t="n"/>
      <c r="AQ176" s="49" t="n"/>
      <c r="AR176" s="49" t="n"/>
      <c r="AS176" s="49" t="n"/>
      <c r="AT176" s="49" t="n"/>
      <c r="AU176" s="49" t="n"/>
      <c r="AV176" s="49" t="n"/>
      <c r="AW176" s="49" t="n"/>
      <c r="AX176" s="49" t="n"/>
      <c r="AY176" s="49" t="n"/>
    </row>
    <row r="177" ht="15" customHeight="1" s="27">
      <c r="A177" s="49" t="inlineStr">
        <is>
          <t>2026-03-23 07:31:44</t>
        </is>
      </c>
      <c r="B177" s="49" t="inlineStr">
        <is>
          <t>E3_v1_clean</t>
        </is>
      </c>
      <c r="C177" s="50" t="inlineStr">
        <is>
          <t>E3</t>
        </is>
      </c>
      <c r="D177" s="50" t="inlineStr">
        <is>
          <t>arboles_boosting</t>
        </is>
      </c>
      <c r="E177" s="50" t="inlineStr">
        <is>
          <t>random_forest_regressor</t>
        </is>
      </c>
      <c r="F177" s="50" t="n">
        <v>4</v>
      </c>
      <c r="G177" s="49" t="inlineStr">
        <is>
          <t>nivel</t>
        </is>
      </c>
      <c r="H177" s="50" t="inlineStr">
        <is>
          <t>y_t + lags [1, 2, 3, 4, 5, 6]</t>
        </is>
      </c>
      <c r="I177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77" s="50" t="inlineStr">
        <is>
          <t>sin_escalar</t>
        </is>
      </c>
      <c r="K177" s="50" t="inlineStr">
        <is>
          <t>corr</t>
        </is>
      </c>
      <c r="L177" s="50" t="inlineStr">
        <is>
          <t>walk-forward_expanding</t>
        </is>
      </c>
      <c r="M177" s="49" t="inlineStr">
        <is>
          <t>2024-10-14 a 2026-03-02</t>
        </is>
      </c>
      <c r="N177" s="49" t="inlineStr">
        <is>
          <t>{"feature_candidates": 83, "feature_mode": "corr", "horizon": 4, "initial_train_size": 40, "lags": [1, 2, 3, 4, 5, 6], "model": "random_forest_regressor", "model_params": {"bootstrap": true, "max_depth": 6, "max_features": "sqrt", "min_samples_leaf": 2, "min_samples_split": 4, "n_estimators": 400, "random_state": 42, "uses_scaling": false}, "rows_eval": 23, "rows_modeling": 63, "selected_feature_count_avg": 30.0, "target_mode": "nivel", "transform_mode": ""}</t>
        </is>
      </c>
      <c r="O177" s="51" t="n">
        <v>0.35</v>
      </c>
      <c r="P177" s="51" t="n">
        <v>0.25</v>
      </c>
      <c r="Q177" s="51" t="n">
        <v>0.25</v>
      </c>
      <c r="R177" s="51" t="n">
        <v>0.1</v>
      </c>
      <c r="S177" s="52" t="n">
        <v>0.15</v>
      </c>
      <c r="T177" s="53" t="n">
        <v>0.1664652377469872</v>
      </c>
      <c r="U177" s="53" t="n">
        <v>0.3478260869565217</v>
      </c>
      <c r="V177" s="53" t="n">
        <v>0.4444444444444444</v>
      </c>
      <c r="W177" s="53" t="n">
        <v>0.6521739130434783</v>
      </c>
      <c r="X177" s="54" t="n">
        <v>0.04823217860490524</v>
      </c>
      <c r="Y177" s="53" t="n">
        <v>0.1024234085843145</v>
      </c>
      <c r="Z177" s="53" t="n">
        <v>0.1426623715507875</v>
      </c>
      <c r="AA177" s="55" t="n">
        <v>0.6521739130434783</v>
      </c>
      <c r="AB177" s="55" t="n">
        <v>0.5555555555555556</v>
      </c>
      <c r="AC177" s="49" t="inlineStr">
        <is>
          <t>corrido</t>
        </is>
      </c>
      <c r="AD177" s="49" t="inlineStr">
        <is>
          <t>Random Forest limpio con walk-forward temporal | hipotesis=baseline_no_lineal_corr_memoria_larga | sin escalado por naturaleza basada en arboles</t>
        </is>
      </c>
      <c r="AE177" s="49" t="inlineStr">
        <is>
          <t>run_e3_random_forest.py</t>
        </is>
      </c>
      <c r="AF177" s="49" t="inlineStr">
        <is>
          <t>Scripts/Modeling/run_e3_random_forest.py</t>
        </is>
      </c>
      <c r="AG177" s="49" t="inlineStr">
        <is>
          <t>Experimentos/runs/E3_v1_clean_20260323_073144</t>
        </is>
      </c>
      <c r="AH177" s="49" t="inlineStr">
        <is>
          <t>Experimentos/runs/E3_v1_clean_20260323_073144/scripts/run_e3_random_forest.py</t>
        </is>
      </c>
      <c r="AI177" s="49" t="inlineStr">
        <is>
          <t>Experimentos/runs/E3_v1_clean_20260323_073144/parametros_run.json</t>
        </is>
      </c>
      <c r="AJ177" s="49" t="inlineStr">
        <is>
          <t>Experimentos/runs/E3_v1_clean_20260323_073144/metricas_horizonte.json</t>
        </is>
      </c>
      <c r="AK177" s="49" t="inlineStr">
        <is>
          <t>2026-03-23 07:31:44</t>
        </is>
      </c>
      <c r="AL177" s="49" t="n"/>
      <c r="AM177" s="49" t="n"/>
      <c r="AN177" s="49" t="n"/>
      <c r="AO177" s="49" t="n"/>
      <c r="AP177" s="49" t="n"/>
      <c r="AQ177" s="49" t="n"/>
      <c r="AR177" s="49" t="n"/>
      <c r="AS177" s="49" t="n"/>
      <c r="AT177" s="49" t="n"/>
      <c r="AU177" s="49" t="n"/>
      <c r="AV177" s="49" t="n"/>
      <c r="AW177" s="49" t="n"/>
      <c r="AX177" s="49" t="n"/>
      <c r="AY177" s="49" t="n"/>
    </row>
    <row r="178" ht="15" customHeight="1" s="27">
      <c r="A178" s="49" t="inlineStr">
        <is>
          <t>2026-03-23 08:01:10</t>
        </is>
      </c>
      <c r="B178" s="49" t="inlineStr">
        <is>
          <t>E3_v3_clean</t>
        </is>
      </c>
      <c r="C178" s="50" t="inlineStr">
        <is>
          <t>E3</t>
        </is>
      </c>
      <c r="D178" s="50" t="inlineStr">
        <is>
          <t>arboles_boosting</t>
        </is>
      </c>
      <c r="E178" s="50" t="inlineStr">
        <is>
          <t>extra_trees_regressor</t>
        </is>
      </c>
      <c r="F178" s="50" t="n">
        <v>1</v>
      </c>
      <c r="G178" s="49" t="inlineStr">
        <is>
          <t>nivel</t>
        </is>
      </c>
      <c r="H178" s="50" t="inlineStr">
        <is>
          <t>y_t + lags [1, 2, 3, 4, 5, 6]</t>
        </is>
      </c>
      <c r="I178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78" s="50" t="inlineStr">
        <is>
          <t>sin_escalar</t>
        </is>
      </c>
      <c r="K178" s="50" t="inlineStr">
        <is>
          <t>corr</t>
        </is>
      </c>
      <c r="L178" s="50" t="inlineStr">
        <is>
          <t>walk-forward_expanding</t>
        </is>
      </c>
      <c r="M178" s="49" t="inlineStr">
        <is>
          <t>2024-10-14 a 2026-03-02</t>
        </is>
      </c>
      <c r="N178" s="49" t="inlineStr">
        <is>
          <t>{"feature_candidates": 83, "feature_mode": "corr", "horizon": 1, "initial_train_size": 40, "lags": [1, 2, 3, 4, 5, 6], "model": "extra_trees_regressor", "model_params": {"bootstrap": false, "max_depth": null, "max_features": "sqrt", "min_samples_leaf": 1, "min_samples_split": 2, "n_estimators": 600, "random_state": 42, "tree_model": "extra_trees", "uses_scaling": false}, "rows_eval": 26, "rows_modeling": 66, "selected_feature_count_avg": 30.0, "target_mode": "nivel", "transform_mode": ""}</t>
        </is>
      </c>
      <c r="O178" s="51" t="n">
        <v>0.35</v>
      </c>
      <c r="P178" s="51" t="n">
        <v>0.25</v>
      </c>
      <c r="Q178" s="51" t="n">
        <v>0.25</v>
      </c>
      <c r="R178" s="51" t="n">
        <v>0.1</v>
      </c>
      <c r="S178" s="52" t="n">
        <v>0.3</v>
      </c>
      <c r="T178" s="53" t="n">
        <v>0.1794634415432397</v>
      </c>
      <c r="U178" s="53" t="n">
        <v>0.1923076923076923</v>
      </c>
      <c r="V178" s="53" t="n">
        <v>0.25</v>
      </c>
      <c r="W178" s="53" t="n">
        <v>0.8076923076923077</v>
      </c>
      <c r="X178" s="54" t="n">
        <v>0.07624750751588631</v>
      </c>
      <c r="Y178" s="53" t="n">
        <v>0.1104209962867346</v>
      </c>
      <c r="Z178" s="53" t="n">
        <v>0.1373978872462336</v>
      </c>
      <c r="AA178" s="55" t="n">
        <v>0.8076923076923077</v>
      </c>
      <c r="AB178" s="55" t="n">
        <v>0.75</v>
      </c>
      <c r="AC178" s="49" t="inlineStr">
        <is>
          <t>corrido</t>
        </is>
      </c>
      <c r="AD178" s="49" t="inlineStr">
        <is>
          <t>ExtraTrees limpio con walk-forward temporal | hipotesis=extratrees_mas_aleatorio_h3_h4 | sin escalado por naturaleza basada en arboles</t>
        </is>
      </c>
      <c r="AE178" s="49" t="inlineStr">
        <is>
          <t>run_e3_random_forest.py</t>
        </is>
      </c>
      <c r="AF178" s="49" t="inlineStr">
        <is>
          <t>Scripts/Modeling/run_e3_random_forest.py</t>
        </is>
      </c>
      <c r="AG178" s="49" t="inlineStr">
        <is>
          <t>Experimentos/runs/E3_v3_clean_20260323_080110</t>
        </is>
      </c>
      <c r="AH178" s="49" t="inlineStr">
        <is>
          <t>Experimentos/runs/E3_v3_clean_20260323_080110/scripts/run_e3_random_forest.py</t>
        </is>
      </c>
      <c r="AI178" s="49" t="inlineStr">
        <is>
          <t>Experimentos/runs/E3_v3_clean_20260323_080110/parametros_run.json</t>
        </is>
      </c>
      <c r="AJ178" s="49" t="inlineStr">
        <is>
          <t>Experimentos/runs/E3_v3_clean_20260323_080110/metricas_horizonte.json</t>
        </is>
      </c>
      <c r="AK178" s="49" t="inlineStr">
        <is>
          <t>2026-03-23 08:01:10</t>
        </is>
      </c>
      <c r="AL178" s="49" t="n"/>
      <c r="AM178" s="49" t="n"/>
      <c r="AN178" s="49" t="n"/>
      <c r="AO178" s="49" t="n"/>
      <c r="AP178" s="49" t="n"/>
      <c r="AQ178" s="49" t="n"/>
      <c r="AR178" s="49" t="n"/>
      <c r="AS178" s="49" t="n"/>
      <c r="AT178" s="49" t="n"/>
      <c r="AU178" s="49" t="n"/>
      <c r="AV178" s="49" t="n"/>
      <c r="AW178" s="49" t="n"/>
      <c r="AX178" s="49" t="n"/>
      <c r="AY178" s="49" t="n"/>
    </row>
    <row r="179" ht="15" customHeight="1" s="27">
      <c r="A179" s="49" t="inlineStr">
        <is>
          <t>2026-03-23 08:01:10</t>
        </is>
      </c>
      <c r="B179" s="49" t="inlineStr">
        <is>
          <t>E3_v3_clean</t>
        </is>
      </c>
      <c r="C179" s="50" t="inlineStr">
        <is>
          <t>E3</t>
        </is>
      </c>
      <c r="D179" s="50" t="inlineStr">
        <is>
          <t>arboles_boosting</t>
        </is>
      </c>
      <c r="E179" s="50" t="inlineStr">
        <is>
          <t>extra_trees_regressor</t>
        </is>
      </c>
      <c r="F179" s="50" t="n">
        <v>2</v>
      </c>
      <c r="G179" s="49" t="inlineStr">
        <is>
          <t>nivel</t>
        </is>
      </c>
      <c r="H179" s="50" t="inlineStr">
        <is>
          <t>y_t + lags [1, 2, 3, 4, 5, 6]</t>
        </is>
      </c>
      <c r="I179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79" s="50" t="inlineStr">
        <is>
          <t>sin_escalar</t>
        </is>
      </c>
      <c r="K179" s="50" t="inlineStr">
        <is>
          <t>corr</t>
        </is>
      </c>
      <c r="L179" s="50" t="inlineStr">
        <is>
          <t>walk-forward_expanding</t>
        </is>
      </c>
      <c r="M179" s="49" t="inlineStr">
        <is>
          <t>2024-10-14 a 2026-03-02</t>
        </is>
      </c>
      <c r="N179" s="49" t="inlineStr">
        <is>
          <t>{"feature_candidates": 83, "feature_mode": "corr", "horizon": 2, "initial_train_size": 40, "lags": [1, 2, 3, 4, 5, 6], "model": "extra_trees_regressor", "model_params": {"bootstrap": false, "max_depth": null, "max_features": "sqrt", "min_samples_leaf": 1, "min_samples_split": 2, "n_estimators": 600, "random_state": 42, "tree_model": "extra_trees", "uses_scaling": false}, "rows_eval": 25, "rows_modeling": 65, "selected_feature_count_avg": 30.0, "target_mode": "nivel", "transform_mode": ""}</t>
        </is>
      </c>
      <c r="O179" s="51" t="n">
        <v>0.35</v>
      </c>
      <c r="P179" s="51" t="n">
        <v>0.25</v>
      </c>
      <c r="Q179" s="51" t="n">
        <v>0.25</v>
      </c>
      <c r="R179" s="51" t="n">
        <v>0.1</v>
      </c>
      <c r="S179" s="52" t="n">
        <v>0.25</v>
      </c>
      <c r="T179" s="53" t="n">
        <v>0.1804913780280977</v>
      </c>
      <c r="U179" s="53" t="n">
        <v>0.4</v>
      </c>
      <c r="V179" s="53" t="n">
        <v>0.5</v>
      </c>
      <c r="W179" s="53" t="n">
        <v>0.76</v>
      </c>
      <c r="X179" s="54" t="n">
        <v>0.09104299557745855</v>
      </c>
      <c r="Y179" s="53" t="n">
        <v>0.1110534692283068</v>
      </c>
      <c r="Z179" s="53" t="n">
        <v>0.139706041100004</v>
      </c>
      <c r="AA179" s="55" t="n">
        <v>0.6</v>
      </c>
      <c r="AB179" s="55" t="n">
        <v>0.5</v>
      </c>
      <c r="AC179" s="49" t="inlineStr">
        <is>
          <t>corrido</t>
        </is>
      </c>
      <c r="AD179" s="49" t="inlineStr">
        <is>
          <t>ExtraTrees limpio con walk-forward temporal | hipotesis=extratrees_mas_aleatorio_h3_h4 | sin escalado por naturaleza basada en arboles</t>
        </is>
      </c>
      <c r="AE179" s="49" t="inlineStr">
        <is>
          <t>run_e3_random_forest.py</t>
        </is>
      </c>
      <c r="AF179" s="49" t="inlineStr">
        <is>
          <t>Scripts/Modeling/run_e3_random_forest.py</t>
        </is>
      </c>
      <c r="AG179" s="49" t="inlineStr">
        <is>
          <t>Experimentos/runs/E3_v3_clean_20260323_080110</t>
        </is>
      </c>
      <c r="AH179" s="49" t="inlineStr">
        <is>
          <t>Experimentos/runs/E3_v3_clean_20260323_080110/scripts/run_e3_random_forest.py</t>
        </is>
      </c>
      <c r="AI179" s="49" t="inlineStr">
        <is>
          <t>Experimentos/runs/E3_v3_clean_20260323_080110/parametros_run.json</t>
        </is>
      </c>
      <c r="AJ179" s="49" t="inlineStr">
        <is>
          <t>Experimentos/runs/E3_v3_clean_20260323_080110/metricas_horizonte.json</t>
        </is>
      </c>
      <c r="AK179" s="49" t="inlineStr">
        <is>
          <t>2026-03-23 08:01:10</t>
        </is>
      </c>
      <c r="AL179" s="49" t="n"/>
      <c r="AM179" s="49" t="n"/>
      <c r="AN179" s="49" t="n"/>
      <c r="AO179" s="49" t="n"/>
      <c r="AP179" s="49" t="n"/>
      <c r="AQ179" s="49" t="n"/>
      <c r="AR179" s="49" t="n"/>
      <c r="AS179" s="49" t="n"/>
      <c r="AT179" s="49" t="n"/>
      <c r="AU179" s="49" t="n"/>
      <c r="AV179" s="49" t="n"/>
      <c r="AW179" s="49" t="n"/>
      <c r="AX179" s="49" t="n"/>
      <c r="AY179" s="49" t="n"/>
    </row>
    <row r="180" ht="15" customHeight="1" s="27">
      <c r="A180" s="49" t="inlineStr">
        <is>
          <t>2026-03-23 08:01:10</t>
        </is>
      </c>
      <c r="B180" s="49" t="inlineStr">
        <is>
          <t>E3_v3_clean</t>
        </is>
      </c>
      <c r="C180" s="50" t="inlineStr">
        <is>
          <t>E3</t>
        </is>
      </c>
      <c r="D180" s="50" t="inlineStr">
        <is>
          <t>arboles_boosting</t>
        </is>
      </c>
      <c r="E180" s="50" t="inlineStr">
        <is>
          <t>extra_trees_regressor</t>
        </is>
      </c>
      <c r="F180" s="50" t="n">
        <v>3</v>
      </c>
      <c r="G180" s="49" t="inlineStr">
        <is>
          <t>nivel</t>
        </is>
      </c>
      <c r="H180" s="50" t="inlineStr">
        <is>
          <t>y_t + lags [1, 2, 3, 4, 5, 6]</t>
        </is>
      </c>
      <c r="I180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80" s="50" t="inlineStr">
        <is>
          <t>sin_escalar</t>
        </is>
      </c>
      <c r="K180" s="50" t="inlineStr">
        <is>
          <t>corr</t>
        </is>
      </c>
      <c r="L180" s="50" t="inlineStr">
        <is>
          <t>walk-forward_expanding</t>
        </is>
      </c>
      <c r="M180" s="49" t="inlineStr">
        <is>
          <t>2024-10-14 a 2026-03-02</t>
        </is>
      </c>
      <c r="N180" s="49" t="inlineStr">
        <is>
          <t>{"feature_candidates": 83, "feature_mode": "corr", "horizon": 3, "initial_train_size": 40, "lags": [1, 2, 3, 4, 5, 6], "model": "extra_trees_regressor", "model_params": {"bootstrap": false, "max_depth": null, "max_features": "sqrt", "min_samples_leaf": 1, "min_samples_split": 2, "n_estimators": 600, "random_state": 42, "tree_model": "extra_trees", "uses_scaling": false}, "rows_eval": 24, "rows_modeling": 64, "selected_feature_count_avg": 30.0, "target_mode": "nivel", "transform_mode": ""}</t>
        </is>
      </c>
      <c r="O180" s="51" t="n">
        <v>0.35</v>
      </c>
      <c r="P180" s="51" t="n">
        <v>0.25</v>
      </c>
      <c r="Q180" s="51" t="n">
        <v>0.25</v>
      </c>
      <c r="R180" s="51" t="n">
        <v>0.1</v>
      </c>
      <c r="S180" s="52" t="n">
        <v>0.3</v>
      </c>
      <c r="T180" s="53" t="n">
        <v>0.187403115427832</v>
      </c>
      <c r="U180" s="53" t="n">
        <v>0.1666666666666666</v>
      </c>
      <c r="V180" s="53" t="n">
        <v>0.1818181818181818</v>
      </c>
      <c r="W180" s="53" t="n">
        <v>0.8333333333333334</v>
      </c>
      <c r="X180" s="54" t="n">
        <v>0.07081369075628599</v>
      </c>
      <c r="Y180" s="53" t="n">
        <v>0.115306151129356</v>
      </c>
      <c r="Z180" s="53" t="n">
        <v>0.142039525563487</v>
      </c>
      <c r="AA180" s="55" t="n">
        <v>0.8333333333333334</v>
      </c>
      <c r="AB180" s="55" t="n">
        <v>0.8181818181818182</v>
      </c>
      <c r="AC180" s="49" t="inlineStr">
        <is>
          <t>corrido</t>
        </is>
      </c>
      <c r="AD180" s="49" t="inlineStr">
        <is>
          <t>ExtraTrees limpio con walk-forward temporal | hipotesis=extratrees_mas_aleatorio_h3_h4 | sin escalado por naturaleza basada en arboles</t>
        </is>
      </c>
      <c r="AE180" s="49" t="inlineStr">
        <is>
          <t>run_e3_random_forest.py</t>
        </is>
      </c>
      <c r="AF180" s="49" t="inlineStr">
        <is>
          <t>Scripts/Modeling/run_e3_random_forest.py</t>
        </is>
      </c>
      <c r="AG180" s="49" t="inlineStr">
        <is>
          <t>Experimentos/runs/E3_v3_clean_20260323_080110</t>
        </is>
      </c>
      <c r="AH180" s="49" t="inlineStr">
        <is>
          <t>Experimentos/runs/E3_v3_clean_20260323_080110/scripts/run_e3_random_forest.py</t>
        </is>
      </c>
      <c r="AI180" s="49" t="inlineStr">
        <is>
          <t>Experimentos/runs/E3_v3_clean_20260323_080110/parametros_run.json</t>
        </is>
      </c>
      <c r="AJ180" s="49" t="inlineStr">
        <is>
          <t>Experimentos/runs/E3_v3_clean_20260323_080110/metricas_horizonte.json</t>
        </is>
      </c>
      <c r="AK180" s="49" t="inlineStr">
        <is>
          <t>2026-03-23 08:01:10</t>
        </is>
      </c>
      <c r="AL180" s="49" t="n"/>
      <c r="AM180" s="49" t="n"/>
      <c r="AN180" s="49" t="n"/>
      <c r="AO180" s="49" t="n"/>
      <c r="AP180" s="49" t="n"/>
      <c r="AQ180" s="49" t="n"/>
      <c r="AR180" s="49" t="n"/>
      <c r="AS180" s="49" t="n"/>
      <c r="AT180" s="49" t="n"/>
      <c r="AU180" s="49" t="n"/>
      <c r="AV180" s="49" t="n"/>
      <c r="AW180" s="49" t="n"/>
      <c r="AX180" s="49" t="n"/>
      <c r="AY180" s="49" t="n"/>
    </row>
    <row r="181" ht="15" customHeight="1" s="27">
      <c r="A181" s="49" t="inlineStr">
        <is>
          <t>2026-03-23 08:01:10</t>
        </is>
      </c>
      <c r="B181" s="49" t="inlineStr">
        <is>
          <t>E3_v3_clean</t>
        </is>
      </c>
      <c r="C181" s="50" t="inlineStr">
        <is>
          <t>E3</t>
        </is>
      </c>
      <c r="D181" s="50" t="inlineStr">
        <is>
          <t>arboles_boosting</t>
        </is>
      </c>
      <c r="E181" s="50" t="inlineStr">
        <is>
          <t>extra_trees_regressor</t>
        </is>
      </c>
      <c r="F181" s="50" t="n">
        <v>4</v>
      </c>
      <c r="G181" s="49" t="inlineStr">
        <is>
          <t>nivel</t>
        </is>
      </c>
      <c r="H181" s="50" t="inlineStr">
        <is>
          <t>y_t + lags [1, 2, 3, 4, 5, 6]</t>
        </is>
      </c>
      <c r="I181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81" s="50" t="inlineStr">
        <is>
          <t>sin_escalar</t>
        </is>
      </c>
      <c r="K181" s="50" t="inlineStr">
        <is>
          <t>corr</t>
        </is>
      </c>
      <c r="L181" s="50" t="inlineStr">
        <is>
          <t>walk-forward_expanding</t>
        </is>
      </c>
      <c r="M181" s="49" t="inlineStr">
        <is>
          <t>2024-10-14 a 2026-03-02</t>
        </is>
      </c>
      <c r="N181" s="49" t="inlineStr">
        <is>
          <t>{"feature_candidates": 83, "feature_mode": "corr", "horizon": 4, "initial_train_size": 40, "lags": [1, 2, 3, 4, 5, 6], "model": "extra_trees_regressor", "model_params": {"bootstrap": false, "max_depth": null, "max_features": "sqrt", "min_samples_leaf": 1, "min_samples_split": 2, "n_estimators": 600, "random_state": 42, "tree_model": "extra_trees", "uses_scaling": false}, "rows_eval": 23, "rows_modeling": 63, "selected_feature_count_avg": 30.0, "target_mode": "nivel", "transform_mode": ""}</t>
        </is>
      </c>
      <c r="O181" s="51" t="n">
        <v>0.35</v>
      </c>
      <c r="P181" s="51" t="n">
        <v>0.25</v>
      </c>
      <c r="Q181" s="51" t="n">
        <v>0.25</v>
      </c>
      <c r="R181" s="51" t="n">
        <v>0.1</v>
      </c>
      <c r="S181" s="52" t="n">
        <v>0.15</v>
      </c>
      <c r="T181" s="53" t="n">
        <v>0.1721947665007063</v>
      </c>
      <c r="U181" s="53" t="n">
        <v>0.3478260869565217</v>
      </c>
      <c r="V181" s="53" t="n">
        <v>0.4444444444444444</v>
      </c>
      <c r="W181" s="53" t="n">
        <v>0.6956521739130435</v>
      </c>
      <c r="X181" s="54" t="n">
        <v>0.04918515277751895</v>
      </c>
      <c r="Y181" s="53" t="n">
        <v>0.1059486963409672</v>
      </c>
      <c r="Z181" s="53" t="n">
        <v>0.146264840710321</v>
      </c>
      <c r="AA181" s="55" t="n">
        <v>0.6521739130434783</v>
      </c>
      <c r="AB181" s="55" t="n">
        <v>0.5555555555555556</v>
      </c>
      <c r="AC181" s="49" t="inlineStr">
        <is>
          <t>corrido</t>
        </is>
      </c>
      <c r="AD181" s="49" t="inlineStr">
        <is>
          <t>ExtraTrees limpio con walk-forward temporal | hipotesis=extratrees_mas_aleatorio_h3_h4 | sin escalado por naturaleza basada en arboles</t>
        </is>
      </c>
      <c r="AE181" s="49" t="inlineStr">
        <is>
          <t>run_e3_random_forest.py</t>
        </is>
      </c>
      <c r="AF181" s="49" t="inlineStr">
        <is>
          <t>Scripts/Modeling/run_e3_random_forest.py</t>
        </is>
      </c>
      <c r="AG181" s="49" t="inlineStr">
        <is>
          <t>Experimentos/runs/E3_v3_clean_20260323_080110</t>
        </is>
      </c>
      <c r="AH181" s="49" t="inlineStr">
        <is>
          <t>Experimentos/runs/E3_v3_clean_20260323_080110/scripts/run_e3_random_forest.py</t>
        </is>
      </c>
      <c r="AI181" s="49" t="inlineStr">
        <is>
          <t>Experimentos/runs/E3_v3_clean_20260323_080110/parametros_run.json</t>
        </is>
      </c>
      <c r="AJ181" s="49" t="inlineStr">
        <is>
          <t>Experimentos/runs/E3_v3_clean_20260323_080110/metricas_horizonte.json</t>
        </is>
      </c>
      <c r="AK181" s="49" t="inlineStr">
        <is>
          <t>2026-03-23 08:01:10</t>
        </is>
      </c>
      <c r="AL181" s="49" t="n"/>
      <c r="AM181" s="49" t="n"/>
      <c r="AN181" s="49" t="n"/>
      <c r="AO181" s="49" t="n"/>
      <c r="AP181" s="49" t="n"/>
      <c r="AQ181" s="49" t="n"/>
      <c r="AR181" s="49" t="n"/>
      <c r="AS181" s="49" t="n"/>
      <c r="AT181" s="49" t="n"/>
      <c r="AU181" s="49" t="n"/>
      <c r="AV181" s="49" t="n"/>
      <c r="AW181" s="49" t="n"/>
      <c r="AX181" s="49" t="n"/>
      <c r="AY181" s="49" t="n"/>
    </row>
    <row r="182" ht="15" customHeight="1" s="27">
      <c r="A182" s="49" t="inlineStr">
        <is>
          <t>2026-03-25 04:59:18</t>
        </is>
      </c>
      <c r="B182" s="49" t="inlineStr">
        <is>
          <t>E3_v2_clean</t>
        </is>
      </c>
      <c r="C182" s="50" t="inlineStr">
        <is>
          <t>E3</t>
        </is>
      </c>
      <c r="D182" s="50" t="inlineStr">
        <is>
          <t>arboles_boosting</t>
        </is>
      </c>
      <c r="E182" s="50" t="inlineStr">
        <is>
          <t>random_forest_regressor</t>
        </is>
      </c>
      <c r="F182" s="50" t="n">
        <v>1</v>
      </c>
      <c r="G182" s="49" t="inlineStr">
        <is>
          <t>nivel</t>
        </is>
      </c>
      <c r="H182" s="50" t="inlineStr">
        <is>
          <t>y_t + lags [1, 2, 3, 4, 5, 6]</t>
        </is>
      </c>
      <c r="I182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82" s="50" t="inlineStr">
        <is>
          <t>sin_escalar</t>
        </is>
      </c>
      <c r="K182" s="50" t="inlineStr">
        <is>
          <t>all</t>
        </is>
      </c>
      <c r="L182" s="50" t="inlineStr">
        <is>
          <t>walk-forward_expanding</t>
        </is>
      </c>
      <c r="M182" s="49" t="inlineStr">
        <is>
          <t>2024-10-14 a 2026-03-02</t>
        </is>
      </c>
      <c r="N182" s="49" t="inlineStr">
        <is>
          <t>{"feature_candidates": 83, "feature_mode": "all", "horizon": 1, "initial_train_size": 40, "lags": [1, 2, 3, 4, 5, 6], "model": "random_forest_regressor", "model_params": {"bootstrap": true, "max_depth": 6, "max_features": "sqrt", "min_samples_leaf": 2, "min_samples_split": 4, "n_estimators": 400, "random_state": 42, "tree_model": "random_forest", "uses_scaling": false}, "rows_eval": 26, "rows_modeling": 66, "selected_feature_count_avg": 83.0, "target_mode": "nivel", "transform_mode": ""}</t>
        </is>
      </c>
      <c r="O182" s="51" t="n">
        <v>0.35</v>
      </c>
      <c r="P182" s="51" t="n">
        <v>0.25</v>
      </c>
      <c r="Q182" s="51" t="n">
        <v>0.25</v>
      </c>
      <c r="R182" s="51" t="n">
        <v>0.1</v>
      </c>
      <c r="S182" s="52" t="n">
        <v>0.3</v>
      </c>
      <c r="T182" s="53" t="n">
        <v>0.1675782427314824</v>
      </c>
      <c r="U182" s="53" t="n">
        <v>0.1923076923076923</v>
      </c>
      <c r="V182" s="53" t="n">
        <v>0.25</v>
      </c>
      <c r="W182" s="53" t="n">
        <v>0.7307692307692307</v>
      </c>
      <c r="X182" s="54" t="n">
        <v>0.0726918693329595</v>
      </c>
      <c r="Y182" s="53" t="n">
        <v>0.1031082228183625</v>
      </c>
      <c r="Z182" s="53" t="n">
        <v>0.1285747794616388</v>
      </c>
      <c r="AA182" s="55" t="n">
        <v>0.8076923076923077</v>
      </c>
      <c r="AB182" s="55" t="n">
        <v>0.75</v>
      </c>
      <c r="AC182" s="49" t="inlineStr">
        <is>
          <t>corrido</t>
        </is>
      </c>
      <c r="AD182" s="49" t="inlineStr">
        <is>
          <t>Random Forest limpio con walk-forward temporal | hipotesis=random_forest_base_amplia | sin escalado por naturaleza basada en arboles</t>
        </is>
      </c>
      <c r="AE182" s="49" t="inlineStr">
        <is>
          <t>run_e3_random_forest.py</t>
        </is>
      </c>
      <c r="AF182" s="49" t="inlineStr">
        <is>
          <t>Scripts/Modeling/run_e3_random_forest.py</t>
        </is>
      </c>
      <c r="AG182" s="49" t="inlineStr">
        <is>
          <t>Experimentos/runs/E3_v2_clean_20260325_045918</t>
        </is>
      </c>
      <c r="AH182" s="49" t="inlineStr">
        <is>
          <t>Experimentos/runs/E3_v2_clean_20260325_045918/scripts/run_e3_random_forest.py</t>
        </is>
      </c>
      <c r="AI182" s="49" t="inlineStr">
        <is>
          <t>Experimentos/runs/E3_v2_clean_20260325_045918/parametros_run.json</t>
        </is>
      </c>
      <c r="AJ182" s="49" t="inlineStr">
        <is>
          <t>Experimentos/runs/E3_v2_clean_20260325_045918/metricas_horizonte.json</t>
        </is>
      </c>
      <c r="AK182" s="49" t="inlineStr">
        <is>
          <t>2026-03-25 04:59:18</t>
        </is>
      </c>
      <c r="AL182" s="49" t="n"/>
      <c r="AM182" s="49" t="n"/>
      <c r="AN182" s="49" t="n"/>
      <c r="AO182" s="49" t="n"/>
      <c r="AP182" s="49" t="n"/>
      <c r="AQ182" s="49" t="n"/>
      <c r="AR182" s="49" t="n"/>
      <c r="AS182" s="49" t="n"/>
      <c r="AT182" s="49" t="n"/>
      <c r="AU182" s="49" t="n"/>
      <c r="AV182" s="49" t="n"/>
      <c r="AW182" s="49" t="n"/>
      <c r="AX182" s="49" t="n"/>
      <c r="AY182" s="49" t="n"/>
    </row>
    <row r="183" ht="15" customHeight="1" s="27">
      <c r="A183" s="49" t="inlineStr">
        <is>
          <t>2026-03-25 04:59:18</t>
        </is>
      </c>
      <c r="B183" s="49" t="inlineStr">
        <is>
          <t>E3_v2_clean</t>
        </is>
      </c>
      <c r="C183" s="50" t="inlineStr">
        <is>
          <t>E3</t>
        </is>
      </c>
      <c r="D183" s="50" t="inlineStr">
        <is>
          <t>arboles_boosting</t>
        </is>
      </c>
      <c r="E183" s="50" t="inlineStr">
        <is>
          <t>random_forest_regressor</t>
        </is>
      </c>
      <c r="F183" s="50" t="n">
        <v>2</v>
      </c>
      <c r="G183" s="49" t="inlineStr">
        <is>
          <t>nivel</t>
        </is>
      </c>
      <c r="H183" s="50" t="inlineStr">
        <is>
          <t>y_t + lags [1, 2, 3, 4, 5, 6]</t>
        </is>
      </c>
      <c r="I183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83" s="50" t="inlineStr">
        <is>
          <t>sin_escalar</t>
        </is>
      </c>
      <c r="K183" s="50" t="inlineStr">
        <is>
          <t>all</t>
        </is>
      </c>
      <c r="L183" s="50" t="inlineStr">
        <is>
          <t>walk-forward_expanding</t>
        </is>
      </c>
      <c r="M183" s="49" t="inlineStr">
        <is>
          <t>2024-10-14 a 2026-03-02</t>
        </is>
      </c>
      <c r="N183" s="49" t="inlineStr">
        <is>
          <t>{"feature_candidates": 83, "feature_mode": "all", "horizon": 2, "initial_train_size": 40, "lags": [1, 2, 3, 4, 5, 6], "model": "random_forest_regressor", "model_params": {"bootstrap": true, "max_depth": 6, "max_features": "sqrt", "min_samples_leaf": 2, "min_samples_split": 4, "n_estimators": 400, "random_state": 42, "tree_model": "random_forest", "uses_scaling": false}, "rows_eval": 25, "rows_modeling": 65, "selected_feature_count_avg": 83.0, "target_mode": "nivel", "transform_mode": ""}</t>
        </is>
      </c>
      <c r="O183" s="51" t="n">
        <v>0.35</v>
      </c>
      <c r="P183" s="51" t="n">
        <v>0.25</v>
      </c>
      <c r="Q183" s="51" t="n">
        <v>0.25</v>
      </c>
      <c r="R183" s="51" t="n">
        <v>0.1</v>
      </c>
      <c r="S183" s="52" t="n">
        <v>0.25</v>
      </c>
      <c r="T183" s="53" t="n">
        <v>0.1713405254856186</v>
      </c>
      <c r="U183" s="53" t="n">
        <v>0.36</v>
      </c>
      <c r="V183" s="53" t="n">
        <v>0.4</v>
      </c>
      <c r="W183" s="53" t="n">
        <v>0.8</v>
      </c>
      <c r="X183" s="54" t="n">
        <v>0.08249229597999164</v>
      </c>
      <c r="Y183" s="53" t="n">
        <v>0.105423095454548</v>
      </c>
      <c r="Z183" s="53" t="n">
        <v>0.1318483561897889</v>
      </c>
      <c r="AA183" s="55" t="n">
        <v>0.64</v>
      </c>
      <c r="AB183" s="55" t="n">
        <v>0.6</v>
      </c>
      <c r="AC183" s="49" t="inlineStr">
        <is>
          <t>corrido</t>
        </is>
      </c>
      <c r="AD183" s="49" t="inlineStr">
        <is>
          <t>Random Forest limpio con walk-forward temporal | hipotesis=random_forest_base_amplia | sin escalado por naturaleza basada en arboles</t>
        </is>
      </c>
      <c r="AE183" s="49" t="inlineStr">
        <is>
          <t>run_e3_random_forest.py</t>
        </is>
      </c>
      <c r="AF183" s="49" t="inlineStr">
        <is>
          <t>Scripts/Modeling/run_e3_random_forest.py</t>
        </is>
      </c>
      <c r="AG183" s="49" t="inlineStr">
        <is>
          <t>Experimentos/runs/E3_v2_clean_20260325_045918</t>
        </is>
      </c>
      <c r="AH183" s="49" t="inlineStr">
        <is>
          <t>Experimentos/runs/E3_v2_clean_20260325_045918/scripts/run_e3_random_forest.py</t>
        </is>
      </c>
      <c r="AI183" s="49" t="inlineStr">
        <is>
          <t>Experimentos/runs/E3_v2_clean_20260325_045918/parametros_run.json</t>
        </is>
      </c>
      <c r="AJ183" s="49" t="inlineStr">
        <is>
          <t>Experimentos/runs/E3_v2_clean_20260325_045918/metricas_horizonte.json</t>
        </is>
      </c>
      <c r="AK183" s="49" t="inlineStr">
        <is>
          <t>2026-03-25 04:59:18</t>
        </is>
      </c>
      <c r="AL183" s="49" t="n"/>
      <c r="AM183" s="49" t="n"/>
      <c r="AN183" s="49" t="n"/>
      <c r="AO183" s="49" t="n"/>
      <c r="AP183" s="49" t="n"/>
      <c r="AQ183" s="49" t="n"/>
      <c r="AR183" s="49" t="n"/>
      <c r="AS183" s="49" t="n"/>
      <c r="AT183" s="49" t="n"/>
      <c r="AU183" s="49" t="n"/>
      <c r="AV183" s="49" t="n"/>
      <c r="AW183" s="49" t="n"/>
      <c r="AX183" s="49" t="n"/>
      <c r="AY183" s="49" t="n"/>
    </row>
    <row r="184" ht="15" customHeight="1" s="27">
      <c r="A184" s="49" t="inlineStr">
        <is>
          <t>2026-03-25 04:59:18</t>
        </is>
      </c>
      <c r="B184" s="49" t="inlineStr">
        <is>
          <t>E3_v2_clean</t>
        </is>
      </c>
      <c r="C184" s="50" t="inlineStr">
        <is>
          <t>E3</t>
        </is>
      </c>
      <c r="D184" s="50" t="inlineStr">
        <is>
          <t>arboles_boosting</t>
        </is>
      </c>
      <c r="E184" s="50" t="inlineStr">
        <is>
          <t>random_forest_regressor</t>
        </is>
      </c>
      <c r="F184" s="50" t="n">
        <v>3</v>
      </c>
      <c r="G184" s="49" t="inlineStr">
        <is>
          <t>nivel</t>
        </is>
      </c>
      <c r="H184" s="50" t="inlineStr">
        <is>
          <t>y_t + lags [1, 2, 3, 4, 5, 6]</t>
        </is>
      </c>
      <c r="I184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84" s="50" t="inlineStr">
        <is>
          <t>sin_escalar</t>
        </is>
      </c>
      <c r="K184" s="50" t="inlineStr">
        <is>
          <t>all</t>
        </is>
      </c>
      <c r="L184" s="50" t="inlineStr">
        <is>
          <t>walk-forward_expanding</t>
        </is>
      </c>
      <c r="M184" s="49" t="inlineStr">
        <is>
          <t>2024-10-14 a 2026-03-02</t>
        </is>
      </c>
      <c r="N184" s="49" t="inlineStr">
        <is>
          <t>{"feature_candidates": 83, "feature_mode": "all", "horizon": 3, "initial_train_size": 40, "lags": [1, 2, 3, 4, 5, 6], "model": "random_forest_regressor", "model_params": {"bootstrap": true, "max_depth": 6, "max_features": "sqrt", "min_samples_leaf": 2, "min_samples_split": 4, "n_estimators": 400, "random_state": 42, "tree_model": "random_forest", "uses_scaling": false}, "rows_eval": 24, "rows_modeling": 64, "selected_feature_count_avg": 83.0, "target_mode": "nivel", "transform_mode": ""}</t>
        </is>
      </c>
      <c r="O184" s="51" t="n">
        <v>0.35</v>
      </c>
      <c r="P184" s="51" t="n">
        <v>0.25</v>
      </c>
      <c r="Q184" s="51" t="n">
        <v>0.25</v>
      </c>
      <c r="R184" s="51" t="n">
        <v>0.1</v>
      </c>
      <c r="S184" s="52" t="n">
        <v>0.3</v>
      </c>
      <c r="T184" s="53" t="n">
        <v>0.1755955670167976</v>
      </c>
      <c r="U184" s="53" t="n">
        <v>0.2083333333333334</v>
      </c>
      <c r="V184" s="53" t="n">
        <v>0.1818181818181818</v>
      </c>
      <c r="W184" s="53" t="n">
        <v>0.7083333333333334</v>
      </c>
      <c r="X184" s="54" t="n">
        <v>0.0689488981731274</v>
      </c>
      <c r="Y184" s="53" t="n">
        <v>0.1080411547153864</v>
      </c>
      <c r="Z184" s="53" t="n">
        <v>0.1374566791526148</v>
      </c>
      <c r="AA184" s="55" t="n">
        <v>0.7916666666666666</v>
      </c>
      <c r="AB184" s="55" t="n">
        <v>0.8181818181818182</v>
      </c>
      <c r="AC184" s="49" t="inlineStr">
        <is>
          <t>corrido</t>
        </is>
      </c>
      <c r="AD184" s="49" t="inlineStr">
        <is>
          <t>Random Forest limpio con walk-forward temporal | hipotesis=random_forest_base_amplia | sin escalado por naturaleza basada en arboles</t>
        </is>
      </c>
      <c r="AE184" s="49" t="inlineStr">
        <is>
          <t>run_e3_random_forest.py</t>
        </is>
      </c>
      <c r="AF184" s="49" t="inlineStr">
        <is>
          <t>Scripts/Modeling/run_e3_random_forest.py</t>
        </is>
      </c>
      <c r="AG184" s="49" t="inlineStr">
        <is>
          <t>Experimentos/runs/E3_v2_clean_20260325_045918</t>
        </is>
      </c>
      <c r="AH184" s="49" t="inlineStr">
        <is>
          <t>Experimentos/runs/E3_v2_clean_20260325_045918/scripts/run_e3_random_forest.py</t>
        </is>
      </c>
      <c r="AI184" s="49" t="inlineStr">
        <is>
          <t>Experimentos/runs/E3_v2_clean_20260325_045918/parametros_run.json</t>
        </is>
      </c>
      <c r="AJ184" s="49" t="inlineStr">
        <is>
          <t>Experimentos/runs/E3_v2_clean_20260325_045918/metricas_horizonte.json</t>
        </is>
      </c>
      <c r="AK184" s="49" t="inlineStr">
        <is>
          <t>2026-03-25 04:59:18</t>
        </is>
      </c>
      <c r="AL184" s="49" t="n"/>
      <c r="AM184" s="49" t="n"/>
      <c r="AN184" s="49" t="n"/>
      <c r="AO184" s="49" t="n"/>
      <c r="AP184" s="49" t="n"/>
      <c r="AQ184" s="49" t="n"/>
      <c r="AR184" s="49" t="n"/>
      <c r="AS184" s="49" t="n"/>
      <c r="AT184" s="49" t="n"/>
      <c r="AU184" s="49" t="n"/>
      <c r="AV184" s="49" t="n"/>
      <c r="AW184" s="49" t="n"/>
      <c r="AX184" s="49" t="n"/>
      <c r="AY184" s="49" t="n"/>
    </row>
    <row r="185" ht="15" customHeight="1" s="27">
      <c r="A185" s="49" t="inlineStr">
        <is>
          <t>2026-03-25 04:59:18</t>
        </is>
      </c>
      <c r="B185" s="49" t="inlineStr">
        <is>
          <t>E3_v2_clean</t>
        </is>
      </c>
      <c r="C185" s="50" t="inlineStr">
        <is>
          <t>E3</t>
        </is>
      </c>
      <c r="D185" s="50" t="inlineStr">
        <is>
          <t>arboles_boosting</t>
        </is>
      </c>
      <c r="E185" s="50" t="inlineStr">
        <is>
          <t>random_forest_regressor</t>
        </is>
      </c>
      <c r="F185" s="50" t="n">
        <v>4</v>
      </c>
      <c r="G185" s="49" t="inlineStr">
        <is>
          <t>nivel</t>
        </is>
      </c>
      <c r="H185" s="50" t="inlineStr">
        <is>
          <t>y_t + lags [1, 2, 3, 4, 5, 6]</t>
        </is>
      </c>
      <c r="I185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85" s="50" t="inlineStr">
        <is>
          <t>sin_escalar</t>
        </is>
      </c>
      <c r="K185" s="50" t="inlineStr">
        <is>
          <t>all</t>
        </is>
      </c>
      <c r="L185" s="50" t="inlineStr">
        <is>
          <t>walk-forward_expanding</t>
        </is>
      </c>
      <c r="M185" s="49" t="inlineStr">
        <is>
          <t>2024-10-14 a 2026-03-02</t>
        </is>
      </c>
      <c r="N185" s="49" t="inlineStr">
        <is>
          <t>{"feature_candidates": 83, "feature_mode": "all", "horizon": 4, "initial_train_size": 40, "lags": [1, 2, 3, 4, 5, 6], "model": "random_forest_regressor", "model_params": {"bootstrap": true, "max_depth": 6, "max_features": "sqrt", "min_samples_leaf": 2, "min_samples_split": 4, "n_estimators": 400, "random_state": 42, "tree_model": "random_forest", "uses_scaling": false}, "rows_eval": 23, "rows_modeling": 63, "selected_feature_count_avg": 83.0, "target_mode": "nivel", "transform_mode": ""}</t>
        </is>
      </c>
      <c r="O185" s="51" t="n">
        <v>0.35</v>
      </c>
      <c r="P185" s="51" t="n">
        <v>0.25</v>
      </c>
      <c r="Q185" s="51" t="n">
        <v>0.25</v>
      </c>
      <c r="R185" s="51" t="n">
        <v>0.1</v>
      </c>
      <c r="S185" s="52" t="n">
        <v>0.15</v>
      </c>
      <c r="T185" s="53" t="n">
        <v>0.1630091888460166</v>
      </c>
      <c r="U185" s="53" t="n">
        <v>0.3043478260869565</v>
      </c>
      <c r="V185" s="53" t="n">
        <v>0.3333333333333334</v>
      </c>
      <c r="W185" s="53" t="n">
        <v>0.6521739130434783</v>
      </c>
      <c r="X185" s="54" t="n">
        <v>0.04225363458832891</v>
      </c>
      <c r="Y185" s="53" t="n">
        <v>0.1002969567589219</v>
      </c>
      <c r="Z185" s="53" t="n">
        <v>0.1407502345248033</v>
      </c>
      <c r="AA185" s="55" t="n">
        <v>0.6956521739130435</v>
      </c>
      <c r="AB185" s="55" t="n">
        <v>0.6666666666666666</v>
      </c>
      <c r="AC185" s="49" t="inlineStr">
        <is>
          <t>corrido</t>
        </is>
      </c>
      <c r="AD185" s="49" t="inlineStr">
        <is>
          <t>Random Forest limpio con walk-forward temporal | hipotesis=random_forest_base_amplia | sin escalado por naturaleza basada en arboles</t>
        </is>
      </c>
      <c r="AE185" s="49" t="inlineStr">
        <is>
          <t>run_e3_random_forest.py</t>
        </is>
      </c>
      <c r="AF185" s="49" t="inlineStr">
        <is>
          <t>Scripts/Modeling/run_e3_random_forest.py</t>
        </is>
      </c>
      <c r="AG185" s="49" t="inlineStr">
        <is>
          <t>Experimentos/runs/E3_v2_clean_20260325_045918</t>
        </is>
      </c>
      <c r="AH185" s="49" t="inlineStr">
        <is>
          <t>Experimentos/runs/E3_v2_clean_20260325_045918/scripts/run_e3_random_forest.py</t>
        </is>
      </c>
      <c r="AI185" s="49" t="inlineStr">
        <is>
          <t>Experimentos/runs/E3_v2_clean_20260325_045918/parametros_run.json</t>
        </is>
      </c>
      <c r="AJ185" s="49" t="inlineStr">
        <is>
          <t>Experimentos/runs/E3_v2_clean_20260325_045918/metricas_horizonte.json</t>
        </is>
      </c>
      <c r="AK185" s="49" t="inlineStr">
        <is>
          <t>2026-03-25 04:59:18</t>
        </is>
      </c>
      <c r="AL185" s="49" t="n"/>
      <c r="AM185" s="49" t="n"/>
      <c r="AN185" s="49" t="n"/>
      <c r="AO185" s="49" t="n"/>
      <c r="AP185" s="49" t="n"/>
      <c r="AQ185" s="49" t="n"/>
      <c r="AR185" s="49" t="n"/>
      <c r="AS185" s="49" t="n"/>
      <c r="AT185" s="49" t="n"/>
      <c r="AU185" s="49" t="n"/>
      <c r="AV185" s="49" t="n"/>
      <c r="AW185" s="49" t="n"/>
      <c r="AX185" s="49" t="n"/>
      <c r="AY185" s="49" t="n"/>
    </row>
    <row r="186" ht="15" customHeight="1" s="27">
      <c r="A186" s="49" t="inlineStr">
        <is>
          <t>2026-03-25 05:20:51</t>
        </is>
      </c>
      <c r="B186" s="49" t="inlineStr">
        <is>
          <t>E4_v1_clean</t>
        </is>
      </c>
      <c r="C186" s="50" t="inlineStr">
        <is>
          <t>E4</t>
        </is>
      </c>
      <c r="D186" s="50" t="inlineStr">
        <is>
          <t>arboles_boosting</t>
        </is>
      </c>
      <c r="E186" s="50" t="inlineStr">
        <is>
          <t>xgboost_regressor</t>
        </is>
      </c>
      <c r="F186" s="50" t="n">
        <v>1</v>
      </c>
      <c r="G186" s="49" t="inlineStr">
        <is>
          <t>nivel</t>
        </is>
      </c>
      <c r="H186" s="50" t="inlineStr">
        <is>
          <t>y_t + lags [1, 2, 3, 4, 5, 6]</t>
        </is>
      </c>
      <c r="I186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86" s="50" t="inlineStr">
        <is>
          <t>sin_escalar</t>
        </is>
      </c>
      <c r="K186" s="50" t="inlineStr">
        <is>
          <t>all</t>
        </is>
      </c>
      <c r="L186" s="50" t="inlineStr">
        <is>
          <t>walk-forward_expanding</t>
        </is>
      </c>
      <c r="M186" s="49" t="inlineStr">
        <is>
          <t>2024-10-14 a 2026-03-02</t>
        </is>
      </c>
      <c r="N186" s="49" t="inlineStr">
        <is>
          <t>{"feature_candidates": 83, "feature_mode": "all", "horizon": 1, "initial_train_size": 40, "lags": [1, 2, 3, 4, 5, 6], "model": "xgboost_regressor", "model_params": {"colsample_bytree": 0.8, "learning_rate": 0.05, "max_depth": 3, "min_child_weight": 3.0, "n_estimators": 300, "random_state": 42, "reg_alpha": 0.0, "reg_lambda": 1.0, "subsample": 0.8, "tuning_strategy": "baseline_fijo_sin_tuning_interno", "uses_scaling": false}, "rows_eval": 26, "rows_modeling": 66, "selected_feature_count_avg": 83.0, "target_mode": "nivel", "transform_mode": ""}</t>
        </is>
      </c>
      <c r="O186" s="51" t="n">
        <v>0.35</v>
      </c>
      <c r="P186" s="51" t="n">
        <v>0.25</v>
      </c>
      <c r="Q186" s="51" t="n">
        <v>0.25</v>
      </c>
      <c r="R186" s="51" t="n">
        <v>0.1</v>
      </c>
      <c r="S186" s="52" t="n">
        <v>0.3</v>
      </c>
      <c r="T186" s="53" t="n">
        <v>0.1780240685740992</v>
      </c>
      <c r="U186" s="53" t="n">
        <v>0.2307692307692307</v>
      </c>
      <c r="V186" s="53" t="n">
        <v>0.25</v>
      </c>
      <c r="W186" s="53" t="n">
        <v>0.7692307692307693</v>
      </c>
      <c r="X186" s="54" t="n">
        <v>0.07782714258489579</v>
      </c>
      <c r="Y186" s="53" t="n">
        <v>0.1095353730315805</v>
      </c>
      <c r="Z186" s="53" t="n">
        <v>0.1306657841806134</v>
      </c>
      <c r="AA186" s="55" t="n">
        <v>0.7692307692307693</v>
      </c>
      <c r="AB186" s="55" t="n">
        <v>0.75</v>
      </c>
      <c r="AC186" s="49" t="inlineStr">
        <is>
          <t>corrido</t>
        </is>
      </c>
      <c r="AD186" s="49" t="inlineStr">
        <is>
          <t>XGBoost limpio con walk-forward temporal | hipotesis=boosting_base_conservador | baseline fijo sin tuning interno | sin escalado por naturaleza basada en arboles</t>
        </is>
      </c>
      <c r="AE186" s="49" t="inlineStr">
        <is>
          <t>run_e4_xgboost.py</t>
        </is>
      </c>
      <c r="AF186" s="49" t="inlineStr">
        <is>
          <t>Scripts/Modeling/run_e4_xgboost.py</t>
        </is>
      </c>
      <c r="AG186" s="49" t="inlineStr">
        <is>
          <t>Experimentos/runs/E4_v1_clean_20260325_052051</t>
        </is>
      </c>
      <c r="AH186" s="49" t="inlineStr">
        <is>
          <t>Experimentos/runs/E4_v1_clean_20260325_052051/scripts/run_e4_xgboost.py</t>
        </is>
      </c>
      <c r="AI186" s="49" t="inlineStr">
        <is>
          <t>Experimentos/runs/E4_v1_clean_20260325_052051/parametros_run.json</t>
        </is>
      </c>
      <c r="AJ186" s="49" t="inlineStr">
        <is>
          <t>Experimentos/runs/E4_v1_clean_20260325_052051/metricas_horizonte.json</t>
        </is>
      </c>
      <c r="AK186" s="49" t="inlineStr">
        <is>
          <t>2026-03-25 05:20:51</t>
        </is>
      </c>
      <c r="AL186" s="49" t="n"/>
      <c r="AM186" s="49" t="n"/>
      <c r="AN186" s="49" t="n"/>
      <c r="AO186" s="49" t="n"/>
      <c r="AP186" s="49" t="n"/>
      <c r="AQ186" s="49" t="n"/>
      <c r="AR186" s="49" t="n"/>
      <c r="AS186" s="49" t="n"/>
      <c r="AT186" s="49" t="n"/>
      <c r="AU186" s="49" t="n"/>
      <c r="AV186" s="49" t="n"/>
      <c r="AW186" s="49" t="n"/>
      <c r="AX186" s="49" t="n"/>
      <c r="AY186" s="49" t="n"/>
    </row>
    <row r="187" ht="15" customHeight="1" s="27">
      <c r="A187" s="49" t="inlineStr">
        <is>
          <t>2026-03-25 05:20:51</t>
        </is>
      </c>
      <c r="B187" s="49" t="inlineStr">
        <is>
          <t>E4_v1_clean</t>
        </is>
      </c>
      <c r="C187" s="50" t="inlineStr">
        <is>
          <t>E4</t>
        </is>
      </c>
      <c r="D187" s="50" t="inlineStr">
        <is>
          <t>arboles_boosting</t>
        </is>
      </c>
      <c r="E187" s="50" t="inlineStr">
        <is>
          <t>xgboost_regressor</t>
        </is>
      </c>
      <c r="F187" s="50" t="n">
        <v>2</v>
      </c>
      <c r="G187" s="49" t="inlineStr">
        <is>
          <t>nivel</t>
        </is>
      </c>
      <c r="H187" s="50" t="inlineStr">
        <is>
          <t>y_t + lags [1, 2, 3, 4, 5, 6]</t>
        </is>
      </c>
      <c r="I187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87" s="50" t="inlineStr">
        <is>
          <t>sin_escalar</t>
        </is>
      </c>
      <c r="K187" s="50" t="inlineStr">
        <is>
          <t>all</t>
        </is>
      </c>
      <c r="L187" s="50" t="inlineStr">
        <is>
          <t>walk-forward_expanding</t>
        </is>
      </c>
      <c r="M187" s="49" t="inlineStr">
        <is>
          <t>2024-10-14 a 2026-03-02</t>
        </is>
      </c>
      <c r="N187" s="49" t="inlineStr">
        <is>
          <t>{"feature_candidates": 83, "feature_mode": "all", "horizon": 2, "initial_train_size": 40, "lags": [1, 2, 3, 4, 5, 6], "model": "xgboost_regressor", "model_params": {"colsample_bytree": 0.8, "learning_rate": 0.05, "max_depth": 3, "min_child_weight": 3.0, "n_estimators": 300, "random_state": 42, "reg_alpha": 0.0, "reg_lambda": 1.0, "subsample": 0.8, "tuning_strategy": "baseline_fijo_sin_tuning_interno", "uses_scaling": false}, "rows_eval": 25, "rows_modeling": 65, "selected_feature_count_avg": 83.0, "target_mode": "nivel", "transform_mode": ""}</t>
        </is>
      </c>
      <c r="O187" s="51" t="n">
        <v>0.35</v>
      </c>
      <c r="P187" s="51" t="n">
        <v>0.25</v>
      </c>
      <c r="Q187" s="51" t="n">
        <v>0.25</v>
      </c>
      <c r="R187" s="51" t="n">
        <v>0.1</v>
      </c>
      <c r="S187" s="52" t="n">
        <v>0.25</v>
      </c>
      <c r="T187" s="53" t="n">
        <v>0.1821822415983659</v>
      </c>
      <c r="U187" s="53" t="n">
        <v>0.4</v>
      </c>
      <c r="V187" s="53" t="n">
        <v>0.4</v>
      </c>
      <c r="W187" s="53" t="n">
        <v>0.68</v>
      </c>
      <c r="X187" s="54" t="n">
        <v>0.08294094613985702</v>
      </c>
      <c r="Y187" s="53" t="n">
        <v>0.1120938306434698</v>
      </c>
      <c r="Z187" s="53" t="n">
        <v>0.1368427314806668</v>
      </c>
      <c r="AA187" s="55" t="n">
        <v>0.6</v>
      </c>
      <c r="AB187" s="55" t="n">
        <v>0.6</v>
      </c>
      <c r="AC187" s="49" t="inlineStr">
        <is>
          <t>corrido</t>
        </is>
      </c>
      <c r="AD187" s="49" t="inlineStr">
        <is>
          <t>XGBoost limpio con walk-forward temporal | hipotesis=boosting_base_conservador | baseline fijo sin tuning interno | sin escalado por naturaleza basada en arboles</t>
        </is>
      </c>
      <c r="AE187" s="49" t="inlineStr">
        <is>
          <t>run_e4_xgboost.py</t>
        </is>
      </c>
      <c r="AF187" s="49" t="inlineStr">
        <is>
          <t>Scripts/Modeling/run_e4_xgboost.py</t>
        </is>
      </c>
      <c r="AG187" s="49" t="inlineStr">
        <is>
          <t>Experimentos/runs/E4_v1_clean_20260325_052051</t>
        </is>
      </c>
      <c r="AH187" s="49" t="inlineStr">
        <is>
          <t>Experimentos/runs/E4_v1_clean_20260325_052051/scripts/run_e4_xgboost.py</t>
        </is>
      </c>
      <c r="AI187" s="49" t="inlineStr">
        <is>
          <t>Experimentos/runs/E4_v1_clean_20260325_052051/parametros_run.json</t>
        </is>
      </c>
      <c r="AJ187" s="49" t="inlineStr">
        <is>
          <t>Experimentos/runs/E4_v1_clean_20260325_052051/metricas_horizonte.json</t>
        </is>
      </c>
      <c r="AK187" s="49" t="inlineStr">
        <is>
          <t>2026-03-25 05:20:51</t>
        </is>
      </c>
      <c r="AL187" s="49" t="n"/>
      <c r="AM187" s="49" t="n"/>
      <c r="AN187" s="49" t="n"/>
      <c r="AO187" s="49" t="n"/>
      <c r="AP187" s="49" t="n"/>
      <c r="AQ187" s="49" t="n"/>
      <c r="AR187" s="49" t="n"/>
      <c r="AS187" s="49" t="n"/>
      <c r="AT187" s="49" t="n"/>
      <c r="AU187" s="49" t="n"/>
      <c r="AV187" s="49" t="n"/>
      <c r="AW187" s="49" t="n"/>
      <c r="AX187" s="49" t="n"/>
      <c r="AY187" s="49" t="n"/>
    </row>
    <row r="188" ht="15" customHeight="1" s="27">
      <c r="A188" s="49" t="inlineStr">
        <is>
          <t>2026-03-25 05:20:51</t>
        </is>
      </c>
      <c r="B188" s="49" t="inlineStr">
        <is>
          <t>E4_v1_clean</t>
        </is>
      </c>
      <c r="C188" s="50" t="inlineStr">
        <is>
          <t>E4</t>
        </is>
      </c>
      <c r="D188" s="50" t="inlineStr">
        <is>
          <t>arboles_boosting</t>
        </is>
      </c>
      <c r="E188" s="50" t="inlineStr">
        <is>
          <t>xgboost_regressor</t>
        </is>
      </c>
      <c r="F188" s="50" t="n">
        <v>3</v>
      </c>
      <c r="G188" s="49" t="inlineStr">
        <is>
          <t>nivel</t>
        </is>
      </c>
      <c r="H188" s="50" t="inlineStr">
        <is>
          <t>y_t + lags [1, 2, 3, 4, 5, 6]</t>
        </is>
      </c>
      <c r="I188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88" s="50" t="inlineStr">
        <is>
          <t>sin_escalar</t>
        </is>
      </c>
      <c r="K188" s="50" t="inlineStr">
        <is>
          <t>all</t>
        </is>
      </c>
      <c r="L188" s="50" t="inlineStr">
        <is>
          <t>walk-forward_expanding</t>
        </is>
      </c>
      <c r="M188" s="49" t="inlineStr">
        <is>
          <t>2024-10-14 a 2026-03-02</t>
        </is>
      </c>
      <c r="N188" s="49" t="inlineStr">
        <is>
          <t>{"feature_candidates": 83, "feature_mode": "all", "horizon": 3, "initial_train_size": 40, "lags": [1, 2, 3, 4, 5, 6], "model": "xgboost_regressor", "model_params": {"colsample_bytree": 0.8, "learning_rate": 0.05, "max_depth": 3, "min_child_weight": 3.0, "n_estimators": 300, "random_state": 42, "reg_alpha": 0.0, "reg_lambda": 1.0, "subsample": 0.8, "tuning_strategy": "baseline_fijo_sin_tuning_interno", "uses_scaling": false}, "rows_eval": 24, "rows_modeling": 64, "selected_feature_count_avg": 83.0, "target_mode": "nivel", "transform_mode": ""}</t>
        </is>
      </c>
      <c r="O188" s="51" t="n">
        <v>0.35</v>
      </c>
      <c r="P188" s="51" t="n">
        <v>0.25</v>
      </c>
      <c r="Q188" s="51" t="n">
        <v>0.25</v>
      </c>
      <c r="R188" s="51" t="n">
        <v>0.1</v>
      </c>
      <c r="S188" s="52" t="n">
        <v>0.3</v>
      </c>
      <c r="T188" s="53" t="n">
        <v>0.1935230964875823</v>
      </c>
      <c r="U188" s="53" t="n">
        <v>0.3333333333333334</v>
      </c>
      <c r="V188" s="53" t="n">
        <v>0.1818181818181818</v>
      </c>
      <c r="W188" s="53" t="n">
        <v>0.7083333333333334</v>
      </c>
      <c r="X188" s="54" t="n">
        <v>0.08020628876755978</v>
      </c>
      <c r="Y188" s="53" t="n">
        <v>0.1190716779690425</v>
      </c>
      <c r="Z188" s="53" t="n">
        <v>0.1473403870715595</v>
      </c>
      <c r="AA188" s="55" t="n">
        <v>0.6666666666666666</v>
      </c>
      <c r="AB188" s="55" t="n">
        <v>0.8181818181818182</v>
      </c>
      <c r="AC188" s="49" t="inlineStr">
        <is>
          <t>corrido</t>
        </is>
      </c>
      <c r="AD188" s="49" t="inlineStr">
        <is>
          <t>XGBoost limpio con walk-forward temporal | hipotesis=boosting_base_conservador | baseline fijo sin tuning interno | sin escalado por naturaleza basada en arboles</t>
        </is>
      </c>
      <c r="AE188" s="49" t="inlineStr">
        <is>
          <t>run_e4_xgboost.py</t>
        </is>
      </c>
      <c r="AF188" s="49" t="inlineStr">
        <is>
          <t>Scripts/Modeling/run_e4_xgboost.py</t>
        </is>
      </c>
      <c r="AG188" s="49" t="inlineStr">
        <is>
          <t>Experimentos/runs/E4_v1_clean_20260325_052051</t>
        </is>
      </c>
      <c r="AH188" s="49" t="inlineStr">
        <is>
          <t>Experimentos/runs/E4_v1_clean_20260325_052051/scripts/run_e4_xgboost.py</t>
        </is>
      </c>
      <c r="AI188" s="49" t="inlineStr">
        <is>
          <t>Experimentos/runs/E4_v1_clean_20260325_052051/parametros_run.json</t>
        </is>
      </c>
      <c r="AJ188" s="49" t="inlineStr">
        <is>
          <t>Experimentos/runs/E4_v1_clean_20260325_052051/metricas_horizonte.json</t>
        </is>
      </c>
      <c r="AK188" s="49" t="inlineStr">
        <is>
          <t>2026-03-25 05:20:51</t>
        </is>
      </c>
      <c r="AL188" s="49" t="n"/>
      <c r="AM188" s="49" t="n"/>
      <c r="AN188" s="49" t="n"/>
      <c r="AO188" s="49" t="n"/>
      <c r="AP188" s="49" t="n"/>
      <c r="AQ188" s="49" t="n"/>
      <c r="AR188" s="49" t="n"/>
      <c r="AS188" s="49" t="n"/>
      <c r="AT188" s="49" t="n"/>
      <c r="AU188" s="49" t="n"/>
      <c r="AV188" s="49" t="n"/>
      <c r="AW188" s="49" t="n"/>
      <c r="AX188" s="49" t="n"/>
      <c r="AY188" s="49" t="n"/>
    </row>
    <row r="189" ht="15" customHeight="1" s="27">
      <c r="A189" s="49" t="inlineStr">
        <is>
          <t>2026-03-25 05:20:51</t>
        </is>
      </c>
      <c r="B189" s="49" t="inlineStr">
        <is>
          <t>E4_v1_clean</t>
        </is>
      </c>
      <c r="C189" s="50" t="inlineStr">
        <is>
          <t>E4</t>
        </is>
      </c>
      <c r="D189" s="50" t="inlineStr">
        <is>
          <t>arboles_boosting</t>
        </is>
      </c>
      <c r="E189" s="50" t="inlineStr">
        <is>
          <t>xgboost_regressor</t>
        </is>
      </c>
      <c r="F189" s="50" t="n">
        <v>4</v>
      </c>
      <c r="G189" s="49" t="inlineStr">
        <is>
          <t>nivel</t>
        </is>
      </c>
      <c r="H189" s="50" t="inlineStr">
        <is>
          <t>y_t + lags [1, 2, 3, 4, 5, 6]</t>
        </is>
      </c>
      <c r="I189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89" s="50" t="inlineStr">
        <is>
          <t>sin_escalar</t>
        </is>
      </c>
      <c r="K189" s="50" t="inlineStr">
        <is>
          <t>all</t>
        </is>
      </c>
      <c r="L189" s="50" t="inlineStr">
        <is>
          <t>walk-forward_expanding</t>
        </is>
      </c>
      <c r="M189" s="49" t="inlineStr">
        <is>
          <t>2024-10-14 a 2026-03-02</t>
        </is>
      </c>
      <c r="N189" s="49" t="inlineStr">
        <is>
          <t>{"feature_candidates": 83, "feature_mode": "all", "horizon": 4, "initial_train_size": 40, "lags": [1, 2, 3, 4, 5, 6], "model": "xgboost_regressor", "model_params": {"colsample_bytree": 0.8, "learning_rate": 0.05, "max_depth": 3, "min_child_weight": 3.0, "n_estimators": 300, "random_state": 42, "reg_alpha": 0.0, "reg_lambda": 1.0, "subsample": 0.8, "tuning_strategy": "baseline_fijo_sin_tuning_interno", "uses_scaling": false}, "rows_eval": 23, "rows_modeling": 63, "selected_feature_count_avg": 83.0, "target_mode": "nivel", "transform_mode": ""}</t>
        </is>
      </c>
      <c r="O189" s="51" t="n">
        <v>0.35</v>
      </c>
      <c r="P189" s="51" t="n">
        <v>0.25</v>
      </c>
      <c r="Q189" s="51" t="n">
        <v>0.25</v>
      </c>
      <c r="R189" s="51" t="n">
        <v>0.1</v>
      </c>
      <c r="S189" s="52" t="n">
        <v>0.15</v>
      </c>
      <c r="T189" s="53" t="n">
        <v>0.182669878414076</v>
      </c>
      <c r="U189" s="53" t="n">
        <v>0.2608695652173914</v>
      </c>
      <c r="V189" s="53" t="n">
        <v>0.3333333333333334</v>
      </c>
      <c r="W189" s="53" t="n">
        <v>0.7391304347826086</v>
      </c>
      <c r="X189" s="54" t="n">
        <v>0.04295973383413029</v>
      </c>
      <c r="Y189" s="53" t="n">
        <v>0.1123938658069202</v>
      </c>
      <c r="Z189" s="53" t="n">
        <v>0.1540985033542736</v>
      </c>
      <c r="AA189" s="55" t="n">
        <v>0.7391304347826086</v>
      </c>
      <c r="AB189" s="55" t="n">
        <v>0.6666666666666666</v>
      </c>
      <c r="AC189" s="49" t="inlineStr">
        <is>
          <t>corrido</t>
        </is>
      </c>
      <c r="AD189" s="49" t="inlineStr">
        <is>
          <t>XGBoost limpio con walk-forward temporal | hipotesis=boosting_base_conservador | baseline fijo sin tuning interno | sin escalado por naturaleza basada en arboles</t>
        </is>
      </c>
      <c r="AE189" s="49" t="inlineStr">
        <is>
          <t>run_e4_xgboost.py</t>
        </is>
      </c>
      <c r="AF189" s="49" t="inlineStr">
        <is>
          <t>Scripts/Modeling/run_e4_xgboost.py</t>
        </is>
      </c>
      <c r="AG189" s="49" t="inlineStr">
        <is>
          <t>Experimentos/runs/E4_v1_clean_20260325_052051</t>
        </is>
      </c>
      <c r="AH189" s="49" t="inlineStr">
        <is>
          <t>Experimentos/runs/E4_v1_clean_20260325_052051/scripts/run_e4_xgboost.py</t>
        </is>
      </c>
      <c r="AI189" s="49" t="inlineStr">
        <is>
          <t>Experimentos/runs/E4_v1_clean_20260325_052051/parametros_run.json</t>
        </is>
      </c>
      <c r="AJ189" s="49" t="inlineStr">
        <is>
          <t>Experimentos/runs/E4_v1_clean_20260325_052051/metricas_horizonte.json</t>
        </is>
      </c>
      <c r="AK189" s="49" t="inlineStr">
        <is>
          <t>2026-03-25 05:20:51</t>
        </is>
      </c>
      <c r="AL189" s="49" t="n"/>
      <c r="AM189" s="49" t="n"/>
      <c r="AN189" s="49" t="n"/>
      <c r="AO189" s="49" t="n"/>
      <c r="AP189" s="49" t="n"/>
      <c r="AQ189" s="49" t="n"/>
      <c r="AR189" s="49" t="n"/>
      <c r="AS189" s="49" t="n"/>
      <c r="AT189" s="49" t="n"/>
      <c r="AU189" s="49" t="n"/>
      <c r="AV189" s="49" t="n"/>
      <c r="AW189" s="49" t="n"/>
      <c r="AX189" s="49" t="n"/>
      <c r="AY189" s="49" t="n"/>
    </row>
    <row r="190" ht="15" customHeight="1" s="27">
      <c r="A190" s="49" t="inlineStr">
        <is>
          <t>2026-03-25 05:51:17</t>
        </is>
      </c>
      <c r="B190" s="49" t="inlineStr">
        <is>
          <t>E4_v2_clean</t>
        </is>
      </c>
      <c r="C190" s="50" t="inlineStr">
        <is>
          <t>E4</t>
        </is>
      </c>
      <c r="D190" s="50" t="inlineStr">
        <is>
          <t>arboles_boosting</t>
        </is>
      </c>
      <c r="E190" s="50" t="inlineStr">
        <is>
          <t>xgboost_regressor</t>
        </is>
      </c>
      <c r="F190" s="50" t="n">
        <v>1</v>
      </c>
      <c r="G190" s="49" t="inlineStr">
        <is>
          <t>nivel</t>
        </is>
      </c>
      <c r="H190" s="50" t="inlineStr">
        <is>
          <t>y_t + lags [1, 2, 3, 4, 5, 6]</t>
        </is>
      </c>
      <c r="I190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90" s="50" t="inlineStr">
        <is>
          <t>sin_escalar</t>
        </is>
      </c>
      <c r="K190" s="50" t="inlineStr">
        <is>
          <t>corr</t>
        </is>
      </c>
      <c r="L190" s="50" t="inlineStr">
        <is>
          <t>walk-forward_expanding</t>
        </is>
      </c>
      <c r="M190" s="49" t="inlineStr">
        <is>
          <t>2024-10-14 a 2026-03-02</t>
        </is>
      </c>
      <c r="N190" s="49" t="inlineStr">
        <is>
          <t>{"feature_candidates": 83, "feature_mode": "corr", "horizon": 1, "initial_train_size": 40, "lags": [1, 2, 3, 4, 5, 6], "model": "xgboost_regressor", "model_params": {"colsample_bytree": 0.8, "learning_rate": 0.05, "max_depth": 3, "min_child_weight": 3.0, "n_estimators": 300, "random_state": 42, "reg_alpha": 0.0, "reg_lambda": 1.0, "subsample": 0.8, "tuning_strategy": "baseline_fijo_sin_tuning_interno", "uses_scaling": false}, "rows_eval": 26, "rows_modeling": 66, "selected_feature_count_avg": 30.0, "target_mode": "nivel", "transform_mode": ""}</t>
        </is>
      </c>
      <c r="O190" s="51" t="n">
        <v>0.35</v>
      </c>
      <c r="P190" s="51" t="n">
        <v>0.25</v>
      </c>
      <c r="Q190" s="51" t="n">
        <v>0.25</v>
      </c>
      <c r="R190" s="51" t="n">
        <v>0.1</v>
      </c>
      <c r="S190" s="52" t="n">
        <v>0.3</v>
      </c>
      <c r="T190" s="53" t="n">
        <v>0.1719230044637626</v>
      </c>
      <c r="U190" s="53" t="n">
        <v>0.2307692307692307</v>
      </c>
      <c r="V190" s="53" t="n">
        <v>0.25</v>
      </c>
      <c r="W190" s="53" t="n">
        <v>0.7692307692307693</v>
      </c>
      <c r="X190" s="54" t="n">
        <v>0.07718653085331044</v>
      </c>
      <c r="Y190" s="53" t="n">
        <v>0.1057814854894746</v>
      </c>
      <c r="Z190" s="53" t="n">
        <v>0.1327916626772419</v>
      </c>
      <c r="AA190" s="55" t="n">
        <v>0.7692307692307693</v>
      </c>
      <c r="AB190" s="55" t="n">
        <v>0.75</v>
      </c>
      <c r="AC190" s="49" t="inlineStr">
        <is>
          <t>corrido</t>
        </is>
      </c>
      <c r="AD190" s="49" t="inlineStr">
        <is>
          <t>XGBoost limpio con walk-forward temporal | hipotesis=boosting_corr_vs_all | baseline fijo sin tuning interno | sin escalado por naturaleza basada en arboles</t>
        </is>
      </c>
      <c r="AE190" s="49" t="inlineStr">
        <is>
          <t>run_e4_xgboost.py</t>
        </is>
      </c>
      <c r="AF190" s="49" t="inlineStr">
        <is>
          <t>Scripts/Modeling/run_e4_xgboost.py</t>
        </is>
      </c>
      <c r="AG190" s="49" t="inlineStr">
        <is>
          <t>Experimentos/runs/E4_v2_clean_20260325_055117</t>
        </is>
      </c>
      <c r="AH190" s="49" t="inlineStr">
        <is>
          <t>Experimentos/runs/E4_v2_clean_20260325_055117/scripts/run_e4_xgboost.py</t>
        </is>
      </c>
      <c r="AI190" s="49" t="inlineStr">
        <is>
          <t>Experimentos/runs/E4_v2_clean_20260325_055117/parametros_run.json</t>
        </is>
      </c>
      <c r="AJ190" s="49" t="inlineStr">
        <is>
          <t>Experimentos/runs/E4_v2_clean_20260325_055117/metricas_horizonte.json</t>
        </is>
      </c>
      <c r="AK190" s="49" t="inlineStr">
        <is>
          <t>2026-03-25 05:51:17</t>
        </is>
      </c>
      <c r="AL190" s="49" t="n"/>
      <c r="AM190" s="49" t="n"/>
      <c r="AN190" s="49" t="n"/>
      <c r="AO190" s="49" t="n"/>
      <c r="AP190" s="49" t="n"/>
      <c r="AQ190" s="49" t="n"/>
      <c r="AR190" s="49" t="n"/>
      <c r="AS190" s="49" t="n"/>
      <c r="AT190" s="49" t="n"/>
      <c r="AU190" s="49" t="n"/>
      <c r="AV190" s="49" t="n"/>
      <c r="AW190" s="49" t="n"/>
      <c r="AX190" s="49" t="n"/>
      <c r="AY190" s="49" t="n"/>
    </row>
    <row r="191" ht="15" customHeight="1" s="27">
      <c r="A191" s="49" t="inlineStr">
        <is>
          <t>2026-03-25 05:51:17</t>
        </is>
      </c>
      <c r="B191" s="49" t="inlineStr">
        <is>
          <t>E4_v2_clean</t>
        </is>
      </c>
      <c r="C191" s="50" t="inlineStr">
        <is>
          <t>E4</t>
        </is>
      </c>
      <c r="D191" s="50" t="inlineStr">
        <is>
          <t>arboles_boosting</t>
        </is>
      </c>
      <c r="E191" s="50" t="inlineStr">
        <is>
          <t>xgboost_regressor</t>
        </is>
      </c>
      <c r="F191" s="50" t="n">
        <v>2</v>
      </c>
      <c r="G191" s="49" t="inlineStr">
        <is>
          <t>nivel</t>
        </is>
      </c>
      <c r="H191" s="50" t="inlineStr">
        <is>
          <t>y_t + lags [1, 2, 3, 4, 5, 6]</t>
        </is>
      </c>
      <c r="I191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91" s="50" t="inlineStr">
        <is>
          <t>sin_escalar</t>
        </is>
      </c>
      <c r="K191" s="50" t="inlineStr">
        <is>
          <t>corr</t>
        </is>
      </c>
      <c r="L191" s="50" t="inlineStr">
        <is>
          <t>walk-forward_expanding</t>
        </is>
      </c>
      <c r="M191" s="49" t="inlineStr">
        <is>
          <t>2024-10-14 a 2026-03-02</t>
        </is>
      </c>
      <c r="N191" s="49" t="inlineStr">
        <is>
          <t>{"feature_candidates": 83, "feature_mode": "corr", "horizon": 2, "initial_train_size": 40, "lags": [1, 2, 3, 4, 5, 6], "model": "xgboost_regressor", "model_params": {"colsample_bytree": 0.8, "learning_rate": 0.05, "max_depth": 3, "min_child_weight": 3.0, "n_estimators": 300, "random_state": 42, "reg_alpha": 0.0, "reg_lambda": 1.0, "subsample": 0.8, "tuning_strategy": "baseline_fijo_sin_tuning_interno", "uses_scaling": false}, "rows_eval": 25, "rows_modeling": 65, "selected_feature_count_avg": 30.0, "target_mode": "nivel", "transform_mode": ""}</t>
        </is>
      </c>
      <c r="O191" s="51" t="n">
        <v>0.35</v>
      </c>
      <c r="P191" s="51" t="n">
        <v>0.25</v>
      </c>
      <c r="Q191" s="51" t="n">
        <v>0.25</v>
      </c>
      <c r="R191" s="51" t="n">
        <v>0.1</v>
      </c>
      <c r="S191" s="52" t="n">
        <v>0.25</v>
      </c>
      <c r="T191" s="53" t="n">
        <v>0.1792346703223226</v>
      </c>
      <c r="U191" s="53" t="n">
        <v>0.4399999999999999</v>
      </c>
      <c r="V191" s="53" t="n">
        <v>0.5</v>
      </c>
      <c r="W191" s="53" t="n">
        <v>0.76</v>
      </c>
      <c r="X191" s="54" t="n">
        <v>0.09343303365320323</v>
      </c>
      <c r="Y191" s="53" t="n">
        <v>0.1102802369993936</v>
      </c>
      <c r="Z191" s="53" t="n">
        <v>0.1294353604420072</v>
      </c>
      <c r="AA191" s="55" t="n">
        <v>0.5600000000000001</v>
      </c>
      <c r="AB191" s="55" t="n">
        <v>0.5</v>
      </c>
      <c r="AC191" s="49" t="inlineStr">
        <is>
          <t>corrido</t>
        </is>
      </c>
      <c r="AD191" s="49" t="inlineStr">
        <is>
          <t>XGBoost limpio con walk-forward temporal | hipotesis=boosting_corr_vs_all | baseline fijo sin tuning interno | sin escalado por naturaleza basada en arboles</t>
        </is>
      </c>
      <c r="AE191" s="49" t="inlineStr">
        <is>
          <t>run_e4_xgboost.py</t>
        </is>
      </c>
      <c r="AF191" s="49" t="inlineStr">
        <is>
          <t>Scripts/Modeling/run_e4_xgboost.py</t>
        </is>
      </c>
      <c r="AG191" s="49" t="inlineStr">
        <is>
          <t>Experimentos/runs/E4_v2_clean_20260325_055117</t>
        </is>
      </c>
      <c r="AH191" s="49" t="inlineStr">
        <is>
          <t>Experimentos/runs/E4_v2_clean_20260325_055117/scripts/run_e4_xgboost.py</t>
        </is>
      </c>
      <c r="AI191" s="49" t="inlineStr">
        <is>
          <t>Experimentos/runs/E4_v2_clean_20260325_055117/parametros_run.json</t>
        </is>
      </c>
      <c r="AJ191" s="49" t="inlineStr">
        <is>
          <t>Experimentos/runs/E4_v2_clean_20260325_055117/metricas_horizonte.json</t>
        </is>
      </c>
      <c r="AK191" s="49" t="inlineStr">
        <is>
          <t>2026-03-25 05:51:17</t>
        </is>
      </c>
      <c r="AL191" s="49" t="n"/>
      <c r="AM191" s="49" t="n"/>
      <c r="AN191" s="49" t="n"/>
      <c r="AO191" s="49" t="n"/>
      <c r="AP191" s="49" t="n"/>
      <c r="AQ191" s="49" t="n"/>
      <c r="AR191" s="49" t="n"/>
      <c r="AS191" s="49" t="n"/>
      <c r="AT191" s="49" t="n"/>
      <c r="AU191" s="49" t="n"/>
      <c r="AV191" s="49" t="n"/>
      <c r="AW191" s="49" t="n"/>
      <c r="AX191" s="49" t="n"/>
      <c r="AY191" s="49" t="n"/>
    </row>
    <row r="192" ht="15" customHeight="1" s="27">
      <c r="A192" s="49" t="inlineStr">
        <is>
          <t>2026-03-25 05:51:17</t>
        </is>
      </c>
      <c r="B192" s="49" t="inlineStr">
        <is>
          <t>E4_v2_clean</t>
        </is>
      </c>
      <c r="C192" s="50" t="inlineStr">
        <is>
          <t>E4</t>
        </is>
      </c>
      <c r="D192" s="50" t="inlineStr">
        <is>
          <t>arboles_boosting</t>
        </is>
      </c>
      <c r="E192" s="50" t="inlineStr">
        <is>
          <t>xgboost_regressor</t>
        </is>
      </c>
      <c r="F192" s="50" t="n">
        <v>3</v>
      </c>
      <c r="G192" s="49" t="inlineStr">
        <is>
          <t>nivel</t>
        </is>
      </c>
      <c r="H192" s="50" t="inlineStr">
        <is>
          <t>y_t + lags [1, 2, 3, 4, 5, 6]</t>
        </is>
      </c>
      <c r="I192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92" s="50" t="inlineStr">
        <is>
          <t>sin_escalar</t>
        </is>
      </c>
      <c r="K192" s="50" t="inlineStr">
        <is>
          <t>corr</t>
        </is>
      </c>
      <c r="L192" s="50" t="inlineStr">
        <is>
          <t>walk-forward_expanding</t>
        </is>
      </c>
      <c r="M192" s="49" t="inlineStr">
        <is>
          <t>2024-10-14 a 2026-03-02</t>
        </is>
      </c>
      <c r="N192" s="49" t="inlineStr">
        <is>
          <t>{"feature_candidates": 83, "feature_mode": "corr", "horizon": 3, "initial_train_size": 40, "lags": [1, 2, 3, 4, 5, 6], "model": "xgboost_regressor", "model_params": {"colsample_bytree": 0.8, "learning_rate": 0.05, "max_depth": 3, "min_child_weight": 3.0, "n_estimators": 300, "random_state": 42, "reg_alpha": 0.0, "reg_lambda": 1.0, "subsample": 0.8, "tuning_strategy": "baseline_fijo_sin_tuning_interno", "uses_scaling": false}, "rows_eval": 24, "rows_modeling": 64, "selected_feature_count_avg": 30.0, "target_mode": "nivel", "transform_mode": ""}</t>
        </is>
      </c>
      <c r="O192" s="51" t="n">
        <v>0.35</v>
      </c>
      <c r="P192" s="51" t="n">
        <v>0.25</v>
      </c>
      <c r="Q192" s="51" t="n">
        <v>0.25</v>
      </c>
      <c r="R192" s="51" t="n">
        <v>0.1</v>
      </c>
      <c r="S192" s="52" t="n">
        <v>0.3</v>
      </c>
      <c r="T192" s="53" t="n">
        <v>0.1804354685231082</v>
      </c>
      <c r="U192" s="53" t="n">
        <v>0.2083333333333334</v>
      </c>
      <c r="V192" s="53" t="n">
        <v>0.2727272727272727</v>
      </c>
      <c r="W192" s="53" t="n">
        <v>0.7916666666666666</v>
      </c>
      <c r="X192" s="54" t="n">
        <v>0.07877526964947182</v>
      </c>
      <c r="Y192" s="53" t="n">
        <v>0.1110190690006629</v>
      </c>
      <c r="Z192" s="53" t="n">
        <v>0.1357056504923607</v>
      </c>
      <c r="AA192" s="55" t="n">
        <v>0.7916666666666666</v>
      </c>
      <c r="AB192" s="55" t="n">
        <v>0.7272727272727273</v>
      </c>
      <c r="AC192" s="49" t="inlineStr">
        <is>
          <t>corrido</t>
        </is>
      </c>
      <c r="AD192" s="49" t="inlineStr">
        <is>
          <t>XGBoost limpio con walk-forward temporal | hipotesis=boosting_corr_vs_all | baseline fijo sin tuning interno | sin escalado por naturaleza basada en arboles</t>
        </is>
      </c>
      <c r="AE192" s="49" t="inlineStr">
        <is>
          <t>run_e4_xgboost.py</t>
        </is>
      </c>
      <c r="AF192" s="49" t="inlineStr">
        <is>
          <t>Scripts/Modeling/run_e4_xgboost.py</t>
        </is>
      </c>
      <c r="AG192" s="49" t="inlineStr">
        <is>
          <t>Experimentos/runs/E4_v2_clean_20260325_055117</t>
        </is>
      </c>
      <c r="AH192" s="49" t="inlineStr">
        <is>
          <t>Experimentos/runs/E4_v2_clean_20260325_055117/scripts/run_e4_xgboost.py</t>
        </is>
      </c>
      <c r="AI192" s="49" t="inlineStr">
        <is>
          <t>Experimentos/runs/E4_v2_clean_20260325_055117/parametros_run.json</t>
        </is>
      </c>
      <c r="AJ192" s="49" t="inlineStr">
        <is>
          <t>Experimentos/runs/E4_v2_clean_20260325_055117/metricas_horizonte.json</t>
        </is>
      </c>
      <c r="AK192" s="49" t="inlineStr">
        <is>
          <t>2026-03-25 05:51:17</t>
        </is>
      </c>
      <c r="AL192" s="49" t="n"/>
      <c r="AM192" s="49" t="n"/>
      <c r="AN192" s="49" t="n"/>
      <c r="AO192" s="49" t="n"/>
      <c r="AP192" s="49" t="n"/>
      <c r="AQ192" s="49" t="n"/>
      <c r="AR192" s="49" t="n"/>
      <c r="AS192" s="49" t="n"/>
      <c r="AT192" s="49" t="n"/>
      <c r="AU192" s="49" t="n"/>
      <c r="AV192" s="49" t="n"/>
      <c r="AW192" s="49" t="n"/>
      <c r="AX192" s="49" t="n"/>
      <c r="AY192" s="49" t="n"/>
    </row>
    <row r="193" ht="15" customHeight="1" s="27">
      <c r="A193" s="49" t="inlineStr">
        <is>
          <t>2026-03-25 05:51:17</t>
        </is>
      </c>
      <c r="B193" s="49" t="inlineStr">
        <is>
          <t>E4_v2_clean</t>
        </is>
      </c>
      <c r="C193" s="50" t="inlineStr">
        <is>
          <t>E4</t>
        </is>
      </c>
      <c r="D193" s="50" t="inlineStr">
        <is>
          <t>arboles_boosting</t>
        </is>
      </c>
      <c r="E193" s="50" t="inlineStr">
        <is>
          <t>xgboost_regressor</t>
        </is>
      </c>
      <c r="F193" s="50" t="n">
        <v>4</v>
      </c>
      <c r="G193" s="49" t="inlineStr">
        <is>
          <t>nivel</t>
        </is>
      </c>
      <c r="H193" s="50" t="inlineStr">
        <is>
          <t>y_t + lags [1, 2, 3, 4, 5, 6]</t>
        </is>
      </c>
      <c r="I193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93" s="50" t="inlineStr">
        <is>
          <t>sin_escalar</t>
        </is>
      </c>
      <c r="K193" s="50" t="inlineStr">
        <is>
          <t>corr</t>
        </is>
      </c>
      <c r="L193" s="50" t="inlineStr">
        <is>
          <t>walk-forward_expanding</t>
        </is>
      </c>
      <c r="M193" s="49" t="inlineStr">
        <is>
          <t>2024-10-14 a 2026-03-02</t>
        </is>
      </c>
      <c r="N193" s="49" t="inlineStr">
        <is>
          <t>{"feature_candidates": 83, "feature_mode": "corr", "horizon": 4, "initial_train_size": 40, "lags": [1, 2, 3, 4, 5, 6], "model": "xgboost_regressor", "model_params": {"colsample_bytree": 0.8, "learning_rate": 0.05, "max_depth": 3, "min_child_weight": 3.0, "n_estimators": 300, "random_state": 42, "reg_alpha": 0.0, "reg_lambda": 1.0, "subsample": 0.8, "tuning_strategy": "baseline_fijo_sin_tuning_interno", "uses_scaling": false}, "rows_eval": 23, "rows_modeling": 63, "selected_feature_count_avg": 30.0, "target_mode": "nivel", "transform_mode": ""}</t>
        </is>
      </c>
      <c r="O193" s="51" t="n">
        <v>0.35</v>
      </c>
      <c r="P193" s="51" t="n">
        <v>0.25</v>
      </c>
      <c r="Q193" s="51" t="n">
        <v>0.25</v>
      </c>
      <c r="R193" s="51" t="n">
        <v>0.1</v>
      </c>
      <c r="S193" s="52" t="n">
        <v>0.15</v>
      </c>
      <c r="T193" s="53" t="n">
        <v>0.1907233496482671</v>
      </c>
      <c r="U193" s="53" t="n">
        <v>0.3478260869565217</v>
      </c>
      <c r="V193" s="53" t="n">
        <v>0.3333333333333334</v>
      </c>
      <c r="W193" s="53" t="n">
        <v>0.8260869565217391</v>
      </c>
      <c r="X193" s="54" t="n">
        <v>0.04794775846522967</v>
      </c>
      <c r="Y193" s="53" t="n">
        <v>0.1173490383456775</v>
      </c>
      <c r="Z193" s="53" t="n">
        <v>0.1570762633016385</v>
      </c>
      <c r="AA193" s="55" t="n">
        <v>0.6521739130434783</v>
      </c>
      <c r="AB193" s="55" t="n">
        <v>0.6666666666666666</v>
      </c>
      <c r="AC193" s="49" t="inlineStr">
        <is>
          <t>corrido</t>
        </is>
      </c>
      <c r="AD193" s="49" t="inlineStr">
        <is>
          <t>XGBoost limpio con walk-forward temporal | hipotesis=boosting_corr_vs_all | baseline fijo sin tuning interno | sin escalado por naturaleza basada en arboles</t>
        </is>
      </c>
      <c r="AE193" s="49" t="inlineStr">
        <is>
          <t>run_e4_xgboost.py</t>
        </is>
      </c>
      <c r="AF193" s="49" t="inlineStr">
        <is>
          <t>Scripts/Modeling/run_e4_xgboost.py</t>
        </is>
      </c>
      <c r="AG193" s="49" t="inlineStr">
        <is>
          <t>Experimentos/runs/E4_v2_clean_20260325_055117</t>
        </is>
      </c>
      <c r="AH193" s="49" t="inlineStr">
        <is>
          <t>Experimentos/runs/E4_v2_clean_20260325_055117/scripts/run_e4_xgboost.py</t>
        </is>
      </c>
      <c r="AI193" s="49" t="inlineStr">
        <is>
          <t>Experimentos/runs/E4_v2_clean_20260325_055117/parametros_run.json</t>
        </is>
      </c>
      <c r="AJ193" s="49" t="inlineStr">
        <is>
          <t>Experimentos/runs/E4_v2_clean_20260325_055117/metricas_horizonte.json</t>
        </is>
      </c>
      <c r="AK193" s="49" t="inlineStr">
        <is>
          <t>2026-03-25 05:51:17</t>
        </is>
      </c>
      <c r="AL193" s="49" t="n"/>
      <c r="AM193" s="49" t="n"/>
      <c r="AN193" s="49" t="n"/>
      <c r="AO193" s="49" t="n"/>
      <c r="AP193" s="49" t="n"/>
      <c r="AQ193" s="49" t="n"/>
      <c r="AR193" s="49" t="n"/>
      <c r="AS193" s="49" t="n"/>
      <c r="AT193" s="49" t="n"/>
      <c r="AU193" s="49" t="n"/>
      <c r="AV193" s="49" t="n"/>
      <c r="AW193" s="49" t="n"/>
      <c r="AX193" s="49" t="n"/>
      <c r="AY193" s="49" t="n"/>
    </row>
    <row r="194" ht="15" customHeight="1" s="27">
      <c r="A194" s="49" t="inlineStr">
        <is>
          <t>2026-03-25 05:51:34</t>
        </is>
      </c>
      <c r="B194" s="49" t="inlineStr">
        <is>
          <t>E4_v3_clean</t>
        </is>
      </c>
      <c r="C194" s="50" t="inlineStr">
        <is>
          <t>E4</t>
        </is>
      </c>
      <c r="D194" s="50" t="inlineStr">
        <is>
          <t>arboles_boosting</t>
        </is>
      </c>
      <c r="E194" s="50" t="inlineStr">
        <is>
          <t>xgboost_regressor</t>
        </is>
      </c>
      <c r="F194" s="50" t="n">
        <v>1</v>
      </c>
      <c r="G194" s="49" t="inlineStr">
        <is>
          <t>delta</t>
        </is>
      </c>
      <c r="H194" s="50" t="inlineStr">
        <is>
          <t>y_t + lags [1, 2, 3, 4, 5, 6]</t>
        </is>
      </c>
      <c r="I194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94" s="50" t="inlineStr">
        <is>
          <t>sin_escalar</t>
        </is>
      </c>
      <c r="K194" s="50" t="inlineStr">
        <is>
          <t>all</t>
        </is>
      </c>
      <c r="L194" s="50" t="inlineStr">
        <is>
          <t>walk-forward_expanding</t>
        </is>
      </c>
      <c r="M194" s="49" t="inlineStr">
        <is>
          <t>2024-10-14 a 2026-03-02</t>
        </is>
      </c>
      <c r="N194" s="49" t="inlineStr">
        <is>
          <t>{"feature_candidates": 83, "feature_mode": "all", "horizon": 1, "initial_train_size": 40, "lags": [1, 2, 3, 4, 5, 6], "model": "xgboost_regressor", "model_params": {"colsample_bytree": 0.8, "learning_rate": 0.05, "max_depth": 3, "min_child_weight": 3.0, "n_estimators": 300, "random_state": 42, "reg_alpha": 0.0, "reg_lambda": 1.0, "subsample": 0.8, "tuning_strategy": "baseline_fijo_sin_tuning_interno", "uses_scaling": false}, "rows_eval": 26, "rows_modeling": 66, "selected_feature_count_avg": 83.0, "target_mode": "delta", "transform_mode": ""}</t>
        </is>
      </c>
      <c r="O194" s="51" t="n">
        <v>0.35</v>
      </c>
      <c r="P194" s="51" t="n">
        <v>0.25</v>
      </c>
      <c r="Q194" s="51" t="n">
        <v>0.25</v>
      </c>
      <c r="R194" s="51" t="n">
        <v>0.1</v>
      </c>
      <c r="S194" s="52" t="n">
        <v>0.3</v>
      </c>
      <c r="T194" s="53" t="n">
        <v>0.2779216239561862</v>
      </c>
      <c r="U194" s="53" t="n">
        <v>0.6153846153846154</v>
      </c>
      <c r="V194" s="53" t="n">
        <v>0.75</v>
      </c>
      <c r="W194" s="53" t="n">
        <v>0.8461538461538461</v>
      </c>
      <c r="X194" s="54" t="n">
        <v>0.1569702320538611</v>
      </c>
      <c r="Y194" s="53" t="n">
        <v>0.1710007472439743</v>
      </c>
      <c r="Z194" s="53" t="n">
        <v>0.2011160550490227</v>
      </c>
      <c r="AA194" s="55" t="n">
        <v>0.3846153846153846</v>
      </c>
      <c r="AB194" s="55" t="n">
        <v>0.25</v>
      </c>
      <c r="AC194" s="49" t="inlineStr">
        <is>
          <t>corrido</t>
        </is>
      </c>
      <c r="AD194" s="49" t="inlineStr">
        <is>
          <t>XGBoost limpio con walk-forward temporal | hipotesis=boosting_delta_vs_nivel | baseline fijo sin tuning interno | sin escalado por naturaleza basada en arboles</t>
        </is>
      </c>
      <c r="AE194" s="49" t="inlineStr">
        <is>
          <t>run_e4_xgboost.py</t>
        </is>
      </c>
      <c r="AF194" s="49" t="inlineStr">
        <is>
          <t>Scripts/Modeling/run_e4_xgboost.py</t>
        </is>
      </c>
      <c r="AG194" s="49" t="inlineStr">
        <is>
          <t>Experimentos/runs/E4_v3_clean_20260325_055134</t>
        </is>
      </c>
      <c r="AH194" s="49" t="inlineStr">
        <is>
          <t>Experimentos/runs/E4_v3_clean_20260325_055134/scripts/run_e4_xgboost.py</t>
        </is>
      </c>
      <c r="AI194" s="49" t="inlineStr">
        <is>
          <t>Experimentos/runs/E4_v3_clean_20260325_055134/parametros_run.json</t>
        </is>
      </c>
      <c r="AJ194" s="49" t="inlineStr">
        <is>
          <t>Experimentos/runs/E4_v3_clean_20260325_055134/metricas_horizonte.json</t>
        </is>
      </c>
      <c r="AK194" s="49" t="inlineStr">
        <is>
          <t>2026-03-25 05:51:34</t>
        </is>
      </c>
      <c r="AL194" s="49" t="n"/>
      <c r="AM194" s="49" t="n"/>
      <c r="AN194" s="49" t="n"/>
      <c r="AO194" s="49" t="n"/>
      <c r="AP194" s="49" t="n"/>
      <c r="AQ194" s="49" t="n"/>
      <c r="AR194" s="49" t="n"/>
      <c r="AS194" s="49" t="n"/>
      <c r="AT194" s="49" t="n"/>
      <c r="AU194" s="49" t="n"/>
      <c r="AV194" s="49" t="n"/>
      <c r="AW194" s="49" t="n"/>
      <c r="AX194" s="49" t="n"/>
      <c r="AY194" s="49" t="n"/>
    </row>
    <row r="195" ht="15" customHeight="1" s="27">
      <c r="A195" s="49" t="inlineStr">
        <is>
          <t>2026-03-25 05:51:34</t>
        </is>
      </c>
      <c r="B195" s="49" t="inlineStr">
        <is>
          <t>E4_v3_clean</t>
        </is>
      </c>
      <c r="C195" s="50" t="inlineStr">
        <is>
          <t>E4</t>
        </is>
      </c>
      <c r="D195" s="50" t="inlineStr">
        <is>
          <t>arboles_boosting</t>
        </is>
      </c>
      <c r="E195" s="50" t="inlineStr">
        <is>
          <t>xgboost_regressor</t>
        </is>
      </c>
      <c r="F195" s="50" t="n">
        <v>2</v>
      </c>
      <c r="G195" s="49" t="inlineStr">
        <is>
          <t>delta</t>
        </is>
      </c>
      <c r="H195" s="50" t="inlineStr">
        <is>
          <t>y_t + lags [1, 2, 3, 4, 5, 6]</t>
        </is>
      </c>
      <c r="I195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95" s="50" t="inlineStr">
        <is>
          <t>sin_escalar</t>
        </is>
      </c>
      <c r="K195" s="50" t="inlineStr">
        <is>
          <t>all</t>
        </is>
      </c>
      <c r="L195" s="50" t="inlineStr">
        <is>
          <t>walk-forward_expanding</t>
        </is>
      </c>
      <c r="M195" s="49" t="inlineStr">
        <is>
          <t>2024-10-14 a 2026-03-02</t>
        </is>
      </c>
      <c r="N195" s="49" t="inlineStr">
        <is>
          <t>{"feature_candidates": 83, "feature_mode": "all", "horizon": 2, "initial_train_size": 40, "lags": [1, 2, 3, 4, 5, 6], "model": "xgboost_regressor", "model_params": {"colsample_bytree": 0.8, "learning_rate": 0.05, "max_depth": 3, "min_child_weight": 3.0, "n_estimators": 300, "random_state": 42, "reg_alpha": 0.0, "reg_lambda": 1.0, "subsample": 0.8, "tuning_strategy": "baseline_fijo_sin_tuning_interno", "uses_scaling": false}, "rows_eval": 25, "rows_modeling": 65, "selected_feature_count_avg": 83.0, "target_mode": "delta", "transform_mode": ""}</t>
        </is>
      </c>
      <c r="O195" s="51" t="n">
        <v>0.35</v>
      </c>
      <c r="P195" s="51" t="n">
        <v>0.25</v>
      </c>
      <c r="Q195" s="51" t="n">
        <v>0.25</v>
      </c>
      <c r="R195" s="51" t="n">
        <v>0.1</v>
      </c>
      <c r="S195" s="52" t="n">
        <v>0.25</v>
      </c>
      <c r="T195" s="53" t="n">
        <v>0.2027491306706547</v>
      </c>
      <c r="U195" s="53" t="n">
        <v>0.4399999999999999</v>
      </c>
      <c r="V195" s="53" t="n">
        <v>0.3</v>
      </c>
      <c r="W195" s="53" t="n">
        <v>0.6</v>
      </c>
      <c r="X195" s="54" t="n">
        <v>0.07899054893368228</v>
      </c>
      <c r="Y195" s="53" t="n">
        <v>0.1247483098084295</v>
      </c>
      <c r="Z195" s="53" t="n">
        <v>0.1619462114626966</v>
      </c>
      <c r="AA195" s="55" t="n">
        <v>0.5600000000000001</v>
      </c>
      <c r="AB195" s="55" t="n">
        <v>0.7</v>
      </c>
      <c r="AC195" s="49" t="inlineStr">
        <is>
          <t>corrido</t>
        </is>
      </c>
      <c r="AD195" s="49" t="inlineStr">
        <is>
          <t>XGBoost limpio con walk-forward temporal | hipotesis=boosting_delta_vs_nivel | baseline fijo sin tuning interno | sin escalado por naturaleza basada en arboles</t>
        </is>
      </c>
      <c r="AE195" s="49" t="inlineStr">
        <is>
          <t>run_e4_xgboost.py</t>
        </is>
      </c>
      <c r="AF195" s="49" t="inlineStr">
        <is>
          <t>Scripts/Modeling/run_e4_xgboost.py</t>
        </is>
      </c>
      <c r="AG195" s="49" t="inlineStr">
        <is>
          <t>Experimentos/runs/E4_v3_clean_20260325_055134</t>
        </is>
      </c>
      <c r="AH195" s="49" t="inlineStr">
        <is>
          <t>Experimentos/runs/E4_v3_clean_20260325_055134/scripts/run_e4_xgboost.py</t>
        </is>
      </c>
      <c r="AI195" s="49" t="inlineStr">
        <is>
          <t>Experimentos/runs/E4_v3_clean_20260325_055134/parametros_run.json</t>
        </is>
      </c>
      <c r="AJ195" s="49" t="inlineStr">
        <is>
          <t>Experimentos/runs/E4_v3_clean_20260325_055134/metricas_horizonte.json</t>
        </is>
      </c>
      <c r="AK195" s="49" t="inlineStr">
        <is>
          <t>2026-03-25 05:51:34</t>
        </is>
      </c>
      <c r="AL195" s="49" t="n"/>
      <c r="AM195" s="49" t="n"/>
      <c r="AN195" s="49" t="n"/>
      <c r="AO195" s="49" t="n"/>
      <c r="AP195" s="49" t="n"/>
      <c r="AQ195" s="49" t="n"/>
      <c r="AR195" s="49" t="n"/>
      <c r="AS195" s="49" t="n"/>
      <c r="AT195" s="49" t="n"/>
      <c r="AU195" s="49" t="n"/>
      <c r="AV195" s="49" t="n"/>
      <c r="AW195" s="49" t="n"/>
      <c r="AX195" s="49" t="n"/>
      <c r="AY195" s="49" t="n"/>
    </row>
    <row r="196" ht="15" customHeight="1" s="27">
      <c r="A196" s="49" t="inlineStr">
        <is>
          <t>2026-03-25 05:51:34</t>
        </is>
      </c>
      <c r="B196" s="49" t="inlineStr">
        <is>
          <t>E4_v3_clean</t>
        </is>
      </c>
      <c r="C196" s="50" t="inlineStr">
        <is>
          <t>E4</t>
        </is>
      </c>
      <c r="D196" s="50" t="inlineStr">
        <is>
          <t>arboles_boosting</t>
        </is>
      </c>
      <c r="E196" s="50" t="inlineStr">
        <is>
          <t>xgboost_regressor</t>
        </is>
      </c>
      <c r="F196" s="50" t="n">
        <v>3</v>
      </c>
      <c r="G196" s="49" t="inlineStr">
        <is>
          <t>delta</t>
        </is>
      </c>
      <c r="H196" s="50" t="inlineStr">
        <is>
          <t>y_t + lags [1, 2, 3, 4, 5, 6]</t>
        </is>
      </c>
      <c r="I196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96" s="50" t="inlineStr">
        <is>
          <t>sin_escalar</t>
        </is>
      </c>
      <c r="K196" s="50" t="inlineStr">
        <is>
          <t>all</t>
        </is>
      </c>
      <c r="L196" s="50" t="inlineStr">
        <is>
          <t>walk-forward_expanding</t>
        </is>
      </c>
      <c r="M196" s="49" t="inlineStr">
        <is>
          <t>2024-10-14 a 2026-03-02</t>
        </is>
      </c>
      <c r="N196" s="49" t="inlineStr">
        <is>
          <t>{"feature_candidates": 83, "feature_mode": "all", "horizon": 3, "initial_train_size": 40, "lags": [1, 2, 3, 4, 5, 6], "model": "xgboost_regressor", "model_params": {"colsample_bytree": 0.8, "learning_rate": 0.05, "max_depth": 3, "min_child_weight": 3.0, "n_estimators": 300, "random_state": 42, "reg_alpha": 0.0, "reg_lambda": 1.0, "subsample": 0.8, "tuning_strategy": "baseline_fijo_sin_tuning_interno", "uses_scaling": false}, "rows_eval": 24, "rows_modeling": 64, "selected_feature_count_avg": 83.0, "target_mode": "delta", "transform_mode": ""}</t>
        </is>
      </c>
      <c r="O196" s="51" t="n">
        <v>0.35</v>
      </c>
      <c r="P196" s="51" t="n">
        <v>0.25</v>
      </c>
      <c r="Q196" s="51" t="n">
        <v>0.25</v>
      </c>
      <c r="R196" s="51" t="n">
        <v>0.1</v>
      </c>
      <c r="S196" s="52" t="n">
        <v>0.3</v>
      </c>
      <c r="T196" s="53" t="n">
        <v>0.2960917237238554</v>
      </c>
      <c r="U196" s="53" t="n">
        <v>0.5833333333333333</v>
      </c>
      <c r="V196" s="53" t="n">
        <v>0.5454545454545454</v>
      </c>
      <c r="W196" s="53" t="n">
        <v>0.875</v>
      </c>
      <c r="X196" s="54" t="n">
        <v>0.1419987219000957</v>
      </c>
      <c r="Y196" s="53" t="n">
        <v>0.1821805201365609</v>
      </c>
      <c r="Z196" s="53" t="n">
        <v>0.2172841481170919</v>
      </c>
      <c r="AA196" s="55" t="n">
        <v>0.4166666666666667</v>
      </c>
      <c r="AB196" s="55" t="n">
        <v>0.4545454545454545</v>
      </c>
      <c r="AC196" s="49" t="inlineStr">
        <is>
          <t>corrido</t>
        </is>
      </c>
      <c r="AD196" s="49" t="inlineStr">
        <is>
          <t>XGBoost limpio con walk-forward temporal | hipotesis=boosting_delta_vs_nivel | baseline fijo sin tuning interno | sin escalado por naturaleza basada en arboles</t>
        </is>
      </c>
      <c r="AE196" s="49" t="inlineStr">
        <is>
          <t>run_e4_xgboost.py</t>
        </is>
      </c>
      <c r="AF196" s="49" t="inlineStr">
        <is>
          <t>Scripts/Modeling/run_e4_xgboost.py</t>
        </is>
      </c>
      <c r="AG196" s="49" t="inlineStr">
        <is>
          <t>Experimentos/runs/E4_v3_clean_20260325_055134</t>
        </is>
      </c>
      <c r="AH196" s="49" t="inlineStr">
        <is>
          <t>Experimentos/runs/E4_v3_clean_20260325_055134/scripts/run_e4_xgboost.py</t>
        </is>
      </c>
      <c r="AI196" s="49" t="inlineStr">
        <is>
          <t>Experimentos/runs/E4_v3_clean_20260325_055134/parametros_run.json</t>
        </is>
      </c>
      <c r="AJ196" s="49" t="inlineStr">
        <is>
          <t>Experimentos/runs/E4_v3_clean_20260325_055134/metricas_horizonte.json</t>
        </is>
      </c>
      <c r="AK196" s="49" t="inlineStr">
        <is>
          <t>2026-03-25 05:51:34</t>
        </is>
      </c>
      <c r="AL196" s="49" t="n"/>
      <c r="AM196" s="49" t="n"/>
      <c r="AN196" s="49" t="n"/>
      <c r="AO196" s="49" t="n"/>
      <c r="AP196" s="49" t="n"/>
      <c r="AQ196" s="49" t="n"/>
      <c r="AR196" s="49" t="n"/>
      <c r="AS196" s="49" t="n"/>
      <c r="AT196" s="49" t="n"/>
      <c r="AU196" s="49" t="n"/>
      <c r="AV196" s="49" t="n"/>
      <c r="AW196" s="49" t="n"/>
      <c r="AX196" s="49" t="n"/>
      <c r="AY196" s="49" t="n"/>
    </row>
    <row r="197" ht="15" customHeight="1" s="27">
      <c r="A197" s="49" t="inlineStr">
        <is>
          <t>2026-03-25 05:51:34</t>
        </is>
      </c>
      <c r="B197" s="49" t="inlineStr">
        <is>
          <t>E4_v3_clean</t>
        </is>
      </c>
      <c r="C197" s="50" t="inlineStr">
        <is>
          <t>E4</t>
        </is>
      </c>
      <c r="D197" s="50" t="inlineStr">
        <is>
          <t>arboles_boosting</t>
        </is>
      </c>
      <c r="E197" s="50" t="inlineStr">
        <is>
          <t>xgboost_regressor</t>
        </is>
      </c>
      <c r="F197" s="50" t="n">
        <v>4</v>
      </c>
      <c r="G197" s="49" t="inlineStr">
        <is>
          <t>delta</t>
        </is>
      </c>
      <c r="H197" s="50" t="inlineStr">
        <is>
          <t>y_t + lags [1, 2, 3, 4, 5, 6]</t>
        </is>
      </c>
      <c r="I197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97" s="50" t="inlineStr">
        <is>
          <t>sin_escalar</t>
        </is>
      </c>
      <c r="K197" s="50" t="inlineStr">
        <is>
          <t>all</t>
        </is>
      </c>
      <c r="L197" s="50" t="inlineStr">
        <is>
          <t>walk-forward_expanding</t>
        </is>
      </c>
      <c r="M197" s="49" t="inlineStr">
        <is>
          <t>2024-10-14 a 2026-03-02</t>
        </is>
      </c>
      <c r="N197" s="49" t="inlineStr">
        <is>
          <t>{"feature_candidates": 83, "feature_mode": "all", "horizon": 4, "initial_train_size": 40, "lags": [1, 2, 3, 4, 5, 6], "model": "xgboost_regressor", "model_params": {"colsample_bytree": 0.8, "learning_rate": 0.05, "max_depth": 3, "min_child_weight": 3.0, "n_estimators": 300, "random_state": 42, "reg_alpha": 0.0, "reg_lambda": 1.0, "subsample": 0.8, "tuning_strategy": "baseline_fijo_sin_tuning_interno", "uses_scaling": false}, "rows_eval": 23, "rows_modeling": 63, "selected_feature_count_avg": 83.0, "target_mode": "delta", "transform_mode": ""}</t>
        </is>
      </c>
      <c r="O197" s="51" t="n">
        <v>0.35</v>
      </c>
      <c r="P197" s="51" t="n">
        <v>0.25</v>
      </c>
      <c r="Q197" s="51" t="n">
        <v>0.25</v>
      </c>
      <c r="R197" s="51" t="n">
        <v>0.1</v>
      </c>
      <c r="S197" s="52" t="n">
        <v>0.15</v>
      </c>
      <c r="T197" s="53" t="n">
        <v>0.1753545134906545</v>
      </c>
      <c r="U197" s="53" t="n">
        <v>0.3913043478260869</v>
      </c>
      <c r="V197" s="53" t="n">
        <v>0.3333333333333334</v>
      </c>
      <c r="W197" s="53" t="n">
        <v>0.6956521739130435</v>
      </c>
      <c r="X197" s="54" t="n">
        <v>0.04681480761043327</v>
      </c>
      <c r="Y197" s="53" t="n">
        <v>0.1078928383213272</v>
      </c>
      <c r="Z197" s="53" t="n">
        <v>0.1451686156153379</v>
      </c>
      <c r="AA197" s="55" t="n">
        <v>0.6086956521739131</v>
      </c>
      <c r="AB197" s="55" t="n">
        <v>0.6666666666666666</v>
      </c>
      <c r="AC197" s="49" t="inlineStr">
        <is>
          <t>corrido</t>
        </is>
      </c>
      <c r="AD197" s="49" t="inlineStr">
        <is>
          <t>XGBoost limpio con walk-forward temporal | hipotesis=boosting_delta_vs_nivel | baseline fijo sin tuning interno | sin escalado por naturaleza basada en arboles</t>
        </is>
      </c>
      <c r="AE197" s="49" t="inlineStr">
        <is>
          <t>run_e4_xgboost.py</t>
        </is>
      </c>
      <c r="AF197" s="49" t="inlineStr">
        <is>
          <t>Scripts/Modeling/run_e4_xgboost.py</t>
        </is>
      </c>
      <c r="AG197" s="49" t="inlineStr">
        <is>
          <t>Experimentos/runs/E4_v3_clean_20260325_055134</t>
        </is>
      </c>
      <c r="AH197" s="49" t="inlineStr">
        <is>
          <t>Experimentos/runs/E4_v3_clean_20260325_055134/scripts/run_e4_xgboost.py</t>
        </is>
      </c>
      <c r="AI197" s="49" t="inlineStr">
        <is>
          <t>Experimentos/runs/E4_v3_clean_20260325_055134/parametros_run.json</t>
        </is>
      </c>
      <c r="AJ197" s="49" t="inlineStr">
        <is>
          <t>Experimentos/runs/E4_v3_clean_20260325_055134/metricas_horizonte.json</t>
        </is>
      </c>
      <c r="AK197" s="49" t="inlineStr">
        <is>
          <t>2026-03-25 05:51:34</t>
        </is>
      </c>
      <c r="AL197" s="49" t="n"/>
      <c r="AM197" s="49" t="n"/>
      <c r="AN197" s="49" t="n"/>
      <c r="AO197" s="49" t="n"/>
      <c r="AP197" s="49" t="n"/>
      <c r="AQ197" s="49" t="n"/>
      <c r="AR197" s="49" t="n"/>
      <c r="AS197" s="49" t="n"/>
      <c r="AT197" s="49" t="n"/>
      <c r="AU197" s="49" t="n"/>
      <c r="AV197" s="49" t="n"/>
      <c r="AW197" s="49" t="n"/>
      <c r="AX197" s="49" t="n"/>
      <c r="AY197" s="49" t="n"/>
    </row>
    <row r="198" ht="15" customHeight="1" s="27">
      <c r="A198" s="49" t="inlineStr">
        <is>
          <t>2026-03-30 06:10:14</t>
        </is>
      </c>
      <c r="B198" s="49" t="inlineStr">
        <is>
          <t>E5_v1_clean</t>
        </is>
      </c>
      <c r="C198" s="50" t="inlineStr">
        <is>
          <t>E5</t>
        </is>
      </c>
      <c r="D198" s="50" t="inlineStr">
        <is>
          <t>arboles_boosting</t>
        </is>
      </c>
      <c r="E198" s="50" t="inlineStr">
        <is>
          <t>catboost_regressor</t>
        </is>
      </c>
      <c r="F198" s="50" t="n">
        <v>1</v>
      </c>
      <c r="G198" s="49" t="inlineStr">
        <is>
          <t>nivel</t>
        </is>
      </c>
      <c r="H198" s="50" t="inlineStr">
        <is>
          <t>y_t + lags [1, 2, 3, 4, 5, 6]</t>
        </is>
      </c>
      <c r="I198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98" s="50" t="inlineStr">
        <is>
          <t>sin_escalar</t>
        </is>
      </c>
      <c r="K198" s="50" t="inlineStr">
        <is>
          <t>all</t>
        </is>
      </c>
      <c r="L198" s="50" t="inlineStr">
        <is>
          <t>walk-forward_expanding</t>
        </is>
      </c>
      <c r="M198" s="49" t="inlineStr">
        <is>
          <t>2024-10-14 a 2026-03-02</t>
        </is>
      </c>
      <c r="N198" s="49" t="inlineStr">
        <is>
          <t>{"feature_candidates": 83, "feature_mode": "all", "horizon": 1, "initial_train_size": 40, "lags": [1, 2, 3, 4, 5, 6], "model": "catboost_regressor", "model_params": {"depth": 5, "iterations": 300, "l2_leaf_reg": 3.0, "learning_rate": 0.05, "loss_function": "RMSE", "random_seed": 42, "subsample": 0.8, "tuning_strategy": "baseline_fijo_sin_tuning_interno", "uses_categorical_features": false, "uses_scaling": false}, "rows_eval": 26, "rows_modeling": 66, "selected_feature_count_avg": 83.0, "target_mode": "nivel", "transform_mode": ""}</t>
        </is>
      </c>
      <c r="O198" s="51" t="n">
        <v>0.35</v>
      </c>
      <c r="P198" s="51" t="n">
        <v>0.25</v>
      </c>
      <c r="Q198" s="51" t="n">
        <v>0.25</v>
      </c>
      <c r="R198" s="51" t="n">
        <v>0.1</v>
      </c>
      <c r="S198" s="52" t="n">
        <v>0.3</v>
      </c>
      <c r="T198" s="53" t="n">
        <v>0.1575152610972609</v>
      </c>
      <c r="U198" s="53" t="n">
        <v>0.2307692307692307</v>
      </c>
      <c r="V198" s="53" t="n">
        <v>0.25</v>
      </c>
      <c r="W198" s="53" t="n">
        <v>0.6538461538461539</v>
      </c>
      <c r="X198" s="54" t="n">
        <v>0.07221217933828931</v>
      </c>
      <c r="Y198" s="53" t="n">
        <v>0.09691663054691861</v>
      </c>
      <c r="Z198" s="53" t="n">
        <v>0.1281682580096723</v>
      </c>
      <c r="AA198" s="55" t="n">
        <v>0.7692307692307693</v>
      </c>
      <c r="AB198" s="55" t="n">
        <v>0.75</v>
      </c>
      <c r="AC198" s="49" t="inlineStr">
        <is>
          <t>corrido</t>
        </is>
      </c>
      <c r="AD198" s="49" t="inlineStr">
        <is>
          <t>CatBoost limpio con walk-forward temporal | hipotesis=catboost_base_tabular_all | baseline fijo sin tuning interno | sin escalado por naturaleza basada en arboles | sin variables categoricas explicitas, operando sobre features numericas</t>
        </is>
      </c>
      <c r="AE198" s="49" t="inlineStr">
        <is>
          <t>run_e5_catboost.py</t>
        </is>
      </c>
      <c r="AF198" s="49" t="inlineStr">
        <is>
          <t>Scripts/Modeling/run_e5_catboost.py</t>
        </is>
      </c>
      <c r="AG198" s="49" t="inlineStr">
        <is>
          <t>Experimentos/runs/E5_v1_clean_20260330_061014</t>
        </is>
      </c>
      <c r="AH198" s="49" t="inlineStr">
        <is>
          <t>Experimentos/runs/E5_v1_clean_20260330_061014/scripts/run_e5_catboost.py</t>
        </is>
      </c>
      <c r="AI198" s="49" t="inlineStr">
        <is>
          <t>Experimentos/runs/E5_v1_clean_20260330_061014/parametros_run.json</t>
        </is>
      </c>
      <c r="AJ198" s="49" t="inlineStr">
        <is>
          <t>Experimentos/runs/E5_v1_clean_20260330_061014/metricas_horizonte.json</t>
        </is>
      </c>
      <c r="AK198" s="49" t="inlineStr">
        <is>
          <t>2026-03-30 06:10:14</t>
        </is>
      </c>
      <c r="AL198" s="49" t="n"/>
      <c r="AM198" s="49" t="n"/>
      <c r="AN198" s="49" t="n"/>
      <c r="AO198" s="49" t="n"/>
      <c r="AP198" s="49" t="n"/>
      <c r="AQ198" s="49" t="n"/>
      <c r="AR198" s="49" t="n"/>
      <c r="AS198" s="49" t="n"/>
      <c r="AT198" s="49" t="n"/>
      <c r="AU198" s="49" t="n"/>
      <c r="AV198" s="49" t="n"/>
      <c r="AW198" s="49" t="n"/>
      <c r="AX198" s="49" t="n"/>
      <c r="AY198" s="49" t="n"/>
    </row>
    <row r="199" ht="15" customHeight="1" s="27">
      <c r="A199" s="49" t="inlineStr">
        <is>
          <t>2026-03-30 06:10:14</t>
        </is>
      </c>
      <c r="B199" s="49" t="inlineStr">
        <is>
          <t>E5_v1_clean</t>
        </is>
      </c>
      <c r="C199" s="50" t="inlineStr">
        <is>
          <t>E5</t>
        </is>
      </c>
      <c r="D199" s="50" t="inlineStr">
        <is>
          <t>arboles_boosting</t>
        </is>
      </c>
      <c r="E199" s="50" t="inlineStr">
        <is>
          <t>catboost_regressor</t>
        </is>
      </c>
      <c r="F199" s="50" t="n">
        <v>2</v>
      </c>
      <c r="G199" s="49" t="inlineStr">
        <is>
          <t>nivel</t>
        </is>
      </c>
      <c r="H199" s="50" t="inlineStr">
        <is>
          <t>y_t + lags [1, 2, 3, 4, 5, 6]</t>
        </is>
      </c>
      <c r="I199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199" s="50" t="inlineStr">
        <is>
          <t>sin_escalar</t>
        </is>
      </c>
      <c r="K199" s="50" t="inlineStr">
        <is>
          <t>all</t>
        </is>
      </c>
      <c r="L199" s="50" t="inlineStr">
        <is>
          <t>walk-forward_expanding</t>
        </is>
      </c>
      <c r="M199" s="49" t="inlineStr">
        <is>
          <t>2024-10-14 a 2026-03-02</t>
        </is>
      </c>
      <c r="N199" s="49" t="inlineStr">
        <is>
          <t>{"feature_candidates": 83, "feature_mode": "all", "horizon": 2, "initial_train_size": 40, "lags": [1, 2, 3, 4, 5, 6], "model": "catboost_regressor", "model_params": {"depth": 5, "iterations": 300, "l2_leaf_reg": 3.0, "learning_rate": 0.05, "loss_function": "RMSE", "random_seed": 42, "subsample": 0.8, "tuning_strategy": "baseline_fijo_sin_tuning_interno", "uses_categorical_features": false, "uses_scaling": false}, "rows_eval": 25, "rows_modeling": 65, "selected_feature_count_avg": 83.0, "target_mode": "nivel", "transform_mode": ""}</t>
        </is>
      </c>
      <c r="O199" s="51" t="n">
        <v>0.35</v>
      </c>
      <c r="P199" s="51" t="n">
        <v>0.25</v>
      </c>
      <c r="Q199" s="51" t="n">
        <v>0.25</v>
      </c>
      <c r="R199" s="51" t="n">
        <v>0.1</v>
      </c>
      <c r="S199" s="52" t="n">
        <v>0.25</v>
      </c>
      <c r="T199" s="53" t="n">
        <v>0.1677746603093646</v>
      </c>
      <c r="U199" s="53" t="n">
        <v>0.4</v>
      </c>
      <c r="V199" s="53" t="n">
        <v>0.4</v>
      </c>
      <c r="W199" s="53" t="n">
        <v>0.68</v>
      </c>
      <c r="X199" s="54" t="n">
        <v>0.0816802827770694</v>
      </c>
      <c r="Y199" s="53" t="n">
        <v>0.1032290754246174</v>
      </c>
      <c r="Z199" s="53" t="n">
        <v>0.1324504624196765</v>
      </c>
      <c r="AA199" s="55" t="n">
        <v>0.6</v>
      </c>
      <c r="AB199" s="55" t="n">
        <v>0.6</v>
      </c>
      <c r="AC199" s="49" t="inlineStr">
        <is>
          <t>corrido</t>
        </is>
      </c>
      <c r="AD199" s="49" t="inlineStr">
        <is>
          <t>CatBoost limpio con walk-forward temporal | hipotesis=catboost_base_tabular_all | baseline fijo sin tuning interno | sin escalado por naturaleza basada en arboles | sin variables categoricas explicitas, operando sobre features numericas</t>
        </is>
      </c>
      <c r="AE199" s="49" t="inlineStr">
        <is>
          <t>run_e5_catboost.py</t>
        </is>
      </c>
      <c r="AF199" s="49" t="inlineStr">
        <is>
          <t>Scripts/Modeling/run_e5_catboost.py</t>
        </is>
      </c>
      <c r="AG199" s="49" t="inlineStr">
        <is>
          <t>Experimentos/runs/E5_v1_clean_20260330_061014</t>
        </is>
      </c>
      <c r="AH199" s="49" t="inlineStr">
        <is>
          <t>Experimentos/runs/E5_v1_clean_20260330_061014/scripts/run_e5_catboost.py</t>
        </is>
      </c>
      <c r="AI199" s="49" t="inlineStr">
        <is>
          <t>Experimentos/runs/E5_v1_clean_20260330_061014/parametros_run.json</t>
        </is>
      </c>
      <c r="AJ199" s="49" t="inlineStr">
        <is>
          <t>Experimentos/runs/E5_v1_clean_20260330_061014/metricas_horizonte.json</t>
        </is>
      </c>
      <c r="AK199" s="49" t="inlineStr">
        <is>
          <t>2026-03-30 06:10:14</t>
        </is>
      </c>
      <c r="AL199" s="49" t="n"/>
      <c r="AM199" s="49" t="n"/>
      <c r="AN199" s="49" t="n"/>
      <c r="AO199" s="49" t="n"/>
      <c r="AP199" s="49" t="n"/>
      <c r="AQ199" s="49" t="n"/>
      <c r="AR199" s="49" t="n"/>
      <c r="AS199" s="49" t="n"/>
      <c r="AT199" s="49" t="n"/>
      <c r="AU199" s="49" t="n"/>
      <c r="AV199" s="49" t="n"/>
      <c r="AW199" s="49" t="n"/>
      <c r="AX199" s="49" t="n"/>
      <c r="AY199" s="49" t="n"/>
    </row>
    <row r="200" ht="15" customHeight="1" s="27">
      <c r="A200" s="49" t="inlineStr">
        <is>
          <t>2026-03-30 06:10:14</t>
        </is>
      </c>
      <c r="B200" s="49" t="inlineStr">
        <is>
          <t>E5_v1_clean</t>
        </is>
      </c>
      <c r="C200" s="50" t="inlineStr">
        <is>
          <t>E5</t>
        </is>
      </c>
      <c r="D200" s="50" t="inlineStr">
        <is>
          <t>arboles_boosting</t>
        </is>
      </c>
      <c r="E200" s="50" t="inlineStr">
        <is>
          <t>catboost_regressor</t>
        </is>
      </c>
      <c r="F200" s="50" t="n">
        <v>3</v>
      </c>
      <c r="G200" s="49" t="inlineStr">
        <is>
          <t>nivel</t>
        </is>
      </c>
      <c r="H200" s="50" t="inlineStr">
        <is>
          <t>y_t + lags [1, 2, 3, 4, 5, 6]</t>
        </is>
      </c>
      <c r="I200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200" s="50" t="inlineStr">
        <is>
          <t>sin_escalar</t>
        </is>
      </c>
      <c r="K200" s="50" t="inlineStr">
        <is>
          <t>all</t>
        </is>
      </c>
      <c r="L200" s="50" t="inlineStr">
        <is>
          <t>walk-forward_expanding</t>
        </is>
      </c>
      <c r="M200" s="49" t="inlineStr">
        <is>
          <t>2024-10-14 a 2026-03-02</t>
        </is>
      </c>
      <c r="N200" s="49" t="inlineStr">
        <is>
          <t>{"feature_candidates": 83, "feature_mode": "all", "horizon": 3, "initial_train_size": 40, "lags": [1, 2, 3, 4, 5, 6], "model": "catboost_regressor", "model_params": {"depth": 5, "iterations": 300, "l2_leaf_reg": 3.0, "learning_rate": 0.05, "loss_function": "RMSE", "random_seed": 42, "subsample": 0.8, "tuning_strategy": "baseline_fijo_sin_tuning_interno", "uses_categorical_features": false, "uses_scaling": false}, "rows_eval": 24, "rows_modeling": 64, "selected_feature_count_avg": 83.0, "target_mode": "nivel", "transform_mode": ""}</t>
        </is>
      </c>
      <c r="O200" s="51" t="n">
        <v>0.35</v>
      </c>
      <c r="P200" s="51" t="n">
        <v>0.25</v>
      </c>
      <c r="Q200" s="51" t="n">
        <v>0.25</v>
      </c>
      <c r="R200" s="51" t="n">
        <v>0.1</v>
      </c>
      <c r="S200" s="52" t="n">
        <v>0.3</v>
      </c>
      <c r="T200" s="53" t="n">
        <v>0.1638392745700941</v>
      </c>
      <c r="U200" s="53" t="n">
        <v>0.1666666666666666</v>
      </c>
      <c r="V200" s="53" t="n">
        <v>0.1818181818181818</v>
      </c>
      <c r="W200" s="53" t="n">
        <v>0.7083333333333334</v>
      </c>
      <c r="X200" s="54" t="n">
        <v>0.06458948746622351</v>
      </c>
      <c r="Y200" s="53" t="n">
        <v>0.1008076952796359</v>
      </c>
      <c r="Z200" s="53" t="n">
        <v>0.1334627406288278</v>
      </c>
      <c r="AA200" s="55" t="n">
        <v>0.8333333333333334</v>
      </c>
      <c r="AB200" s="55" t="n">
        <v>0.8181818181818182</v>
      </c>
      <c r="AC200" s="49" t="inlineStr">
        <is>
          <t>corrido</t>
        </is>
      </c>
      <c r="AD200" s="49" t="inlineStr">
        <is>
          <t>CatBoost limpio con walk-forward temporal | hipotesis=catboost_base_tabular_all | baseline fijo sin tuning interno | sin escalado por naturaleza basada en arboles | sin variables categoricas explicitas, operando sobre features numericas</t>
        </is>
      </c>
      <c r="AE200" s="49" t="inlineStr">
        <is>
          <t>run_e5_catboost.py</t>
        </is>
      </c>
      <c r="AF200" s="49" t="inlineStr">
        <is>
          <t>Scripts/Modeling/run_e5_catboost.py</t>
        </is>
      </c>
      <c r="AG200" s="49" t="inlineStr">
        <is>
          <t>Experimentos/runs/E5_v1_clean_20260330_061014</t>
        </is>
      </c>
      <c r="AH200" s="49" t="inlineStr">
        <is>
          <t>Experimentos/runs/E5_v1_clean_20260330_061014/scripts/run_e5_catboost.py</t>
        </is>
      </c>
      <c r="AI200" s="49" t="inlineStr">
        <is>
          <t>Experimentos/runs/E5_v1_clean_20260330_061014/parametros_run.json</t>
        </is>
      </c>
      <c r="AJ200" s="49" t="inlineStr">
        <is>
          <t>Experimentos/runs/E5_v1_clean_20260330_061014/metricas_horizonte.json</t>
        </is>
      </c>
      <c r="AK200" s="49" t="inlineStr">
        <is>
          <t>2026-03-30 06:10:14</t>
        </is>
      </c>
      <c r="AL200" s="49" t="n"/>
      <c r="AM200" s="49" t="n"/>
      <c r="AN200" s="49" t="n"/>
      <c r="AO200" s="49" t="n"/>
      <c r="AP200" s="49" t="n"/>
      <c r="AQ200" s="49" t="n"/>
      <c r="AR200" s="49" t="n"/>
      <c r="AS200" s="49" t="n"/>
      <c r="AT200" s="49" t="n"/>
      <c r="AU200" s="49" t="n"/>
      <c r="AV200" s="49" t="n"/>
      <c r="AW200" s="49" t="n"/>
      <c r="AX200" s="49" t="n"/>
      <c r="AY200" s="49" t="n"/>
    </row>
    <row r="201" ht="15" customHeight="1" s="27">
      <c r="A201" s="49" t="inlineStr">
        <is>
          <t>2026-03-30 06:10:14</t>
        </is>
      </c>
      <c r="B201" s="49" t="inlineStr">
        <is>
          <t>E5_v1_clean</t>
        </is>
      </c>
      <c r="C201" s="50" t="inlineStr">
        <is>
          <t>E5</t>
        </is>
      </c>
      <c r="D201" s="50" t="inlineStr">
        <is>
          <t>arboles_boosting</t>
        </is>
      </c>
      <c r="E201" s="50" t="inlineStr">
        <is>
          <t>catboost_regressor</t>
        </is>
      </c>
      <c r="F201" s="50" t="n">
        <v>4</v>
      </c>
      <c r="G201" s="49" t="inlineStr">
        <is>
          <t>nivel</t>
        </is>
      </c>
      <c r="H201" s="50" t="inlineStr">
        <is>
          <t>y_t + lags [1, 2, 3, 4, 5, 6]</t>
        </is>
      </c>
      <c r="I201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201" s="50" t="inlineStr">
        <is>
          <t>sin_escalar</t>
        </is>
      </c>
      <c r="K201" s="50" t="inlineStr">
        <is>
          <t>all</t>
        </is>
      </c>
      <c r="L201" s="50" t="inlineStr">
        <is>
          <t>walk-forward_expanding</t>
        </is>
      </c>
      <c r="M201" s="49" t="inlineStr">
        <is>
          <t>2024-10-14 a 2026-03-02</t>
        </is>
      </c>
      <c r="N201" s="49" t="inlineStr">
        <is>
          <t>{"feature_candidates": 83, "feature_mode": "all", "horizon": 4, "initial_train_size": 40, "lags": [1, 2, 3, 4, 5, 6], "model": "catboost_regressor", "model_params": {"depth": 5, "iterations": 300, "l2_leaf_reg": 3.0, "learning_rate": 0.05, "loss_function": "RMSE", "random_seed": 42, "subsample": 0.8, "tuning_strategy": "baseline_fijo_sin_tuning_interno", "uses_categorical_features": false, "uses_scaling": false}, "rows_eval": 23, "rows_modeling": 63, "selected_feature_count_avg": 83.0, "target_mode": "nivel", "transform_mode": ""}</t>
        </is>
      </c>
      <c r="O201" s="51" t="n">
        <v>0.35</v>
      </c>
      <c r="P201" s="51" t="n">
        <v>0.25</v>
      </c>
      <c r="Q201" s="51" t="n">
        <v>0.25</v>
      </c>
      <c r="R201" s="51" t="n">
        <v>0.1</v>
      </c>
      <c r="S201" s="52" t="n">
        <v>0.15</v>
      </c>
      <c r="T201" s="53" t="n">
        <v>0.1691178885369366</v>
      </c>
      <c r="U201" s="53" t="n">
        <v>0.2608695652173914</v>
      </c>
      <c r="V201" s="53" t="n">
        <v>0.2222222222222222</v>
      </c>
      <c r="W201" s="53" t="n">
        <v>0.6521739130434783</v>
      </c>
      <c r="X201" s="54" t="n">
        <v>0.03677723987282685</v>
      </c>
      <c r="Y201" s="53" t="n">
        <v>0.1040555423521071</v>
      </c>
      <c r="Z201" s="53" t="n">
        <v>0.149299520743719</v>
      </c>
      <c r="AA201" s="55" t="n">
        <v>0.7391304347826086</v>
      </c>
      <c r="AB201" s="55" t="n">
        <v>0.7777777777777778</v>
      </c>
      <c r="AC201" s="49" t="inlineStr">
        <is>
          <t>corrido</t>
        </is>
      </c>
      <c r="AD201" s="49" t="inlineStr">
        <is>
          <t>CatBoost limpio con walk-forward temporal | hipotesis=catboost_base_tabular_all | baseline fijo sin tuning interno | sin escalado por naturaleza basada en arboles | sin variables categoricas explicitas, operando sobre features numericas</t>
        </is>
      </c>
      <c r="AE201" s="49" t="inlineStr">
        <is>
          <t>run_e5_catboost.py</t>
        </is>
      </c>
      <c r="AF201" s="49" t="inlineStr">
        <is>
          <t>Scripts/Modeling/run_e5_catboost.py</t>
        </is>
      </c>
      <c r="AG201" s="49" t="inlineStr">
        <is>
          <t>Experimentos/runs/E5_v1_clean_20260330_061014</t>
        </is>
      </c>
      <c r="AH201" s="49" t="inlineStr">
        <is>
          <t>Experimentos/runs/E5_v1_clean_20260330_061014/scripts/run_e5_catboost.py</t>
        </is>
      </c>
      <c r="AI201" s="49" t="inlineStr">
        <is>
          <t>Experimentos/runs/E5_v1_clean_20260330_061014/parametros_run.json</t>
        </is>
      </c>
      <c r="AJ201" s="49" t="inlineStr">
        <is>
          <t>Experimentos/runs/E5_v1_clean_20260330_061014/metricas_horizonte.json</t>
        </is>
      </c>
      <c r="AK201" s="49" t="inlineStr">
        <is>
          <t>2026-03-30 06:10:14</t>
        </is>
      </c>
      <c r="AL201" s="49" t="n"/>
      <c r="AM201" s="49" t="n"/>
      <c r="AN201" s="49" t="n"/>
      <c r="AO201" s="49" t="n"/>
      <c r="AP201" s="49" t="n"/>
      <c r="AQ201" s="49" t="n"/>
      <c r="AR201" s="49" t="n"/>
      <c r="AS201" s="49" t="n"/>
      <c r="AT201" s="49" t="n"/>
      <c r="AU201" s="49" t="n"/>
      <c r="AV201" s="49" t="n"/>
      <c r="AW201" s="49" t="n"/>
      <c r="AX201" s="49" t="n"/>
      <c r="AY201" s="49" t="n"/>
    </row>
    <row r="202" ht="15" customHeight="1" s="27">
      <c r="A202" s="49" t="inlineStr">
        <is>
          <t>2026-03-30 08:57:47</t>
        </is>
      </c>
      <c r="B202" s="49" t="inlineStr">
        <is>
          <t>C1_v1_clean</t>
        </is>
      </c>
      <c r="C202" s="50" t="inlineStr">
        <is>
          <t>C1</t>
        </is>
      </c>
      <c r="D202" s="50" t="inlineStr">
        <is>
          <t>clasificacion_random_forest</t>
        </is>
      </c>
      <c r="E202" s="50" t="inlineStr">
        <is>
          <t>random_forest_classifier</t>
        </is>
      </c>
      <c r="F202" s="50" t="n">
        <v>1</v>
      </c>
      <c r="G202" s="49" t="inlineStr">
        <is>
          <t>bandas_5clases</t>
        </is>
      </c>
      <c r="H202" s="50" t="inlineStr">
        <is>
          <t>y_t + lags [1, 2, 3, 4, 5, 6]</t>
        </is>
      </c>
      <c r="I202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202" s="50" t="inlineStr">
        <is>
          <t>sin_escalar</t>
        </is>
      </c>
      <c r="K202" s="50" t="inlineStr">
        <is>
          <t>all</t>
        </is>
      </c>
      <c r="L202" s="50" t="inlineStr">
        <is>
          <t>walk-forward_expanding</t>
        </is>
      </c>
      <c r="M202" s="49" t="inlineStr">
        <is>
          <t>2024-10-14 a 2026-03-02</t>
        </is>
      </c>
      <c r="N202" s="49" t="inlineStr">
        <is>
          <t>{"feature_candidates": 83, "feature_mode": "all", "horizon": 1, "initial_train_size": 40, "lags": [1, 2, 3, 4, 5, 6], "model": "random_forest_classifier", "model_params": {"class_weight": "balanced_subsample", "max_depth": 4, "max_features": "sqrt", "min_samples_leaf": 4, "min_samples_split": 8, "n_estimators": 300, "random_seed": 42, "tuning_strategy": "baseline_fijo_sin_tuning_interno", "uses_scaling": false}, "rows_eval": 26, "rows_modeling": 66, "selected_feature_count_avg": 83.0, "target_build_metadata": {"class_to_id_3": {"baja": 0, "se_mantiene": 1, "sube": 2}, "class_to_id_5": {"baja_fuerte": 0, "baja_moderada": 1, "se_mantiene": 2, "sube_fuerte": 4, "sube_moderada": 3}, "delta_definition": "delta_objetivo_h = y_{t+h} - y_t", "horizonte": 1, "target_mode_clf": "bandas_5clases", "taxonomy_5_classes": {"baja_fuerte": "cambio &lt;= -3.0", "baja_moderada": "-3.0 &lt; cambio &lt;= -1.5", "se_mantiene": "-1.5 &lt; cambio &lt; 1.5", "sube_fuerte": "cambio &gt;= 3.0", "sube_moderada": "1.5 &lt;= cambio &lt; 3.0"}}, "target_mode_clf": "bandas_5clases", "task_type": "clasificacion"}</t>
        </is>
      </c>
      <c r="O202" s="51" t="n">
        <v>0.35</v>
      </c>
      <c r="P202" s="51" t="n">
        <v>0.25</v>
      </c>
      <c r="Q202" s="51" t="n">
        <v>0.25</v>
      </c>
      <c r="R202" s="51" t="n">
        <v>0.1</v>
      </c>
      <c r="S202" s="52" t="n">
        <v>0.3</v>
      </c>
      <c r="T202" s="53" t="n"/>
      <c r="U202" s="53" t="n"/>
      <c r="V202" s="53" t="n"/>
      <c r="W202" s="53" t="n"/>
      <c r="X202" s="54" t="n">
        <v>0.145</v>
      </c>
      <c r="Y202" s="53" t="n"/>
      <c r="Z202" s="53" t="n"/>
      <c r="AA202" s="55" t="n"/>
      <c r="AB202" s="55" t="n"/>
      <c r="AC202" s="49" t="inlineStr">
        <is>
          <t>corrido</t>
        </is>
      </c>
      <c r="AD202" s="49" t="inlineStr">
        <is>
          <t>RandomForestClassifier limpio con walk-forward temporal | hipotesis=rf_clf_baseline_prudente | sin tuning interno | class_weight nativo por fold</t>
        </is>
      </c>
      <c r="AE202" s="49" t="inlineStr">
        <is>
          <t>run_c1_random_forest_classifier.py</t>
        </is>
      </c>
      <c r="AF202" s="49" t="inlineStr">
        <is>
          <t>Scripts/Modeling/run_c1_random_forest_classifier.py</t>
        </is>
      </c>
      <c r="AG202" s="49" t="inlineStr">
        <is>
          <t>Experimentos/runs/C1_v1_clean_20260330_085747</t>
        </is>
      </c>
      <c r="AH202" s="49" t="inlineStr">
        <is>
          <t>Experimentos/runs/C1_v1_clean_20260330_085747/scripts/run_c1_random_forest_classifier.py</t>
        </is>
      </c>
      <c r="AI202" s="49" t="inlineStr">
        <is>
          <t>Experimentos/runs/C1_v1_clean_20260330_085747/parametros_run.json</t>
        </is>
      </c>
      <c r="AJ202" s="49" t="inlineStr">
        <is>
          <t>Experimentos/runs/C1_v1_clean_20260330_085747/metricas_horizonte.json</t>
        </is>
      </c>
      <c r="AK202" s="49" t="inlineStr">
        <is>
          <t>2026-03-30 08:57:47</t>
        </is>
      </c>
      <c r="AL202" s="49" t="inlineStr">
        <is>
          <t>clasificacion</t>
        </is>
      </c>
      <c r="AM202" s="49" t="n">
        <v>1</v>
      </c>
      <c r="AN202" s="49" t="n">
        <v>1</v>
      </c>
      <c r="AO202" s="49" t="n">
        <v>0.2</v>
      </c>
      <c r="AP202" s="49" t="n">
        <v>1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1</v>
      </c>
      <c r="AW202" s="49" t="n">
        <v>0.3333333333333333</v>
      </c>
      <c r="AX202" s="49" t="n">
        <v>1</v>
      </c>
      <c r="AY202" s="49" t="n">
        <v>0.145</v>
      </c>
    </row>
    <row r="203" ht="15" customHeight="1" s="27">
      <c r="A203" s="49" t="inlineStr">
        <is>
          <t>2026-03-30 08:57:47</t>
        </is>
      </c>
      <c r="B203" s="49" t="inlineStr">
        <is>
          <t>C1_v1_clean</t>
        </is>
      </c>
      <c r="C203" s="50" t="inlineStr">
        <is>
          <t>C1</t>
        </is>
      </c>
      <c r="D203" s="50" t="inlineStr">
        <is>
          <t>clasificacion_random_forest</t>
        </is>
      </c>
      <c r="E203" s="50" t="inlineStr">
        <is>
          <t>random_forest_classifier</t>
        </is>
      </c>
      <c r="F203" s="50" t="n">
        <v>2</v>
      </c>
      <c r="G203" s="49" t="inlineStr">
        <is>
          <t>bandas_5clases</t>
        </is>
      </c>
      <c r="H203" s="50" t="inlineStr">
        <is>
          <t>y_t + lags [1, 2, 3, 4, 5, 6]</t>
        </is>
      </c>
      <c r="I203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203" s="50" t="inlineStr">
        <is>
          <t>sin_escalar</t>
        </is>
      </c>
      <c r="K203" s="50" t="inlineStr">
        <is>
          <t>all</t>
        </is>
      </c>
      <c r="L203" s="50" t="inlineStr">
        <is>
          <t>walk-forward_expanding</t>
        </is>
      </c>
      <c r="M203" s="49" t="inlineStr">
        <is>
          <t>2024-10-14 a 2026-03-02</t>
        </is>
      </c>
      <c r="N203" s="49" t="inlineStr">
        <is>
          <t>{"feature_candidates": 83, "feature_mode": "all", "horizon": 2, "initial_train_size": 40, "lags": [1, 2, 3, 4, 5, 6], "model": "random_forest_classifier", "model_params": {"class_weight": "balanced_subsample", "max_depth": 4, "max_features": "sqrt", "min_samples_leaf": 4, "min_samples_split": 8, "n_estimators": 300, "random_seed": 42, "tuning_strategy": "baseline_fijo_sin_tuning_interno", "uses_scaling": false}, "rows_eval": 25, "rows_modeling": 65, "selected_feature_count_avg": 83.0, "target_build_metadata": {"class_to_id_3": {"baja": 0, "se_mantiene": 1, "sube": 2}, "class_to_id_5": {"baja_fuerte": 0, "baja_moderada": 1, "se_mantiene": 2, "sube_fuerte": 4, "sube_moderada": 3}, "delta_definition": "delta_objetivo_h = y_{t+h} - y_t", "horizonte": 2, "target_mode_clf": "bandas_5clases", "taxonomy_5_classes": {"baja_fuerte": "cambio &lt;= -3.0", "baja_moderada": "-3.0 &lt; cambio &lt;= -1.5", "se_mantiene": "-1.5 &lt; cambio &lt; 1.5", "sube_fuerte": "cambio &gt;= 3.0", "sube_moderada": "1.5 &lt;= cambio &lt; 3.0"}}, "target_mode_clf": "bandas_5clases", "task_type": "clasificacion"}</t>
        </is>
      </c>
      <c r="O203" s="51" t="n">
        <v>0.35</v>
      </c>
      <c r="P203" s="51" t="n">
        <v>0.25</v>
      </c>
      <c r="Q203" s="51" t="n">
        <v>0.25</v>
      </c>
      <c r="R203" s="51" t="n">
        <v>0.1</v>
      </c>
      <c r="S203" s="52" t="n">
        <v>0.25</v>
      </c>
      <c r="T203" s="53" t="n"/>
      <c r="U203" s="53" t="n"/>
      <c r="V203" s="53" t="n"/>
      <c r="W203" s="53" t="n"/>
      <c r="X203" s="54" t="n">
        <v>0.1208333333333333</v>
      </c>
      <c r="Y203" s="53" t="n"/>
      <c r="Z203" s="53" t="n"/>
      <c r="AA203" s="55" t="n"/>
      <c r="AB203" s="55" t="n"/>
      <c r="AC203" s="49" t="inlineStr">
        <is>
          <t>corrido</t>
        </is>
      </c>
      <c r="AD203" s="49" t="inlineStr">
        <is>
          <t>RandomForestClassifier limpio con walk-forward temporal | hipotesis=rf_clf_baseline_prudente | sin tuning interno | class_weight nativo por fold</t>
        </is>
      </c>
      <c r="AE203" s="49" t="inlineStr">
        <is>
          <t>run_c1_random_forest_classifier.py</t>
        </is>
      </c>
      <c r="AF203" s="49" t="inlineStr">
        <is>
          <t>Scripts/Modeling/run_c1_random_forest_classifier.py</t>
        </is>
      </c>
      <c r="AG203" s="49" t="inlineStr">
        <is>
          <t>Experimentos/runs/C1_v1_clean_20260330_085747</t>
        </is>
      </c>
      <c r="AH203" s="49" t="inlineStr">
        <is>
          <t>Experimentos/runs/C1_v1_clean_20260330_085747/scripts/run_c1_random_forest_classifier.py</t>
        </is>
      </c>
      <c r="AI203" s="49" t="inlineStr">
        <is>
          <t>Experimentos/runs/C1_v1_clean_20260330_085747/parametros_run.json</t>
        </is>
      </c>
      <c r="AJ203" s="49" t="inlineStr">
        <is>
          <t>Experimentos/runs/C1_v1_clean_20260330_085747/metricas_horizonte.json</t>
        </is>
      </c>
      <c r="AK203" s="49" t="inlineStr">
        <is>
          <t>2026-03-30 08:57:47</t>
        </is>
      </c>
      <c r="AL203" s="49" t="inlineStr">
        <is>
          <t>clasificacion</t>
        </is>
      </c>
      <c r="AM203" s="49" t="n">
        <v>1</v>
      </c>
      <c r="AN203" s="49" t="n">
        <v>1</v>
      </c>
      <c r="AO203" s="49" t="n">
        <v>0.2</v>
      </c>
      <c r="AP203" s="49" t="n">
        <v>1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1</v>
      </c>
      <c r="AW203" s="49" t="n">
        <v>0.3333333333333333</v>
      </c>
      <c r="AX203" s="49" t="n">
        <v>1</v>
      </c>
      <c r="AY203" s="49" t="n">
        <v>0.1208333333333333</v>
      </c>
    </row>
    <row r="204" ht="15" customHeight="1" s="27">
      <c r="A204" s="49" t="inlineStr">
        <is>
          <t>2026-03-30 08:57:47</t>
        </is>
      </c>
      <c r="B204" s="49" t="inlineStr">
        <is>
          <t>C1_v1_clean</t>
        </is>
      </c>
      <c r="C204" s="50" t="inlineStr">
        <is>
          <t>C1</t>
        </is>
      </c>
      <c r="D204" s="50" t="inlineStr">
        <is>
          <t>clasificacion_random_forest</t>
        </is>
      </c>
      <c r="E204" s="50" t="inlineStr">
        <is>
          <t>random_forest_classifier</t>
        </is>
      </c>
      <c r="F204" s="50" t="n">
        <v>3</v>
      </c>
      <c r="G204" s="49" t="inlineStr">
        <is>
          <t>bandas_5clases</t>
        </is>
      </c>
      <c r="H204" s="50" t="inlineStr">
        <is>
          <t>y_t + lags [1, 2, 3, 4, 5, 6]</t>
        </is>
      </c>
      <c r="I204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204" s="50" t="inlineStr">
        <is>
          <t>sin_escalar</t>
        </is>
      </c>
      <c r="K204" s="50" t="inlineStr">
        <is>
          <t>all</t>
        </is>
      </c>
      <c r="L204" s="50" t="inlineStr">
        <is>
          <t>walk-forward_expanding</t>
        </is>
      </c>
      <c r="M204" s="49" t="inlineStr">
        <is>
          <t>2024-10-14 a 2026-03-02</t>
        </is>
      </c>
      <c r="N204" s="49" t="inlineStr">
        <is>
          <t>{"feature_candidates": 83, "feature_mode": "all", "horizon": 3, "initial_train_size": 40, "lags": [1, 2, 3, 4, 5, 6], "model": "random_forest_classifier", "model_params": {"class_weight": "balanced_subsample", "max_depth": 4, "max_features": "sqrt", "min_samples_leaf": 4, "min_samples_split": 8, "n_estimators": 300, "random_seed": 42, "tuning_strategy": "baseline_fijo_sin_tuning_interno", "uses_scaling": false}, "rows_eval": 24, "rows_modeling": 64, "selected_feature_count_avg": 83.0, "target_build_metadata": {"class_to_id_3": {"baja": 0, "se_mantiene": 1, "sube": 2}, "class_to_id_5": {"baja_fuerte": 0, "baja_moderada": 1, "se_mantiene": 2, "sube_fuerte": 4, "sube_moderada": 3}, "delta_definition": "delta_objetivo_h = y_{t+h} - y_t", "horizonte": 3, "target_mode_clf": "bandas_5clases", "taxonomy_5_classes": {"baja_fuerte": "cambio &lt;= -3.0", "baja_moderada": "-3.0 &lt; cambio &lt;= -1.5", "se_mantiene": "-1.5 &lt; cambio &lt; 1.5", "sube_fuerte": "cambio &gt;= 3.0", "sube_moderada": "1.5 &lt;= cambio &lt; 3.0"}}, "target_mode_clf": "bandas_5clases", "task_type": "clasificacion"}</t>
        </is>
      </c>
      <c r="O204" s="51" t="n">
        <v>0.35</v>
      </c>
      <c r="P204" s="51" t="n">
        <v>0.25</v>
      </c>
      <c r="Q204" s="51" t="n">
        <v>0.25</v>
      </c>
      <c r="R204" s="51" t="n">
        <v>0.1</v>
      </c>
      <c r="S204" s="52" t="n">
        <v>0.3</v>
      </c>
      <c r="T204" s="53" t="n"/>
      <c r="U204" s="53" t="n"/>
      <c r="V204" s="53" t="n"/>
      <c r="W204" s="53" t="n"/>
      <c r="X204" s="54" t="n">
        <v>0.145</v>
      </c>
      <c r="Y204" s="53" t="n"/>
      <c r="Z204" s="53" t="n"/>
      <c r="AA204" s="55" t="n"/>
      <c r="AB204" s="55" t="n"/>
      <c r="AC204" s="49" t="inlineStr">
        <is>
          <t>corrido</t>
        </is>
      </c>
      <c r="AD204" s="49" t="inlineStr">
        <is>
          <t>RandomForestClassifier limpio con walk-forward temporal | hipotesis=rf_clf_baseline_prudente | sin tuning interno | class_weight nativo por fold</t>
        </is>
      </c>
      <c r="AE204" s="49" t="inlineStr">
        <is>
          <t>run_c1_random_forest_classifier.py</t>
        </is>
      </c>
      <c r="AF204" s="49" t="inlineStr">
        <is>
          <t>Scripts/Modeling/run_c1_random_forest_classifier.py</t>
        </is>
      </c>
      <c r="AG204" s="49" t="inlineStr">
        <is>
          <t>Experimentos/runs/C1_v1_clean_20260330_085747</t>
        </is>
      </c>
      <c r="AH204" s="49" t="inlineStr">
        <is>
          <t>Experimentos/runs/C1_v1_clean_20260330_085747/scripts/run_c1_random_forest_classifier.py</t>
        </is>
      </c>
      <c r="AI204" s="49" t="inlineStr">
        <is>
          <t>Experimentos/runs/C1_v1_clean_20260330_085747/parametros_run.json</t>
        </is>
      </c>
      <c r="AJ204" s="49" t="inlineStr">
        <is>
          <t>Experimentos/runs/C1_v1_clean_20260330_085747/metricas_horizonte.json</t>
        </is>
      </c>
      <c r="AK204" s="49" t="inlineStr">
        <is>
          <t>2026-03-30 08:57:47</t>
        </is>
      </c>
      <c r="AL204" s="49" t="inlineStr">
        <is>
          <t>clasificacion</t>
        </is>
      </c>
      <c r="AM204" s="49" t="n">
        <v>1</v>
      </c>
      <c r="AN204" s="49" t="n">
        <v>1</v>
      </c>
      <c r="AO204" s="49" t="n">
        <v>0.2</v>
      </c>
      <c r="AP204" s="49" t="n">
        <v>1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1</v>
      </c>
      <c r="AW204" s="49" t="n">
        <v>0.3333333333333333</v>
      </c>
      <c r="AX204" s="49" t="n">
        <v>1</v>
      </c>
      <c r="AY204" s="49" t="n">
        <v>0.145</v>
      </c>
    </row>
    <row r="205" ht="15" customHeight="1" s="27">
      <c r="A205" s="49" t="inlineStr">
        <is>
          <t>2026-03-30 08:57:47</t>
        </is>
      </c>
      <c r="B205" s="49" t="inlineStr">
        <is>
          <t>C1_v1_clean</t>
        </is>
      </c>
      <c r="C205" s="50" t="inlineStr">
        <is>
          <t>C1</t>
        </is>
      </c>
      <c r="D205" s="50" t="inlineStr">
        <is>
          <t>clasificacion_random_forest</t>
        </is>
      </c>
      <c r="E205" s="50" t="inlineStr">
        <is>
          <t>random_forest_classifier</t>
        </is>
      </c>
      <c r="F205" s="50" t="n">
        <v>4</v>
      </c>
      <c r="G205" s="49" t="inlineStr">
        <is>
          <t>bandas_5clases</t>
        </is>
      </c>
      <c r="H205" s="50" t="inlineStr">
        <is>
          <t>y_t + lags [1, 2, 3, 4, 5, 6]</t>
        </is>
      </c>
      <c r="I205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205" s="50" t="inlineStr">
        <is>
          <t>sin_escalar</t>
        </is>
      </c>
      <c r="K205" s="50" t="inlineStr">
        <is>
          <t>all</t>
        </is>
      </c>
      <c r="L205" s="50" t="inlineStr">
        <is>
          <t>walk-forward_expanding</t>
        </is>
      </c>
      <c r="M205" s="49" t="inlineStr">
        <is>
          <t>2024-10-14 a 2026-03-02</t>
        </is>
      </c>
      <c r="N205" s="49" t="inlineStr">
        <is>
          <t>{"feature_candidates": 83, "feature_mode": "all", "horizon": 4, "initial_train_size": 40, "lags": [1, 2, 3, 4, 5, 6], "model": "random_forest_classifier", "model_params": {"class_weight": "balanced_subsample", "max_depth": 4, "max_features": "sqrt", "min_samples_leaf": 4, "min_samples_split": 8, "n_estimators": 300, "random_seed": 42, "tuning_strategy": "baseline_fijo_sin_tuning_interno", "uses_scaling": false}, "rows_eval": 23, "rows_modeling": 63, "selected_feature_count_avg": 83.0, "target_build_metadata": {"class_to_id_3": {"baja": 0, "se_mantiene": 1, "sube": 2}, "class_to_id_5": {"baja_fuerte": 0, "baja_moderada": 1, "se_mantiene": 2, "sube_fuerte": 4, "sube_moderada": 3}, "delta_definition": "delta_objetivo_h = y_{t+h} - y_t", "horizonte": 4, "target_mode_clf": "bandas_5clases", "taxonomy_5_classes": {"baja_fuerte": "cambio &lt;= -3.0", "baja_moderada": "-3.0 &lt; cambio &lt;= -1.5", "se_mantiene": "-1.5 &lt; cambio &lt; 1.5", "sube_fuerte": "cambio &gt;= 3.0", "sube_moderada": "1.5 &lt;= cambio &lt; 3.0"}}, "target_mode_clf": "bandas_5clases", "task_type": "clasificacion"}</t>
        </is>
      </c>
      <c r="O205" s="51" t="n">
        <v>0.35</v>
      </c>
      <c r="P205" s="51" t="n">
        <v>0.25</v>
      </c>
      <c r="Q205" s="51" t="n">
        <v>0.25</v>
      </c>
      <c r="R205" s="51" t="n">
        <v>0.1</v>
      </c>
      <c r="S205" s="52" t="n">
        <v>0.15</v>
      </c>
      <c r="T205" s="53" t="n"/>
      <c r="U205" s="53" t="n"/>
      <c r="V205" s="53" t="n"/>
      <c r="W205" s="53" t="n"/>
      <c r="X205" s="54" t="n">
        <v>0.0725</v>
      </c>
      <c r="Y205" s="53" t="n"/>
      <c r="Z205" s="53" t="n"/>
      <c r="AA205" s="55" t="n"/>
      <c r="AB205" s="55" t="n"/>
      <c r="AC205" s="49" t="inlineStr">
        <is>
          <t>corrido</t>
        </is>
      </c>
      <c r="AD205" s="49" t="inlineStr">
        <is>
          <t>RandomForestClassifier limpio con walk-forward temporal | hipotesis=rf_clf_baseline_prudente | sin tuning interno | class_weight nativo por fold</t>
        </is>
      </c>
      <c r="AE205" s="49" t="inlineStr">
        <is>
          <t>run_c1_random_forest_classifier.py</t>
        </is>
      </c>
      <c r="AF205" s="49" t="inlineStr">
        <is>
          <t>Scripts/Modeling/run_c1_random_forest_classifier.py</t>
        </is>
      </c>
      <c r="AG205" s="49" t="inlineStr">
        <is>
          <t>Experimentos/runs/C1_v1_clean_20260330_085747</t>
        </is>
      </c>
      <c r="AH205" s="49" t="inlineStr">
        <is>
          <t>Experimentos/runs/C1_v1_clean_20260330_085747/scripts/run_c1_random_forest_classifier.py</t>
        </is>
      </c>
      <c r="AI205" s="49" t="inlineStr">
        <is>
          <t>Experimentos/runs/C1_v1_clean_20260330_085747/parametros_run.json</t>
        </is>
      </c>
      <c r="AJ205" s="49" t="inlineStr">
        <is>
          <t>Experimentos/runs/C1_v1_clean_20260330_085747/metricas_horizonte.json</t>
        </is>
      </c>
      <c r="AK205" s="49" t="inlineStr">
        <is>
          <t>2026-03-30 08:57:47</t>
        </is>
      </c>
      <c r="AL205" s="49" t="inlineStr">
        <is>
          <t>clasificacion</t>
        </is>
      </c>
      <c r="AM205" s="49" t="n">
        <v>1</v>
      </c>
      <c r="AN205" s="49" t="n">
        <v>1</v>
      </c>
      <c r="AO205" s="49" t="n">
        <v>0.2</v>
      </c>
      <c r="AP205" s="49" t="n">
        <v>1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1</v>
      </c>
      <c r="AW205" s="49" t="n">
        <v>0.3333333333333333</v>
      </c>
      <c r="AX205" s="49" t="n">
        <v>1</v>
      </c>
      <c r="AY205" s="49" t="n">
        <v>0.0725</v>
      </c>
    </row>
    <row r="206" ht="15" customHeight="1" s="27">
      <c r="A206" s="49" t="inlineStr">
        <is>
          <t>2026-03-30 08:58:46</t>
        </is>
      </c>
      <c r="B206" s="49" t="inlineStr">
        <is>
          <t>C1_v2_clean</t>
        </is>
      </c>
      <c r="C206" s="50" t="inlineStr">
        <is>
          <t>C1</t>
        </is>
      </c>
      <c r="D206" s="50" t="inlineStr">
        <is>
          <t>clasificacion_random_forest</t>
        </is>
      </c>
      <c r="E206" s="50" t="inlineStr">
        <is>
          <t>random_forest_classifier</t>
        </is>
      </c>
      <c r="F206" s="50" t="n">
        <v>1</v>
      </c>
      <c r="G206" s="49" t="inlineStr">
        <is>
          <t>bandas_5clases</t>
        </is>
      </c>
      <c r="H206" s="50" t="inlineStr">
        <is>
          <t>y_t + lags [1, 2, 3, 4, 5, 6]</t>
        </is>
      </c>
      <c r="I206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206" s="50" t="inlineStr">
        <is>
          <t>sin_escalar</t>
        </is>
      </c>
      <c r="K206" s="50" t="inlineStr">
        <is>
          <t>all</t>
        </is>
      </c>
      <c r="L206" s="50" t="inlineStr">
        <is>
          <t>walk-forward_expanding</t>
        </is>
      </c>
      <c r="M206" s="49" t="inlineStr">
        <is>
          <t>2024-10-14 a 2026-03-02</t>
        </is>
      </c>
      <c r="N206" s="49" t="inlineStr">
        <is>
          <t>{"feature_candidates": 83, "feature_mode": "all", "horizon": 1, "initial_train_size": 40, "lags": [1, 2, 3, 4, 5, 6], "model": "random_forest_classifier", "model_params": {"class_weight": "balanced_subsample", "max_depth": 3, "max_features": "sqrt", "min_samples_leaf": 5, "min_samples_split": 10, "n_estimators": 400, "random_seed": 42, "tuning_strategy": "baseline_fijo_sin_tuning_interno", "uses_scaling": false}, "rows_eval": 26, "rows_modeling": 66, "selected_feature_count_avg": 83.0, "target_build_metadata": {"class_to_id_3": {"baja": 0, "se_mantiene": 1, "sube": 2}, "class_to_id_5": {"baja_fuerte": 0, "baja_moderada": 1, "se_mantiene": 2, "sube_fuerte": 4, "sube_moderada": 3}, "delta_definition": "delta_objetivo_h = y_{t+h} - y_t", "horizonte": 1, "target_mode_clf": "bandas_5clases", "taxonomy_5_classes": {"baja_fuerte": "cambio &lt;= -3.0", "baja_moderada": "-3.0 &lt; cambio &lt;= -1.5", "se_mantiene": "-1.5 &lt; cambio &lt; 1.5", "sube_fuerte": "cambio &gt;= 3.0", "sube_moderada": "1.5 &lt;= cambio &lt; 3.0"}}, "target_mode_clf": "bandas_5clases", "task_type": "clasificacion"}</t>
        </is>
      </c>
      <c r="O206" s="51" t="n">
        <v>0.35</v>
      </c>
      <c r="P206" s="51" t="n">
        <v>0.25</v>
      </c>
      <c r="Q206" s="51" t="n">
        <v>0.25</v>
      </c>
      <c r="R206" s="51" t="n">
        <v>0.1</v>
      </c>
      <c r="S206" s="52" t="n">
        <v>0.3</v>
      </c>
      <c r="T206" s="53" t="n"/>
      <c r="U206" s="53" t="n"/>
      <c r="V206" s="53" t="n"/>
      <c r="W206" s="53" t="n"/>
      <c r="X206" s="54" t="n">
        <v>0.145</v>
      </c>
      <c r="Y206" s="53" t="n"/>
      <c r="Z206" s="53" t="n"/>
      <c r="AA206" s="55" t="n"/>
      <c r="AB206" s="55" t="n"/>
      <c r="AC206" s="49" t="inlineStr">
        <is>
          <t>corrido</t>
        </is>
      </c>
      <c r="AD206" s="49" t="inlineStr">
        <is>
          <t>RandomForestClassifier limpio con walk-forward temporal | hipotesis=rf_clf_mas_parsimonioso | sin tuning interno | class_weight nativo por fold</t>
        </is>
      </c>
      <c r="AE206" s="49" t="inlineStr">
        <is>
          <t>run_c1_random_forest_classifier.py</t>
        </is>
      </c>
      <c r="AF206" s="49" t="inlineStr">
        <is>
          <t>Scripts/Modeling/run_c1_random_forest_classifier.py</t>
        </is>
      </c>
      <c r="AG206" s="49" t="inlineStr">
        <is>
          <t>Experimentos/runs/C1_v2_clean_20260330_085846</t>
        </is>
      </c>
      <c r="AH206" s="49" t="inlineStr">
        <is>
          <t>Experimentos/runs/C1_v2_clean_20260330_085846/scripts/run_c1_random_forest_classifier.py</t>
        </is>
      </c>
      <c r="AI206" s="49" t="inlineStr">
        <is>
          <t>Experimentos/runs/C1_v2_clean_20260330_085846/parametros_run.json</t>
        </is>
      </c>
      <c r="AJ206" s="49" t="inlineStr">
        <is>
          <t>Experimentos/runs/C1_v2_clean_20260330_085846/metricas_horizonte.json</t>
        </is>
      </c>
      <c r="AK206" s="49" t="inlineStr">
        <is>
          <t>2026-03-30 08:58:46</t>
        </is>
      </c>
      <c r="AL206" s="49" t="inlineStr">
        <is>
          <t>clasificacion</t>
        </is>
      </c>
      <c r="AM206" s="49" t="n">
        <v>1</v>
      </c>
      <c r="AN206" s="49" t="n">
        <v>1</v>
      </c>
      <c r="AO206" s="49" t="n">
        <v>0.2</v>
      </c>
      <c r="AP206" s="49" t="n">
        <v>1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1</v>
      </c>
      <c r="AW206" s="49" t="n">
        <v>0.3333333333333333</v>
      </c>
      <c r="AX206" s="49" t="n">
        <v>1</v>
      </c>
      <c r="AY206" s="49" t="n">
        <v>0.145</v>
      </c>
    </row>
    <row r="207" ht="15" customHeight="1" s="27">
      <c r="A207" s="49" t="inlineStr">
        <is>
          <t>2026-03-30 08:58:46</t>
        </is>
      </c>
      <c r="B207" s="49" t="inlineStr">
        <is>
          <t>C1_v2_clean</t>
        </is>
      </c>
      <c r="C207" s="50" t="inlineStr">
        <is>
          <t>C1</t>
        </is>
      </c>
      <c r="D207" s="50" t="inlineStr">
        <is>
          <t>clasificacion_random_forest</t>
        </is>
      </c>
      <c r="E207" s="50" t="inlineStr">
        <is>
          <t>random_forest_classifier</t>
        </is>
      </c>
      <c r="F207" s="50" t="n">
        <v>2</v>
      </c>
      <c r="G207" s="49" t="inlineStr">
        <is>
          <t>bandas_5clases</t>
        </is>
      </c>
      <c r="H207" s="50" t="inlineStr">
        <is>
          <t>y_t + lags [1, 2, 3, 4, 5, 6]</t>
        </is>
      </c>
      <c r="I207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207" s="50" t="inlineStr">
        <is>
          <t>sin_escalar</t>
        </is>
      </c>
      <c r="K207" s="50" t="inlineStr">
        <is>
          <t>all</t>
        </is>
      </c>
      <c r="L207" s="50" t="inlineStr">
        <is>
          <t>walk-forward_expanding</t>
        </is>
      </c>
      <c r="M207" s="49" t="inlineStr">
        <is>
          <t>2024-10-14 a 2026-03-02</t>
        </is>
      </c>
      <c r="N207" s="49" t="inlineStr">
        <is>
          <t>{"feature_candidates": 83, "feature_mode": "all", "horizon": 2, "initial_train_size": 40, "lags": [1, 2, 3, 4, 5, 6], "model": "random_forest_classifier", "model_params": {"class_weight": "balanced_subsample", "max_depth": 3, "max_features": "sqrt", "min_samples_leaf": 5, "min_samples_split": 10, "n_estimators": 400, "random_seed": 42, "tuning_strategy": "baseline_fijo_sin_tuning_interno", "uses_scaling": false}, "rows_eval": 25, "rows_modeling": 65, "selected_feature_count_avg": 83.0, "target_build_metadata": {"class_to_id_3": {"baja": 0, "se_mantiene": 1, "sube": 2}, "class_to_id_5": {"baja_fuerte": 0, "baja_moderada": 1, "se_mantiene": 2, "sube_fuerte": 4, "sube_moderada": 3}, "delta_definition": "delta_objetivo_h = y_{t+h} - y_t", "horizonte": 2, "target_mode_clf": "bandas_5clases", "taxonomy_5_classes": {"baja_fuerte": "cambio &lt;= -3.0", "baja_moderada": "-3.0 &lt; cambio &lt;= -1.5", "se_mantiene": "-1.5 &lt; cambio &lt; 1.5", "sube_fuerte": "cambio &gt;= 3.0", "sube_moderada": "1.5 &lt;= cambio &lt; 3.0"}}, "target_mode_clf": "bandas_5clases", "task_type": "clasificacion"}</t>
        </is>
      </c>
      <c r="O207" s="51" t="n">
        <v>0.35</v>
      </c>
      <c r="P207" s="51" t="n">
        <v>0.25</v>
      </c>
      <c r="Q207" s="51" t="n">
        <v>0.25</v>
      </c>
      <c r="R207" s="51" t="n">
        <v>0.1</v>
      </c>
      <c r="S207" s="52" t="n">
        <v>0.25</v>
      </c>
      <c r="T207" s="53" t="n"/>
      <c r="U207" s="53" t="n"/>
      <c r="V207" s="53" t="n"/>
      <c r="W207" s="53" t="n"/>
      <c r="X207" s="54" t="n">
        <v>0.1208333333333333</v>
      </c>
      <c r="Y207" s="53" t="n"/>
      <c r="Z207" s="53" t="n"/>
      <c r="AA207" s="55" t="n"/>
      <c r="AB207" s="55" t="n"/>
      <c r="AC207" s="49" t="inlineStr">
        <is>
          <t>corrido</t>
        </is>
      </c>
      <c r="AD207" s="49" t="inlineStr">
        <is>
          <t>RandomForestClassifier limpio con walk-forward temporal | hipotesis=rf_clf_mas_parsimonioso | sin tuning interno | class_weight nativo por fold</t>
        </is>
      </c>
      <c r="AE207" s="49" t="inlineStr">
        <is>
          <t>run_c1_random_forest_classifier.py</t>
        </is>
      </c>
      <c r="AF207" s="49" t="inlineStr">
        <is>
          <t>Scripts/Modeling/run_c1_random_forest_classifier.py</t>
        </is>
      </c>
      <c r="AG207" s="49" t="inlineStr">
        <is>
          <t>Experimentos/runs/C1_v2_clean_20260330_085846</t>
        </is>
      </c>
      <c r="AH207" s="49" t="inlineStr">
        <is>
          <t>Experimentos/runs/C1_v2_clean_20260330_085846/scripts/run_c1_random_forest_classifier.py</t>
        </is>
      </c>
      <c r="AI207" s="49" t="inlineStr">
        <is>
          <t>Experimentos/runs/C1_v2_clean_20260330_085846/parametros_run.json</t>
        </is>
      </c>
      <c r="AJ207" s="49" t="inlineStr">
        <is>
          <t>Experimentos/runs/C1_v2_clean_20260330_085846/metricas_horizonte.json</t>
        </is>
      </c>
      <c r="AK207" s="49" t="inlineStr">
        <is>
          <t>2026-03-30 08:58:46</t>
        </is>
      </c>
      <c r="AL207" s="49" t="inlineStr">
        <is>
          <t>clasificacion</t>
        </is>
      </c>
      <c r="AM207" s="49" t="n">
        <v>1</v>
      </c>
      <c r="AN207" s="49" t="n">
        <v>1</v>
      </c>
      <c r="AO207" s="49" t="n">
        <v>0.2</v>
      </c>
      <c r="AP207" s="49" t="n">
        <v>1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1</v>
      </c>
      <c r="AW207" s="49" t="n">
        <v>0.3333333333333333</v>
      </c>
      <c r="AX207" s="49" t="n">
        <v>1</v>
      </c>
      <c r="AY207" s="49" t="n">
        <v>0.1208333333333333</v>
      </c>
    </row>
    <row r="208" ht="15" customHeight="1" s="27">
      <c r="A208" s="49" t="inlineStr">
        <is>
          <t>2026-03-30 08:58:46</t>
        </is>
      </c>
      <c r="B208" s="49" t="inlineStr">
        <is>
          <t>C1_v2_clean</t>
        </is>
      </c>
      <c r="C208" s="50" t="inlineStr">
        <is>
          <t>C1</t>
        </is>
      </c>
      <c r="D208" s="50" t="inlineStr">
        <is>
          <t>clasificacion_random_forest</t>
        </is>
      </c>
      <c r="E208" s="50" t="inlineStr">
        <is>
          <t>random_forest_classifier</t>
        </is>
      </c>
      <c r="F208" s="50" t="n">
        <v>3</v>
      </c>
      <c r="G208" s="49" t="inlineStr">
        <is>
          <t>bandas_5clases</t>
        </is>
      </c>
      <c r="H208" s="50" t="inlineStr">
        <is>
          <t>y_t + lags [1, 2, 3, 4, 5, 6]</t>
        </is>
      </c>
      <c r="I208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208" s="50" t="inlineStr">
        <is>
          <t>sin_escalar</t>
        </is>
      </c>
      <c r="K208" s="50" t="inlineStr">
        <is>
          <t>all</t>
        </is>
      </c>
      <c r="L208" s="50" t="inlineStr">
        <is>
          <t>walk-forward_expanding</t>
        </is>
      </c>
      <c r="M208" s="49" t="inlineStr">
        <is>
          <t>2024-10-14 a 2026-03-02</t>
        </is>
      </c>
      <c r="N208" s="49" t="inlineStr">
        <is>
          <t>{"feature_candidates": 83, "feature_mode": "all", "horizon": 3, "initial_train_size": 40, "lags": [1, 2, 3, 4, 5, 6], "model": "random_forest_classifier", "model_params": {"class_weight": "balanced_subsample", "max_depth": 3, "max_features": "sqrt", "min_samples_leaf": 5, "min_samples_split": 10, "n_estimators": 400, "random_seed": 42, "tuning_strategy": "baseline_fijo_sin_tuning_interno", "uses_scaling": false}, "rows_eval": 24, "rows_modeling": 64, "selected_feature_count_avg": 83.0, "target_build_metadata": {"class_to_id_3": {"baja": 0, "se_mantiene": 1, "sube": 2}, "class_to_id_5": {"baja_fuerte": 0, "baja_moderada": 1, "se_mantiene": 2, "sube_fuerte": 4, "sube_moderada": 3}, "delta_definition": "delta_objetivo_h = y_{t+h} - y_t", "horizonte": 3, "target_mode_clf": "bandas_5clases", "taxonomy_5_classes": {"baja_fuerte": "cambio &lt;= -3.0", "baja_moderada": "-3.0 &lt; cambio &lt;= -1.5", "se_mantiene": "-1.5 &lt; cambio &lt; 1.5", "sube_fuerte": "cambio &gt;= 3.0", "sube_moderada": "1.5 &lt;= cambio &lt; 3.0"}}, "target_mode_clf": "bandas_5clases", "task_type": "clasificacion"}</t>
        </is>
      </c>
      <c r="O208" s="51" t="n">
        <v>0.35</v>
      </c>
      <c r="P208" s="51" t="n">
        <v>0.25</v>
      </c>
      <c r="Q208" s="51" t="n">
        <v>0.25</v>
      </c>
      <c r="R208" s="51" t="n">
        <v>0.1</v>
      </c>
      <c r="S208" s="52" t="n">
        <v>0.3</v>
      </c>
      <c r="T208" s="53" t="n"/>
      <c r="U208" s="53" t="n"/>
      <c r="V208" s="53" t="n"/>
      <c r="W208" s="53" t="n"/>
      <c r="X208" s="54" t="n">
        <v>0.145</v>
      </c>
      <c r="Y208" s="53" t="n"/>
      <c r="Z208" s="53" t="n"/>
      <c r="AA208" s="55" t="n"/>
      <c r="AB208" s="55" t="n"/>
      <c r="AC208" s="49" t="inlineStr">
        <is>
          <t>corrido</t>
        </is>
      </c>
      <c r="AD208" s="49" t="inlineStr">
        <is>
          <t>RandomForestClassifier limpio con walk-forward temporal | hipotesis=rf_clf_mas_parsimonioso | sin tuning interno | class_weight nativo por fold</t>
        </is>
      </c>
      <c r="AE208" s="49" t="inlineStr">
        <is>
          <t>run_c1_random_forest_classifier.py</t>
        </is>
      </c>
      <c r="AF208" s="49" t="inlineStr">
        <is>
          <t>Scripts/Modeling/run_c1_random_forest_classifier.py</t>
        </is>
      </c>
      <c r="AG208" s="49" t="inlineStr">
        <is>
          <t>Experimentos/runs/C1_v2_clean_20260330_085846</t>
        </is>
      </c>
      <c r="AH208" s="49" t="inlineStr">
        <is>
          <t>Experimentos/runs/C1_v2_clean_20260330_085846/scripts/run_c1_random_forest_classifier.py</t>
        </is>
      </c>
      <c r="AI208" s="49" t="inlineStr">
        <is>
          <t>Experimentos/runs/C1_v2_clean_20260330_085846/parametros_run.json</t>
        </is>
      </c>
      <c r="AJ208" s="49" t="inlineStr">
        <is>
          <t>Experimentos/runs/C1_v2_clean_20260330_085846/metricas_horizonte.json</t>
        </is>
      </c>
      <c r="AK208" s="49" t="inlineStr">
        <is>
          <t>2026-03-30 08:58:46</t>
        </is>
      </c>
      <c r="AL208" s="49" t="inlineStr">
        <is>
          <t>clasificacion</t>
        </is>
      </c>
      <c r="AM208" s="49" t="n">
        <v>1</v>
      </c>
      <c r="AN208" s="49" t="n">
        <v>1</v>
      </c>
      <c r="AO208" s="49" t="n">
        <v>0.2</v>
      </c>
      <c r="AP208" s="49" t="n">
        <v>1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1</v>
      </c>
      <c r="AW208" s="49" t="n">
        <v>0.3333333333333333</v>
      </c>
      <c r="AX208" s="49" t="n">
        <v>1</v>
      </c>
      <c r="AY208" s="49" t="n">
        <v>0.145</v>
      </c>
    </row>
    <row r="209" ht="15" customHeight="1" s="27">
      <c r="A209" s="49" t="inlineStr">
        <is>
          <t>2026-03-30 08:58:46</t>
        </is>
      </c>
      <c r="B209" s="49" t="inlineStr">
        <is>
          <t>C1_v2_clean</t>
        </is>
      </c>
      <c r="C209" s="50" t="inlineStr">
        <is>
          <t>C1</t>
        </is>
      </c>
      <c r="D209" s="50" t="inlineStr">
        <is>
          <t>clasificacion_random_forest</t>
        </is>
      </c>
      <c r="E209" s="50" t="inlineStr">
        <is>
          <t>random_forest_classifier</t>
        </is>
      </c>
      <c r="F209" s="50" t="n">
        <v>4</v>
      </c>
      <c r="G209" s="49" t="inlineStr">
        <is>
          <t>bandas_5clases</t>
        </is>
      </c>
      <c r="H209" s="50" t="inlineStr">
        <is>
          <t>y_t + lags [1, 2, 3, 4, 5, 6]</t>
        </is>
      </c>
      <c r="I209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209" s="50" t="inlineStr">
        <is>
          <t>sin_escalar</t>
        </is>
      </c>
      <c r="K209" s="50" t="inlineStr">
        <is>
          <t>all</t>
        </is>
      </c>
      <c r="L209" s="50" t="inlineStr">
        <is>
          <t>walk-forward_expanding</t>
        </is>
      </c>
      <c r="M209" s="49" t="inlineStr">
        <is>
          <t>2024-10-14 a 2026-03-02</t>
        </is>
      </c>
      <c r="N209" s="49" t="inlineStr">
        <is>
          <t>{"feature_candidates": 83, "feature_mode": "all", "horizon": 4, "initial_train_size": 40, "lags": [1, 2, 3, 4, 5, 6], "model": "random_forest_classifier", "model_params": {"class_weight": "balanced_subsample", "max_depth": 3, "max_features": "sqrt", "min_samples_leaf": 5, "min_samples_split": 10, "n_estimators": 400, "random_seed": 42, "tuning_strategy": "baseline_fijo_sin_tuning_interno", "uses_scaling": false}, "rows_eval": 23, "rows_modeling": 63, "selected_feature_count_avg": 83.0, "target_build_metadata": {"class_to_id_3": {"baja": 0, "se_mantiene": 1, "sube": 2}, "class_to_id_5": {"baja_fuerte": 0, "baja_moderada": 1, "se_mantiene": 2, "sube_fuerte": 4, "sube_moderada": 3}, "delta_definition": "delta_objetivo_h = y_{t+h} - y_t", "horizonte": 4, "target_mode_clf": "bandas_5clases", "taxonomy_5_classes": {"baja_fuerte": "cambio &lt;= -3.0", "baja_moderada": "-3.0 &lt; cambio &lt;= -1.5", "se_mantiene": "-1.5 &lt; cambio &lt; 1.5", "sube_fuerte": "cambio &gt;= 3.0", "sube_moderada": "1.5 &lt;= cambio &lt; 3.0"}}, "target_mode_clf": "bandas_5clases", "task_type": "clasificacion"}</t>
        </is>
      </c>
      <c r="O209" s="51" t="n">
        <v>0.35</v>
      </c>
      <c r="P209" s="51" t="n">
        <v>0.25</v>
      </c>
      <c r="Q209" s="51" t="n">
        <v>0.25</v>
      </c>
      <c r="R209" s="51" t="n">
        <v>0.1</v>
      </c>
      <c r="S209" s="52" t="n">
        <v>0.15</v>
      </c>
      <c r="T209" s="53" t="n"/>
      <c r="U209" s="53" t="n"/>
      <c r="V209" s="53" t="n"/>
      <c r="W209" s="53" t="n"/>
      <c r="X209" s="54" t="n">
        <v>0.0725</v>
      </c>
      <c r="Y209" s="53" t="n"/>
      <c r="Z209" s="53" t="n"/>
      <c r="AA209" s="55" t="n"/>
      <c r="AB209" s="55" t="n"/>
      <c r="AC209" s="49" t="inlineStr">
        <is>
          <t>corrido</t>
        </is>
      </c>
      <c r="AD209" s="49" t="inlineStr">
        <is>
          <t>RandomForestClassifier limpio con walk-forward temporal | hipotesis=rf_clf_mas_parsimonioso | sin tuning interno | class_weight nativo por fold</t>
        </is>
      </c>
      <c r="AE209" s="49" t="inlineStr">
        <is>
          <t>run_c1_random_forest_classifier.py</t>
        </is>
      </c>
      <c r="AF209" s="49" t="inlineStr">
        <is>
          <t>Scripts/Modeling/run_c1_random_forest_classifier.py</t>
        </is>
      </c>
      <c r="AG209" s="49" t="inlineStr">
        <is>
          <t>Experimentos/runs/C1_v2_clean_20260330_085846</t>
        </is>
      </c>
      <c r="AH209" s="49" t="inlineStr">
        <is>
          <t>Experimentos/runs/C1_v2_clean_20260330_085846/scripts/run_c1_random_forest_classifier.py</t>
        </is>
      </c>
      <c r="AI209" s="49" t="inlineStr">
        <is>
          <t>Experimentos/runs/C1_v2_clean_20260330_085846/parametros_run.json</t>
        </is>
      </c>
      <c r="AJ209" s="49" t="inlineStr">
        <is>
          <t>Experimentos/runs/C1_v2_clean_20260330_085846/metricas_horizonte.json</t>
        </is>
      </c>
      <c r="AK209" s="49" t="inlineStr">
        <is>
          <t>2026-03-30 08:58:46</t>
        </is>
      </c>
      <c r="AL209" s="49" t="inlineStr">
        <is>
          <t>clasificacion</t>
        </is>
      </c>
      <c r="AM209" s="49" t="n">
        <v>1</v>
      </c>
      <c r="AN209" s="49" t="n">
        <v>1</v>
      </c>
      <c r="AO209" s="49" t="n">
        <v>0.2</v>
      </c>
      <c r="AP209" s="49" t="n">
        <v>1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1</v>
      </c>
      <c r="AW209" s="49" t="n">
        <v>0.3333333333333333</v>
      </c>
      <c r="AX209" s="49" t="n">
        <v>1</v>
      </c>
      <c r="AY209" s="49" t="n">
        <v>0.0725</v>
      </c>
    </row>
    <row r="210" ht="15" customHeight="1" s="27">
      <c r="A210" s="49" t="inlineStr">
        <is>
          <t>2026-03-30 08:58:54</t>
        </is>
      </c>
      <c r="B210" s="49" t="inlineStr">
        <is>
          <t>C1_v3_clean</t>
        </is>
      </c>
      <c r="C210" s="50" t="inlineStr">
        <is>
          <t>C1</t>
        </is>
      </c>
      <c r="D210" s="50" t="inlineStr">
        <is>
          <t>clasificacion_random_forest</t>
        </is>
      </c>
      <c r="E210" s="50" t="inlineStr">
        <is>
          <t>random_forest_classifier</t>
        </is>
      </c>
      <c r="F210" s="50" t="n">
        <v>1</v>
      </c>
      <c r="G210" s="49" t="inlineStr">
        <is>
          <t>bandas_5clases</t>
        </is>
      </c>
      <c r="H210" s="50" t="inlineStr">
        <is>
          <t>y_t + lags [1, 2, 3, 4, 5, 6]</t>
        </is>
      </c>
      <c r="I210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210" s="50" t="inlineStr">
        <is>
          <t>sin_escalar</t>
        </is>
      </c>
      <c r="K210" s="50" t="inlineStr">
        <is>
          <t>all</t>
        </is>
      </c>
      <c r="L210" s="50" t="inlineStr">
        <is>
          <t>walk-forward_expanding</t>
        </is>
      </c>
      <c r="M210" s="49" t="inlineStr">
        <is>
          <t>2024-10-14 a 2026-03-02</t>
        </is>
      </c>
      <c r="N210" s="49" t="inlineStr">
        <is>
          <t>{"feature_candidates": 83, "feature_mode": "all", "horizon": 1, "initial_train_size": 40, "lags": [1, 2, 3, 4, 5, 6], "model": "random_forest_classifier", "model_params": {"class_weight": "balanced_subsample", "max_depth": 6, "max_features": "sqrt", "min_samples_leaf": 3, "min_samples_split": 6, "n_estimators": 500, "random_seed": 42, "tuning_strategy": "baseline_fijo_sin_tuning_interno", "uses_scaling": false}, "rows_eval": 26, "rows_modeling": 66, "selected_feature_count_avg": 83.0, "target_build_metadata": {"class_to_id_3": {"baja": 0, "se_mantiene": 1, "sube": 2}, "class_to_id_5": {"baja_fuerte": 0, "baja_moderada": 1, "se_mantiene": 2, "sube_fuerte": 4, "sube_moderada": 3}, "delta_definition": "delta_objetivo_h = y_{t+h} - y_t", "horizonte": 1, "target_mode_clf": "bandas_5clases", "taxonomy_5_classes": {"baja_fuerte": "cambio &lt;= -3.0", "baja_moderada": "-3.0 &lt; cambio &lt;= -1.5", "se_mantiene": "-1.5 &lt; cambio &lt; 1.5", "sube_fuerte": "cambio &gt;= 3.0", "sube_moderada": "1.5 &lt;= cambio &lt; 3.0"}}, "target_mode_clf": "bandas_5clases", "task_type": "clasificacion"}</t>
        </is>
      </c>
      <c r="O210" s="51" t="n">
        <v>0.35</v>
      </c>
      <c r="P210" s="51" t="n">
        <v>0.25</v>
      </c>
      <c r="Q210" s="51" t="n">
        <v>0.25</v>
      </c>
      <c r="R210" s="51" t="n">
        <v>0.1</v>
      </c>
      <c r="S210" s="52" t="n">
        <v>0.3</v>
      </c>
      <c r="T210" s="53" t="n"/>
      <c r="U210" s="53" t="n"/>
      <c r="V210" s="53" t="n"/>
      <c r="W210" s="53" t="n"/>
      <c r="X210" s="54" t="n">
        <v>0.145</v>
      </c>
      <c r="Y210" s="53" t="n"/>
      <c r="Z210" s="53" t="n"/>
      <c r="AA210" s="55" t="n"/>
      <c r="AB210" s="55" t="n"/>
      <c r="AC210" s="49" t="inlineStr">
        <is>
          <t>corrido</t>
        </is>
      </c>
      <c r="AD210" s="49" t="inlineStr">
        <is>
          <t>RandomForestClassifier limpio con walk-forward temporal | hipotesis=rf_clf_mas_flexible_controlado | sin tuning interno | class_weight nativo por fold</t>
        </is>
      </c>
      <c r="AE210" s="49" t="inlineStr">
        <is>
          <t>run_c1_random_forest_classifier.py</t>
        </is>
      </c>
      <c r="AF210" s="49" t="inlineStr">
        <is>
          <t>Scripts/Modeling/run_c1_random_forest_classifier.py</t>
        </is>
      </c>
      <c r="AG210" s="49" t="inlineStr">
        <is>
          <t>Experimentos/runs/C1_v3_clean_20260330_085854</t>
        </is>
      </c>
      <c r="AH210" s="49" t="inlineStr">
        <is>
          <t>Experimentos/runs/C1_v3_clean_20260330_085854/scripts/run_c1_random_forest_classifier.py</t>
        </is>
      </c>
      <c r="AI210" s="49" t="inlineStr">
        <is>
          <t>Experimentos/runs/C1_v3_clean_20260330_085854/parametros_run.json</t>
        </is>
      </c>
      <c r="AJ210" s="49" t="inlineStr">
        <is>
          <t>Experimentos/runs/C1_v3_clean_20260330_085854/metricas_horizonte.json</t>
        </is>
      </c>
      <c r="AK210" s="49" t="inlineStr">
        <is>
          <t>2026-03-30 08:58:54</t>
        </is>
      </c>
      <c r="AL210" s="49" t="inlineStr">
        <is>
          <t>clasificacion</t>
        </is>
      </c>
      <c r="AM210" s="49" t="n">
        <v>1</v>
      </c>
      <c r="AN210" s="49" t="n">
        <v>1</v>
      </c>
      <c r="AO210" s="49" t="n">
        <v>0.2</v>
      </c>
      <c r="AP210" s="49" t="n">
        <v>1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1</v>
      </c>
      <c r="AW210" s="49" t="n">
        <v>0.3333333333333333</v>
      </c>
      <c r="AX210" s="49" t="n">
        <v>1</v>
      </c>
      <c r="AY210" s="49" t="n">
        <v>0.145</v>
      </c>
    </row>
    <row r="211" ht="15" customHeight="1" s="27">
      <c r="A211" s="49" t="inlineStr">
        <is>
          <t>2026-03-30 08:58:54</t>
        </is>
      </c>
      <c r="B211" s="49" t="inlineStr">
        <is>
          <t>C1_v3_clean</t>
        </is>
      </c>
      <c r="C211" s="50" t="inlineStr">
        <is>
          <t>C1</t>
        </is>
      </c>
      <c r="D211" s="50" t="inlineStr">
        <is>
          <t>clasificacion_random_forest</t>
        </is>
      </c>
      <c r="E211" s="50" t="inlineStr">
        <is>
          <t>random_forest_classifier</t>
        </is>
      </c>
      <c r="F211" s="50" t="n">
        <v>2</v>
      </c>
      <c r="G211" s="49" t="inlineStr">
        <is>
          <t>bandas_5clases</t>
        </is>
      </c>
      <c r="H211" s="50" t="inlineStr">
        <is>
          <t>y_t + lags [1, 2, 3, 4, 5, 6]</t>
        </is>
      </c>
      <c r="I211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211" s="50" t="inlineStr">
        <is>
          <t>sin_escalar</t>
        </is>
      </c>
      <c r="K211" s="50" t="inlineStr">
        <is>
          <t>all</t>
        </is>
      </c>
      <c r="L211" s="50" t="inlineStr">
        <is>
          <t>walk-forward_expanding</t>
        </is>
      </c>
      <c r="M211" s="49" t="inlineStr">
        <is>
          <t>2024-10-14 a 2026-03-02</t>
        </is>
      </c>
      <c r="N211" s="49" t="inlineStr">
        <is>
          <t>{"feature_candidates": 83, "feature_mode": "all", "horizon": 2, "initial_train_size": 40, "lags": [1, 2, 3, 4, 5, 6], "model": "random_forest_classifier", "model_params": {"class_weight": "balanced_subsample", "max_depth": 6, "max_features": "sqrt", "min_samples_leaf": 3, "min_samples_split": 6, "n_estimators": 500, "random_seed": 42, "tuning_strategy": "baseline_fijo_sin_tuning_interno", "uses_scaling": false}, "rows_eval": 25, "rows_modeling": 65, "selected_feature_count_avg": 83.0, "target_build_metadata": {"class_to_id_3": {"baja": 0, "se_mantiene": 1, "sube": 2}, "class_to_id_5": {"baja_fuerte": 0, "baja_moderada": 1, "se_mantiene": 2, "sube_fuerte": 4, "sube_moderada": 3}, "delta_definition": "delta_objetivo_h = y_{t+h} - y_t", "horizonte": 2, "target_mode_clf": "bandas_5clases", "taxonomy_5_classes": {"baja_fuerte": "cambio &lt;= -3.0", "baja_moderada": "-3.0 &lt; cambio &lt;= -1.5", "se_mantiene": "-1.5 &lt; cambio &lt; 1.5", "sube_fuerte": "cambio &gt;= 3.0", "sube_moderada": "1.5 &lt;= cambio &lt; 3.0"}}, "target_mode_clf": "bandas_5clases", "task_type": "clasificacion"}</t>
        </is>
      </c>
      <c r="O211" s="51" t="n">
        <v>0.35</v>
      </c>
      <c r="P211" s="51" t="n">
        <v>0.25</v>
      </c>
      <c r="Q211" s="51" t="n">
        <v>0.25</v>
      </c>
      <c r="R211" s="51" t="n">
        <v>0.1</v>
      </c>
      <c r="S211" s="52" t="n">
        <v>0.25</v>
      </c>
      <c r="T211" s="53" t="n"/>
      <c r="U211" s="53" t="n"/>
      <c r="V211" s="53" t="n"/>
      <c r="W211" s="53" t="n"/>
      <c r="X211" s="54" t="n">
        <v>0.1208333333333333</v>
      </c>
      <c r="Y211" s="53" t="n"/>
      <c r="Z211" s="53" t="n"/>
      <c r="AA211" s="55" t="n"/>
      <c r="AB211" s="55" t="n"/>
      <c r="AC211" s="49" t="inlineStr">
        <is>
          <t>corrido</t>
        </is>
      </c>
      <c r="AD211" s="49" t="inlineStr">
        <is>
          <t>RandomForestClassifier limpio con walk-forward temporal | hipotesis=rf_clf_mas_flexible_controlado | sin tuning interno | class_weight nativo por fold</t>
        </is>
      </c>
      <c r="AE211" s="49" t="inlineStr">
        <is>
          <t>run_c1_random_forest_classifier.py</t>
        </is>
      </c>
      <c r="AF211" s="49" t="inlineStr">
        <is>
          <t>Scripts/Modeling/run_c1_random_forest_classifier.py</t>
        </is>
      </c>
      <c r="AG211" s="49" t="inlineStr">
        <is>
          <t>Experimentos/runs/C1_v3_clean_20260330_085854</t>
        </is>
      </c>
      <c r="AH211" s="49" t="inlineStr">
        <is>
          <t>Experimentos/runs/C1_v3_clean_20260330_085854/scripts/run_c1_random_forest_classifier.py</t>
        </is>
      </c>
      <c r="AI211" s="49" t="inlineStr">
        <is>
          <t>Experimentos/runs/C1_v3_clean_20260330_085854/parametros_run.json</t>
        </is>
      </c>
      <c r="AJ211" s="49" t="inlineStr">
        <is>
          <t>Experimentos/runs/C1_v3_clean_20260330_085854/metricas_horizonte.json</t>
        </is>
      </c>
      <c r="AK211" s="49" t="inlineStr">
        <is>
          <t>2026-03-30 08:58:54</t>
        </is>
      </c>
      <c r="AL211" s="49" t="inlineStr">
        <is>
          <t>clasificacion</t>
        </is>
      </c>
      <c r="AM211" s="49" t="n">
        <v>1</v>
      </c>
      <c r="AN211" s="49" t="n">
        <v>1</v>
      </c>
      <c r="AO211" s="49" t="n">
        <v>0.2</v>
      </c>
      <c r="AP211" s="49" t="n">
        <v>1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1</v>
      </c>
      <c r="AW211" s="49" t="n">
        <v>0.3333333333333333</v>
      </c>
      <c r="AX211" s="49" t="n">
        <v>1</v>
      </c>
      <c r="AY211" s="49" t="n">
        <v>0.1208333333333333</v>
      </c>
    </row>
    <row r="212" ht="15" customHeight="1" s="27">
      <c r="A212" s="49" t="inlineStr">
        <is>
          <t>2026-03-30 08:58:54</t>
        </is>
      </c>
      <c r="B212" s="49" t="inlineStr">
        <is>
          <t>C1_v3_clean</t>
        </is>
      </c>
      <c r="C212" s="50" t="inlineStr">
        <is>
          <t>C1</t>
        </is>
      </c>
      <c r="D212" s="50" t="inlineStr">
        <is>
          <t>clasificacion_random_forest</t>
        </is>
      </c>
      <c r="E212" s="50" t="inlineStr">
        <is>
          <t>random_forest_classifier</t>
        </is>
      </c>
      <c r="F212" s="50" t="n">
        <v>3</v>
      </c>
      <c r="G212" s="49" t="inlineStr">
        <is>
          <t>bandas_5clases</t>
        </is>
      </c>
      <c r="H212" s="50" t="inlineStr">
        <is>
          <t>y_t + lags [1, 2, 3, 4, 5, 6]</t>
        </is>
      </c>
      <c r="I212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212" s="50" t="inlineStr">
        <is>
          <t>sin_escalar</t>
        </is>
      </c>
      <c r="K212" s="50" t="inlineStr">
        <is>
          <t>all</t>
        </is>
      </c>
      <c r="L212" s="50" t="inlineStr">
        <is>
          <t>walk-forward_expanding</t>
        </is>
      </c>
      <c r="M212" s="49" t="inlineStr">
        <is>
          <t>2024-10-14 a 2026-03-02</t>
        </is>
      </c>
      <c r="N212" s="49" t="inlineStr">
        <is>
          <t>{"feature_candidates": 83, "feature_mode": "all", "horizon": 3, "initial_train_size": 40, "lags": [1, 2, 3, 4, 5, 6], "model": "random_forest_classifier", "model_params": {"class_weight": "balanced_subsample", "max_depth": 6, "max_features": "sqrt", "min_samples_leaf": 3, "min_samples_split": 6, "n_estimators": 500, "random_seed": 42, "tuning_strategy": "baseline_fijo_sin_tuning_interno", "uses_scaling": false}, "rows_eval": 24, "rows_modeling": 64, "selected_feature_count_avg": 83.0, "target_build_metadata": {"class_to_id_3": {"baja": 0, "se_mantiene": 1, "sube": 2}, "class_to_id_5": {"baja_fuerte": 0, "baja_moderada": 1, "se_mantiene": 2, "sube_fuerte": 4, "sube_moderada": 3}, "delta_definition": "delta_objetivo_h = y_{t+h} - y_t", "horizonte": 3, "target_mode_clf": "bandas_5clases", "taxonomy_5_classes": {"baja_fuerte": "cambio &lt;= -3.0", "baja_moderada": "-3.0 &lt; cambio &lt;= -1.5", "se_mantiene": "-1.5 &lt; cambio &lt; 1.5", "sube_fuerte": "cambio &gt;= 3.0", "sube_moderada": "1.5 &lt;= cambio &lt; 3.0"}}, "target_mode_clf": "bandas_5clases", "task_type": "clasificacion"}</t>
        </is>
      </c>
      <c r="O212" s="51" t="n">
        <v>0.35</v>
      </c>
      <c r="P212" s="51" t="n">
        <v>0.25</v>
      </c>
      <c r="Q212" s="51" t="n">
        <v>0.25</v>
      </c>
      <c r="R212" s="51" t="n">
        <v>0.1</v>
      </c>
      <c r="S212" s="52" t="n">
        <v>0.3</v>
      </c>
      <c r="T212" s="53" t="n"/>
      <c r="U212" s="53" t="n"/>
      <c r="V212" s="53" t="n"/>
      <c r="W212" s="53" t="n"/>
      <c r="X212" s="54" t="n">
        <v>0.145</v>
      </c>
      <c r="Y212" s="53" t="n"/>
      <c r="Z212" s="53" t="n"/>
      <c r="AA212" s="55" t="n"/>
      <c r="AB212" s="55" t="n"/>
      <c r="AC212" s="49" t="inlineStr">
        <is>
          <t>corrido</t>
        </is>
      </c>
      <c r="AD212" s="49" t="inlineStr">
        <is>
          <t>RandomForestClassifier limpio con walk-forward temporal | hipotesis=rf_clf_mas_flexible_controlado | sin tuning interno | class_weight nativo por fold</t>
        </is>
      </c>
      <c r="AE212" s="49" t="inlineStr">
        <is>
          <t>run_c1_random_forest_classifier.py</t>
        </is>
      </c>
      <c r="AF212" s="49" t="inlineStr">
        <is>
          <t>Scripts/Modeling/run_c1_random_forest_classifier.py</t>
        </is>
      </c>
      <c r="AG212" s="49" t="inlineStr">
        <is>
          <t>Experimentos/runs/C1_v3_clean_20260330_085854</t>
        </is>
      </c>
      <c r="AH212" s="49" t="inlineStr">
        <is>
          <t>Experimentos/runs/C1_v3_clean_20260330_085854/scripts/run_c1_random_forest_classifier.py</t>
        </is>
      </c>
      <c r="AI212" s="49" t="inlineStr">
        <is>
          <t>Experimentos/runs/C1_v3_clean_20260330_085854/parametros_run.json</t>
        </is>
      </c>
      <c r="AJ212" s="49" t="inlineStr">
        <is>
          <t>Experimentos/runs/C1_v3_clean_20260330_085854/metricas_horizonte.json</t>
        </is>
      </c>
      <c r="AK212" s="49" t="inlineStr">
        <is>
          <t>2026-03-30 08:58:54</t>
        </is>
      </c>
      <c r="AL212" s="49" t="inlineStr">
        <is>
          <t>clasificacion</t>
        </is>
      </c>
      <c r="AM212" s="49" t="n">
        <v>1</v>
      </c>
      <c r="AN212" s="49" t="n">
        <v>1</v>
      </c>
      <c r="AO212" s="49" t="n">
        <v>0.2</v>
      </c>
      <c r="AP212" s="49" t="n">
        <v>1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1</v>
      </c>
      <c r="AW212" s="49" t="n">
        <v>0.3333333333333333</v>
      </c>
      <c r="AX212" s="49" t="n">
        <v>1</v>
      </c>
      <c r="AY212" s="49" t="n">
        <v>0.145</v>
      </c>
    </row>
    <row r="213" ht="15" customHeight="1" s="27">
      <c r="A213" s="49" t="inlineStr">
        <is>
          <t>2026-03-30 08:58:54</t>
        </is>
      </c>
      <c r="B213" s="49" t="inlineStr">
        <is>
          <t>C1_v3_clean</t>
        </is>
      </c>
      <c r="C213" s="50" t="inlineStr">
        <is>
          <t>C1</t>
        </is>
      </c>
      <c r="D213" s="50" t="inlineStr">
        <is>
          <t>clasificacion_random_forest</t>
        </is>
      </c>
      <c r="E213" s="50" t="inlineStr">
        <is>
          <t>random_forest_classifier</t>
        </is>
      </c>
      <c r="F213" s="50" t="n">
        <v>4</v>
      </c>
      <c r="G213" s="49" t="inlineStr">
        <is>
          <t>bandas_5clases</t>
        </is>
      </c>
      <c r="H213" s="50" t="inlineStr">
        <is>
          <t>y_t + lags [1, 2, 3, 4, 5, 6]</t>
        </is>
      </c>
      <c r="I213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213" s="50" t="inlineStr">
        <is>
          <t>sin_escalar</t>
        </is>
      </c>
      <c r="K213" s="50" t="inlineStr">
        <is>
          <t>all</t>
        </is>
      </c>
      <c r="L213" s="50" t="inlineStr">
        <is>
          <t>walk-forward_expanding</t>
        </is>
      </c>
      <c r="M213" s="49" t="inlineStr">
        <is>
          <t>2024-10-14 a 2026-03-02</t>
        </is>
      </c>
      <c r="N213" s="49" t="inlineStr">
        <is>
          <t>{"feature_candidates": 83, "feature_mode": "all", "horizon": 4, "initial_train_size": 40, "lags": [1, 2, 3, 4, 5, 6], "model": "random_forest_classifier", "model_params": {"class_weight": "balanced_subsample", "max_depth": 6, "max_features": "sqrt", "min_samples_leaf": 3, "min_samples_split": 6, "n_estimators": 500, "random_seed": 42, "tuning_strategy": "baseline_fijo_sin_tuning_interno", "uses_scaling": false}, "rows_eval": 23, "rows_modeling": 63, "selected_feature_count_avg": 83.0, "target_build_metadata": {"class_to_id_3": {"baja": 0, "se_mantiene": 1, "sube": 2}, "class_to_id_5": {"baja_fuerte": 0, "baja_moderada": 1, "se_mantiene": 2, "sube_fuerte": 4, "sube_moderada": 3}, "delta_definition": "delta_objetivo_h = y_{t+h} - y_t", "horizonte": 4, "target_mode_clf": "bandas_5clases", "taxonomy_5_classes": {"baja_fuerte": "cambio &lt;= -3.0", "baja_moderada": "-3.0 &lt; cambio &lt;= -1.5", "se_mantiene": "-1.5 &lt; cambio &lt; 1.5", "sube_fuerte": "cambio &gt;= 3.0", "sube_moderada": "1.5 &lt;= cambio &lt; 3.0"}}, "target_mode_clf": "bandas_5clases", "task_type": "clasificacion"}</t>
        </is>
      </c>
      <c r="O213" s="51" t="n">
        <v>0.35</v>
      </c>
      <c r="P213" s="51" t="n">
        <v>0.25</v>
      </c>
      <c r="Q213" s="51" t="n">
        <v>0.25</v>
      </c>
      <c r="R213" s="51" t="n">
        <v>0.1</v>
      </c>
      <c r="S213" s="52" t="n">
        <v>0.15</v>
      </c>
      <c r="T213" s="53" t="n"/>
      <c r="U213" s="53" t="n"/>
      <c r="V213" s="53" t="n"/>
      <c r="W213" s="53" t="n"/>
      <c r="X213" s="54" t="n">
        <v>0.0725</v>
      </c>
      <c r="Y213" s="53" t="n"/>
      <c r="Z213" s="53" t="n"/>
      <c r="AA213" s="55" t="n"/>
      <c r="AB213" s="55" t="n"/>
      <c r="AC213" s="49" t="inlineStr">
        <is>
          <t>corrido</t>
        </is>
      </c>
      <c r="AD213" s="49" t="inlineStr">
        <is>
          <t>RandomForestClassifier limpio con walk-forward temporal | hipotesis=rf_clf_mas_flexible_controlado | sin tuning interno | class_weight nativo por fold</t>
        </is>
      </c>
      <c r="AE213" s="49" t="inlineStr">
        <is>
          <t>run_c1_random_forest_classifier.py</t>
        </is>
      </c>
      <c r="AF213" s="49" t="inlineStr">
        <is>
          <t>Scripts/Modeling/run_c1_random_forest_classifier.py</t>
        </is>
      </c>
      <c r="AG213" s="49" t="inlineStr">
        <is>
          <t>Experimentos/runs/C1_v3_clean_20260330_085854</t>
        </is>
      </c>
      <c r="AH213" s="49" t="inlineStr">
        <is>
          <t>Experimentos/runs/C1_v3_clean_20260330_085854/scripts/run_c1_random_forest_classifier.py</t>
        </is>
      </c>
      <c r="AI213" s="49" t="inlineStr">
        <is>
          <t>Experimentos/runs/C1_v3_clean_20260330_085854/parametros_run.json</t>
        </is>
      </c>
      <c r="AJ213" s="49" t="inlineStr">
        <is>
          <t>Experimentos/runs/C1_v3_clean_20260330_085854/metricas_horizonte.json</t>
        </is>
      </c>
      <c r="AK213" s="49" t="inlineStr">
        <is>
          <t>2026-03-30 08:58:54</t>
        </is>
      </c>
      <c r="AL213" s="49" t="inlineStr">
        <is>
          <t>clasificacion</t>
        </is>
      </c>
      <c r="AM213" s="49" t="n">
        <v>1</v>
      </c>
      <c r="AN213" s="49" t="n">
        <v>1</v>
      </c>
      <c r="AO213" s="49" t="n">
        <v>0.2</v>
      </c>
      <c r="AP213" s="49" t="n">
        <v>1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1</v>
      </c>
      <c r="AW213" s="49" t="n">
        <v>0.3333333333333333</v>
      </c>
      <c r="AX213" s="49" t="n">
        <v>1</v>
      </c>
      <c r="AY213" s="49" t="n">
        <v>0.0725</v>
      </c>
    </row>
    <row r="214" ht="15" customHeight="1" s="27">
      <c r="A214" s="49" t="inlineStr">
        <is>
          <t>2026-03-30 09:04:43</t>
        </is>
      </c>
      <c r="B214" s="49" t="inlineStr">
        <is>
          <t>E5_v2_clean</t>
        </is>
      </c>
      <c r="C214" s="50" t="inlineStr">
        <is>
          <t>E5</t>
        </is>
      </c>
      <c r="D214" s="50" t="inlineStr">
        <is>
          <t>arboles_boosting</t>
        </is>
      </c>
      <c r="E214" s="50" t="inlineStr">
        <is>
          <t>catboost_regressor</t>
        </is>
      </c>
      <c r="F214" s="50" t="n">
        <v>1</v>
      </c>
      <c r="G214" s="49" t="inlineStr">
        <is>
          <t>nivel</t>
        </is>
      </c>
      <c r="H214" s="50" t="inlineStr">
        <is>
          <t>y_t + lags [1, 2, 3, 4, 5, 6]</t>
        </is>
      </c>
      <c r="I214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214" s="50" t="inlineStr">
        <is>
          <t>sin_escalar</t>
        </is>
      </c>
      <c r="K214" s="50" t="inlineStr">
        <is>
          <t>corr</t>
        </is>
      </c>
      <c r="L214" s="50" t="inlineStr">
        <is>
          <t>walk-forward_expanding</t>
        </is>
      </c>
      <c r="M214" s="49" t="inlineStr">
        <is>
          <t>2024-10-14 a 2026-03-02</t>
        </is>
      </c>
      <c r="N214" s="49" t="inlineStr">
        <is>
          <t>{"feature_candidates": 83, "feature_mode": "corr", "horizon": 1, "initial_train_size": 40, "lags": [1, 2, 3, 4, 5, 6], "model": "catboost_regressor", "model_params": {"depth": 5, "iterations": 300, "l2_leaf_reg": 3.0, "learning_rate": 0.05, "loss_function": "RMSE", "random_seed": 42, "subsample": 0.8, "tuning_strategy": "baseline_fijo_sin_tuning_interno", "uses_categorical_features": false, "uses_scaling": false}, "rows_eval": 26, "rows_modeling": 66, "selected_feature_count_avg": 30.0, "target_mode": "nivel", "transform_mode": ""}</t>
        </is>
      </c>
      <c r="O214" s="51" t="n">
        <v>0.35</v>
      </c>
      <c r="P214" s="51" t="n">
        <v>0.25</v>
      </c>
      <c r="Q214" s="51" t="n">
        <v>0.25</v>
      </c>
      <c r="R214" s="51" t="n">
        <v>0.1</v>
      </c>
      <c r="S214" s="52" t="n">
        <v>0.3</v>
      </c>
      <c r="T214" s="53" t="n">
        <v>0.1722951505056936</v>
      </c>
      <c r="U214" s="53" t="n">
        <v>0.1923076923076923</v>
      </c>
      <c r="V214" s="53" t="n">
        <v>0.1666666666666666</v>
      </c>
      <c r="W214" s="53" t="n">
        <v>0.6538461538461539</v>
      </c>
      <c r="X214" s="54" t="n">
        <v>0.06462945234155935</v>
      </c>
      <c r="Y214" s="53" t="n">
        <v>0.1060104610198714</v>
      </c>
      <c r="Z214" s="53" t="n">
        <v>0.1305495797616283</v>
      </c>
      <c r="AA214" s="55" t="n">
        <v>0.8076923076923077</v>
      </c>
      <c r="AB214" s="55" t="n">
        <v>0.8333333333333334</v>
      </c>
      <c r="AC214" s="49" t="inlineStr">
        <is>
          <t>corrido</t>
        </is>
      </c>
      <c r="AD214" s="49" t="inlineStr">
        <is>
          <t>CatBoost limpio con walk-forward temporal | hipotesis=catboost_corr_vs_all | baseline fijo sin tuning interno | sin escalado por naturaleza basada en arboles | sin variables categoricas explicitas, operando sobre features numericas</t>
        </is>
      </c>
      <c r="AE214" s="49" t="inlineStr">
        <is>
          <t>run_e5_catboost.py</t>
        </is>
      </c>
      <c r="AF214" s="49" t="inlineStr">
        <is>
          <t>Scripts/Modeling/run_e5_catboost.py</t>
        </is>
      </c>
      <c r="AG214" s="49" t="inlineStr">
        <is>
          <t>Experimentos/runs/E5_v2_clean_20260330_090443</t>
        </is>
      </c>
      <c r="AH214" s="49" t="inlineStr">
        <is>
          <t>Experimentos/runs/E5_v2_clean_20260330_090443/scripts/run_e5_catboost.py</t>
        </is>
      </c>
      <c r="AI214" s="49" t="inlineStr">
        <is>
          <t>Experimentos/runs/E5_v2_clean_20260330_090443/parametros_run.json</t>
        </is>
      </c>
      <c r="AJ214" s="49" t="inlineStr">
        <is>
          <t>Experimentos/runs/E5_v2_clean_20260330_090443/metricas_horizonte.json</t>
        </is>
      </c>
      <c r="AK214" s="49" t="inlineStr">
        <is>
          <t>2026-03-30 09:04:43</t>
        </is>
      </c>
      <c r="AL214" s="49" t="inlineStr">
        <is>
          <t>regresion</t>
        </is>
      </c>
      <c r="AM214" s="49" t="n"/>
      <c r="AN214" s="49" t="n"/>
      <c r="AO214" s="49" t="n"/>
      <c r="AP214" s="49" t="n"/>
      <c r="AQ214" s="49" t="n"/>
      <c r="AR214" s="49" t="n"/>
      <c r="AS214" s="49" t="n"/>
      <c r="AT214" s="49" t="n"/>
      <c r="AU214" s="49" t="n"/>
      <c r="AV214" s="49" t="n"/>
      <c r="AW214" s="49" t="n"/>
      <c r="AX214" s="49" t="n"/>
      <c r="AY214" s="49" t="n">
        <v>0.06462945234155935</v>
      </c>
    </row>
    <row r="215" ht="15" customHeight="1" s="27">
      <c r="A215" s="49" t="inlineStr">
        <is>
          <t>2026-03-30 09:04:43</t>
        </is>
      </c>
      <c r="B215" s="49" t="inlineStr">
        <is>
          <t>E5_v2_clean</t>
        </is>
      </c>
      <c r="C215" s="50" t="inlineStr">
        <is>
          <t>E5</t>
        </is>
      </c>
      <c r="D215" s="50" t="inlineStr">
        <is>
          <t>arboles_boosting</t>
        </is>
      </c>
      <c r="E215" s="50" t="inlineStr">
        <is>
          <t>catboost_regressor</t>
        </is>
      </c>
      <c r="F215" s="50" t="n">
        <v>2</v>
      </c>
      <c r="G215" s="49" t="inlineStr">
        <is>
          <t>nivel</t>
        </is>
      </c>
      <c r="H215" s="50" t="inlineStr">
        <is>
          <t>y_t + lags [1, 2, 3, 4, 5, 6]</t>
        </is>
      </c>
      <c r="I215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215" s="50" t="inlineStr">
        <is>
          <t>sin_escalar</t>
        </is>
      </c>
      <c r="K215" s="50" t="inlineStr">
        <is>
          <t>corr</t>
        </is>
      </c>
      <c r="L215" s="50" t="inlineStr">
        <is>
          <t>walk-forward_expanding</t>
        </is>
      </c>
      <c r="M215" s="49" t="inlineStr">
        <is>
          <t>2024-10-14 a 2026-03-02</t>
        </is>
      </c>
      <c r="N215" s="49" t="inlineStr">
        <is>
          <t>{"feature_candidates": 83, "feature_mode": "corr", "horizon": 2, "initial_train_size": 40, "lags": [1, 2, 3, 4, 5, 6], "model": "catboost_regressor", "model_params": {"depth": 5, "iterations": 300, "l2_leaf_reg": 3.0, "learning_rate": 0.05, "loss_function": "RMSE", "random_seed": 42, "subsample": 0.8, "tuning_strategy": "baseline_fijo_sin_tuning_interno", "uses_categorical_features": false, "uses_scaling": false}, "rows_eval": 25, "rows_modeling": 65, "selected_feature_count_avg": 30.0, "target_mode": "nivel", "transform_mode": ""}</t>
        </is>
      </c>
      <c r="O215" s="51" t="n">
        <v>0.35</v>
      </c>
      <c r="P215" s="51" t="n">
        <v>0.25</v>
      </c>
      <c r="Q215" s="51" t="n">
        <v>0.25</v>
      </c>
      <c r="R215" s="51" t="n">
        <v>0.1</v>
      </c>
      <c r="S215" s="52" t="n">
        <v>0.25</v>
      </c>
      <c r="T215" s="53" t="n">
        <v>0.172056790980206</v>
      </c>
      <c r="U215" s="53" t="n">
        <v>0.4</v>
      </c>
      <c r="V215" s="53" t="n">
        <v>0.4</v>
      </c>
      <c r="W215" s="53" t="n">
        <v>0.68</v>
      </c>
      <c r="X215" s="54" t="n">
        <v>0.08205496921076803</v>
      </c>
      <c r="Y215" s="53" t="n">
        <v>0.1058638022014934</v>
      </c>
      <c r="Z215" s="53" t="n">
        <v>0.1348630281239572</v>
      </c>
      <c r="AA215" s="55" t="n">
        <v>0.6</v>
      </c>
      <c r="AB215" s="55" t="n">
        <v>0.6</v>
      </c>
      <c r="AC215" s="49" t="inlineStr">
        <is>
          <t>corrido</t>
        </is>
      </c>
      <c r="AD215" s="49" t="inlineStr">
        <is>
          <t>CatBoost limpio con walk-forward temporal | hipotesis=catboost_corr_vs_all | baseline fijo sin tuning interno | sin escalado por naturaleza basada en arboles | sin variables categoricas explicitas, operando sobre features numericas</t>
        </is>
      </c>
      <c r="AE215" s="49" t="inlineStr">
        <is>
          <t>run_e5_catboost.py</t>
        </is>
      </c>
      <c r="AF215" s="49" t="inlineStr">
        <is>
          <t>Scripts/Modeling/run_e5_catboost.py</t>
        </is>
      </c>
      <c r="AG215" s="49" t="inlineStr">
        <is>
          <t>Experimentos/runs/E5_v2_clean_20260330_090443</t>
        </is>
      </c>
      <c r="AH215" s="49" t="inlineStr">
        <is>
          <t>Experimentos/runs/E5_v2_clean_20260330_090443/scripts/run_e5_catboost.py</t>
        </is>
      </c>
      <c r="AI215" s="49" t="inlineStr">
        <is>
          <t>Experimentos/runs/E5_v2_clean_20260330_090443/parametros_run.json</t>
        </is>
      </c>
      <c r="AJ215" s="49" t="inlineStr">
        <is>
          <t>Experimentos/runs/E5_v2_clean_20260330_090443/metricas_horizonte.json</t>
        </is>
      </c>
      <c r="AK215" s="49" t="inlineStr">
        <is>
          <t>2026-03-30 09:04:43</t>
        </is>
      </c>
      <c r="AL215" s="49" t="inlineStr">
        <is>
          <t>regresion</t>
        </is>
      </c>
      <c r="AM215" s="49" t="n"/>
      <c r="AN215" s="49" t="n"/>
      <c r="AO215" s="49" t="n"/>
      <c r="AP215" s="49" t="n"/>
      <c r="AQ215" s="49" t="n"/>
      <c r="AR215" s="49" t="n"/>
      <c r="AS215" s="49" t="n"/>
      <c r="AT215" s="49" t="n"/>
      <c r="AU215" s="49" t="n"/>
      <c r="AV215" s="49" t="n"/>
      <c r="AW215" s="49" t="n"/>
      <c r="AX215" s="49" t="n"/>
      <c r="AY215" s="49" t="n">
        <v>0.08205496921076803</v>
      </c>
    </row>
    <row r="216" ht="15" customHeight="1" s="27">
      <c r="A216" s="49" t="inlineStr">
        <is>
          <t>2026-03-30 09:04:43</t>
        </is>
      </c>
      <c r="B216" s="49" t="inlineStr">
        <is>
          <t>E5_v2_clean</t>
        </is>
      </c>
      <c r="C216" s="50" t="inlineStr">
        <is>
          <t>E5</t>
        </is>
      </c>
      <c r="D216" s="50" t="inlineStr">
        <is>
          <t>arboles_boosting</t>
        </is>
      </c>
      <c r="E216" s="50" t="inlineStr">
        <is>
          <t>catboost_regressor</t>
        </is>
      </c>
      <c r="F216" s="50" t="n">
        <v>3</v>
      </c>
      <c r="G216" s="49" t="inlineStr">
        <is>
          <t>nivel</t>
        </is>
      </c>
      <c r="H216" s="50" t="inlineStr">
        <is>
          <t>y_t + lags [1, 2, 3, 4, 5, 6]</t>
        </is>
      </c>
      <c r="I216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216" s="50" t="inlineStr">
        <is>
          <t>sin_escalar</t>
        </is>
      </c>
      <c r="K216" s="50" t="inlineStr">
        <is>
          <t>corr</t>
        </is>
      </c>
      <c r="L216" s="50" t="inlineStr">
        <is>
          <t>walk-forward_expanding</t>
        </is>
      </c>
      <c r="M216" s="49" t="inlineStr">
        <is>
          <t>2024-10-14 a 2026-03-02</t>
        </is>
      </c>
      <c r="N216" s="49" t="inlineStr">
        <is>
          <t>{"feature_candidates": 83, "feature_mode": "corr", "horizon": 3, "initial_train_size": 40, "lags": [1, 2, 3, 4, 5, 6], "model": "catboost_regressor", "model_params": {"depth": 5, "iterations": 300, "l2_leaf_reg": 3.0, "learning_rate": 0.05, "loss_function": "RMSE", "random_seed": 42, "subsample": 0.8, "tuning_strategy": "baseline_fijo_sin_tuning_interno", "uses_categorical_features": false, "uses_scaling": false}, "rows_eval": 24, "rows_modeling": 64, "selected_feature_count_avg": 30.0, "target_mode": "nivel", "transform_mode": ""}</t>
        </is>
      </c>
      <c r="O216" s="51" t="n">
        <v>0.35</v>
      </c>
      <c r="P216" s="51" t="n">
        <v>0.25</v>
      </c>
      <c r="Q216" s="51" t="n">
        <v>0.25</v>
      </c>
      <c r="R216" s="51" t="n">
        <v>0.1</v>
      </c>
      <c r="S216" s="52" t="n">
        <v>0.3</v>
      </c>
      <c r="T216" s="53" t="n">
        <v>0.1792653119858152</v>
      </c>
      <c r="U216" s="53" t="n">
        <v>0.2083333333333334</v>
      </c>
      <c r="V216" s="53" t="n">
        <v>0.1818181818181818</v>
      </c>
      <c r="W216" s="53" t="n">
        <v>0.75</v>
      </c>
      <c r="X216" s="54" t="n">
        <v>0.07058422139487423</v>
      </c>
      <c r="Y216" s="53" t="n">
        <v>0.1102990903267434</v>
      </c>
      <c r="Z216" s="53" t="n">
        <v>0.1385318135302806</v>
      </c>
      <c r="AA216" s="55" t="n">
        <v>0.7916666666666666</v>
      </c>
      <c r="AB216" s="55" t="n">
        <v>0.8181818181818182</v>
      </c>
      <c r="AC216" s="49" t="inlineStr">
        <is>
          <t>corrido</t>
        </is>
      </c>
      <c r="AD216" s="49" t="inlineStr">
        <is>
          <t>CatBoost limpio con walk-forward temporal | hipotesis=catboost_corr_vs_all | baseline fijo sin tuning interno | sin escalado por naturaleza basada en arboles | sin variables categoricas explicitas, operando sobre features numericas</t>
        </is>
      </c>
      <c r="AE216" s="49" t="inlineStr">
        <is>
          <t>run_e5_catboost.py</t>
        </is>
      </c>
      <c r="AF216" s="49" t="inlineStr">
        <is>
          <t>Scripts/Modeling/run_e5_catboost.py</t>
        </is>
      </c>
      <c r="AG216" s="49" t="inlineStr">
        <is>
          <t>Experimentos/runs/E5_v2_clean_20260330_090443</t>
        </is>
      </c>
      <c r="AH216" s="49" t="inlineStr">
        <is>
          <t>Experimentos/runs/E5_v2_clean_20260330_090443/scripts/run_e5_catboost.py</t>
        </is>
      </c>
      <c r="AI216" s="49" t="inlineStr">
        <is>
          <t>Experimentos/runs/E5_v2_clean_20260330_090443/parametros_run.json</t>
        </is>
      </c>
      <c r="AJ216" s="49" t="inlineStr">
        <is>
          <t>Experimentos/runs/E5_v2_clean_20260330_090443/metricas_horizonte.json</t>
        </is>
      </c>
      <c r="AK216" s="49" t="inlineStr">
        <is>
          <t>2026-03-30 09:04:43</t>
        </is>
      </c>
      <c r="AL216" s="49" t="inlineStr">
        <is>
          <t>regresion</t>
        </is>
      </c>
      <c r="AM216" s="49" t="n"/>
      <c r="AN216" s="49" t="n"/>
      <c r="AO216" s="49" t="n"/>
      <c r="AP216" s="49" t="n"/>
      <c r="AQ216" s="49" t="n"/>
      <c r="AR216" s="49" t="n"/>
      <c r="AS216" s="49" t="n"/>
      <c r="AT216" s="49" t="n"/>
      <c r="AU216" s="49" t="n"/>
      <c r="AV216" s="49" t="n"/>
      <c r="AW216" s="49" t="n"/>
      <c r="AX216" s="49" t="n"/>
      <c r="AY216" s="49" t="n">
        <v>0.07058422139487423</v>
      </c>
    </row>
    <row r="217" ht="15" customHeight="1" s="27">
      <c r="A217" s="49" t="inlineStr">
        <is>
          <t>2026-03-30 09:04:43</t>
        </is>
      </c>
      <c r="B217" s="49" t="inlineStr">
        <is>
          <t>E5_v2_clean</t>
        </is>
      </c>
      <c r="C217" s="50" t="inlineStr">
        <is>
          <t>E5</t>
        </is>
      </c>
      <c r="D217" s="50" t="inlineStr">
        <is>
          <t>arboles_boosting</t>
        </is>
      </c>
      <c r="E217" s="50" t="inlineStr">
        <is>
          <t>catboost_regressor</t>
        </is>
      </c>
      <c r="F217" s="50" t="n">
        <v>4</v>
      </c>
      <c r="G217" s="49" t="inlineStr">
        <is>
          <t>nivel</t>
        </is>
      </c>
      <c r="H217" s="50" t="inlineStr">
        <is>
          <t>y_t + lags [1, 2, 3, 4, 5, 6]</t>
        </is>
      </c>
      <c r="I217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217" s="50" t="inlineStr">
        <is>
          <t>sin_escalar</t>
        </is>
      </c>
      <c r="K217" s="50" t="inlineStr">
        <is>
          <t>corr</t>
        </is>
      </c>
      <c r="L217" s="50" t="inlineStr">
        <is>
          <t>walk-forward_expanding</t>
        </is>
      </c>
      <c r="M217" s="49" t="inlineStr">
        <is>
          <t>2024-10-14 a 2026-03-02</t>
        </is>
      </c>
      <c r="N217" s="49" t="inlineStr">
        <is>
          <t>{"feature_candidates": 83, "feature_mode": "corr", "horizon": 4, "initial_train_size": 40, "lags": [1, 2, 3, 4, 5, 6], "model": "catboost_regressor", "model_params": {"depth": 5, "iterations": 300, "l2_leaf_reg": 3.0, "learning_rate": 0.05, "loss_function": "RMSE", "random_seed": 42, "subsample": 0.8, "tuning_strategy": "baseline_fijo_sin_tuning_interno", "uses_categorical_features": false, "uses_scaling": false}, "rows_eval": 23, "rows_modeling": 63, "selected_feature_count_avg": 30.0, "target_mode": "nivel", "transform_mode": ""}</t>
        </is>
      </c>
      <c r="O217" s="51" t="n">
        <v>0.35</v>
      </c>
      <c r="P217" s="51" t="n">
        <v>0.25</v>
      </c>
      <c r="Q217" s="51" t="n">
        <v>0.25</v>
      </c>
      <c r="R217" s="51" t="n">
        <v>0.1</v>
      </c>
      <c r="S217" s="52" t="n">
        <v>0.15</v>
      </c>
      <c r="T217" s="53" t="n">
        <v>0.1756915299899513</v>
      </c>
      <c r="U217" s="53" t="n">
        <v>0.3478260869565217</v>
      </c>
      <c r="V217" s="53" t="n">
        <v>0.3333333333333334</v>
      </c>
      <c r="W217" s="53" t="n">
        <v>0.6521739130434783</v>
      </c>
      <c r="X217" s="54" t="n">
        <v>0.04454989228099418</v>
      </c>
      <c r="Y217" s="53" t="n">
        <v>0.1081001992038413</v>
      </c>
      <c r="Z217" s="53" t="n">
        <v>0.1501639964685235</v>
      </c>
      <c r="AA217" s="55" t="n">
        <v>0.6521739130434783</v>
      </c>
      <c r="AB217" s="55" t="n">
        <v>0.6666666666666666</v>
      </c>
      <c r="AC217" s="49" t="inlineStr">
        <is>
          <t>corrido</t>
        </is>
      </c>
      <c r="AD217" s="49" t="inlineStr">
        <is>
          <t>CatBoost limpio con walk-forward temporal | hipotesis=catboost_corr_vs_all | baseline fijo sin tuning interno | sin escalado por naturaleza basada en arboles | sin variables categoricas explicitas, operando sobre features numericas</t>
        </is>
      </c>
      <c r="AE217" s="49" t="inlineStr">
        <is>
          <t>run_e5_catboost.py</t>
        </is>
      </c>
      <c r="AF217" s="49" t="inlineStr">
        <is>
          <t>Scripts/Modeling/run_e5_catboost.py</t>
        </is>
      </c>
      <c r="AG217" s="49" t="inlineStr">
        <is>
          <t>Experimentos/runs/E5_v2_clean_20260330_090443</t>
        </is>
      </c>
      <c r="AH217" s="49" t="inlineStr">
        <is>
          <t>Experimentos/runs/E5_v2_clean_20260330_090443/scripts/run_e5_catboost.py</t>
        </is>
      </c>
      <c r="AI217" s="49" t="inlineStr">
        <is>
          <t>Experimentos/runs/E5_v2_clean_20260330_090443/parametros_run.json</t>
        </is>
      </c>
      <c r="AJ217" s="49" t="inlineStr">
        <is>
          <t>Experimentos/runs/E5_v2_clean_20260330_090443/metricas_horizonte.json</t>
        </is>
      </c>
      <c r="AK217" s="49" t="inlineStr">
        <is>
          <t>2026-03-30 09:04:43</t>
        </is>
      </c>
      <c r="AL217" s="49" t="inlineStr">
        <is>
          <t>regresion</t>
        </is>
      </c>
      <c r="AM217" s="49" t="n"/>
      <c r="AN217" s="49" t="n"/>
      <c r="AO217" s="49" t="n"/>
      <c r="AP217" s="49" t="n"/>
      <c r="AQ217" s="49" t="n"/>
      <c r="AR217" s="49" t="n"/>
      <c r="AS217" s="49" t="n"/>
      <c r="AT217" s="49" t="n"/>
      <c r="AU217" s="49" t="n"/>
      <c r="AV217" s="49" t="n"/>
      <c r="AW217" s="49" t="n"/>
      <c r="AX217" s="49" t="n"/>
      <c r="AY217" s="49" t="n">
        <v>0.04454989228099418</v>
      </c>
    </row>
    <row r="218" ht="15" customHeight="1" s="27">
      <c r="A218" s="49" t="inlineStr">
        <is>
          <t>2026-03-30 09:08:00</t>
        </is>
      </c>
      <c r="B218" s="49" t="inlineStr">
        <is>
          <t>E5_v3_clean</t>
        </is>
      </c>
      <c r="C218" s="50" t="inlineStr">
        <is>
          <t>E5</t>
        </is>
      </c>
      <c r="D218" s="50" t="inlineStr">
        <is>
          <t>arboles_boosting</t>
        </is>
      </c>
      <c r="E218" s="50" t="inlineStr">
        <is>
          <t>catboost_regressor</t>
        </is>
      </c>
      <c r="F218" s="50" t="n">
        <v>1</v>
      </c>
      <c r="G218" s="49" t="inlineStr">
        <is>
          <t>nivel</t>
        </is>
      </c>
      <c r="H218" s="50" t="inlineStr">
        <is>
          <t>y_t + lags [1, 2, 3, 4, 5, 6]</t>
        </is>
      </c>
      <c r="I218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218" s="50" t="inlineStr">
        <is>
          <t>sin_escalar</t>
        </is>
      </c>
      <c r="K218" s="50" t="inlineStr">
        <is>
          <t>all</t>
        </is>
      </c>
      <c r="L218" s="50" t="inlineStr">
        <is>
          <t>walk-forward_expanding</t>
        </is>
      </c>
      <c r="M218" s="49" t="inlineStr">
        <is>
          <t>2024-10-14 a 2026-03-02</t>
        </is>
      </c>
      <c r="N218" s="49" t="inlineStr">
        <is>
          <t>{"feature_candidates": 83, "feature_mode": "all", "horizon": 1, "initial_train_size": 40, "lags": [1, 2, 3, 4, 5, 6], "model": "catboost_regressor", "model_params": {"depth": 4, "iterations": 300, "l2_leaf_reg": 3.0, "learning_rate": 0.05, "loss_function": "RMSE", "random_seed": 42, "subsample": 0.8, "tuning_strategy": "baseline_fijo_sin_tuning_interno", "uses_categorical_features": false, "uses_scaling": false}, "rows_eval": 26, "rows_modeling": 66, "selected_feature_count_avg": 83.0, "target_mode": "nivel", "transform_mode": ""}</t>
        </is>
      </c>
      <c r="O218" s="51" t="n">
        <v>0.35</v>
      </c>
      <c r="P218" s="51" t="n">
        <v>0.25</v>
      </c>
      <c r="Q218" s="51" t="n">
        <v>0.25</v>
      </c>
      <c r="R218" s="51" t="n">
        <v>0.1</v>
      </c>
      <c r="S218" s="52" t="n">
        <v>0.3</v>
      </c>
      <c r="T218" s="53" t="n">
        <v>0.1591732364126461</v>
      </c>
      <c r="U218" s="53" t="n">
        <v>0.1538461538461539</v>
      </c>
      <c r="V218" s="53" t="n">
        <v>0.1666666666666666</v>
      </c>
      <c r="W218" s="53" t="n">
        <v>0.6538461538461539</v>
      </c>
      <c r="X218" s="54" t="n">
        <v>0.06036703597717398</v>
      </c>
      <c r="Y218" s="53" t="n">
        <v>0.09793675634284307</v>
      </c>
      <c r="Z218" s="53" t="n">
        <v>0.1283633523844304</v>
      </c>
      <c r="AA218" s="55" t="n">
        <v>0.8461538461538461</v>
      </c>
      <c r="AB218" s="55" t="n">
        <v>0.8333333333333334</v>
      </c>
      <c r="AC218" s="49" t="inlineStr">
        <is>
          <t>corrido</t>
        </is>
      </c>
      <c r="AD218" s="49" t="inlineStr">
        <is>
          <t>CatBoost limpio con walk-forward temporal | hipotesis=catboost_depth4_vs_depth5 | baseline fijo sin tuning interno | sin escalado por naturaleza basada en arboles | sin variables categoricas explicitas, operando sobre features numericas</t>
        </is>
      </c>
      <c r="AE218" s="49" t="inlineStr">
        <is>
          <t>run_e5_catboost.py</t>
        </is>
      </c>
      <c r="AF218" s="49" t="inlineStr">
        <is>
          <t>Scripts/Modeling/run_e5_catboost.py</t>
        </is>
      </c>
      <c r="AG218" s="49" t="inlineStr">
        <is>
          <t>Experimentos/runs/E5_v3_clean_20260330_090800</t>
        </is>
      </c>
      <c r="AH218" s="49" t="inlineStr">
        <is>
          <t>Experimentos/runs/E5_v3_clean_20260330_090800/scripts/run_e5_catboost.py</t>
        </is>
      </c>
      <c r="AI218" s="49" t="inlineStr">
        <is>
          <t>Experimentos/runs/E5_v3_clean_20260330_090800/parametros_run.json</t>
        </is>
      </c>
      <c r="AJ218" s="49" t="inlineStr">
        <is>
          <t>Experimentos/runs/E5_v3_clean_20260330_090800/metricas_horizonte.json</t>
        </is>
      </c>
      <c r="AK218" s="49" t="inlineStr">
        <is>
          <t>2026-03-30 09:08:00</t>
        </is>
      </c>
      <c r="AL218" s="49" t="inlineStr">
        <is>
          <t>regresion</t>
        </is>
      </c>
      <c r="AM218" s="49" t="n"/>
      <c r="AN218" s="49" t="n"/>
      <c r="AO218" s="49" t="n"/>
      <c r="AP218" s="49" t="n"/>
      <c r="AQ218" s="49" t="n"/>
      <c r="AR218" s="49" t="n"/>
      <c r="AS218" s="49" t="n"/>
      <c r="AT218" s="49" t="n"/>
      <c r="AU218" s="49" t="n"/>
      <c r="AV218" s="49" t="n"/>
      <c r="AW218" s="49" t="n"/>
      <c r="AX218" s="49" t="n"/>
      <c r="AY218" s="49" t="n">
        <v>0.06036703597717398</v>
      </c>
    </row>
    <row r="219" ht="15" customHeight="1" s="27">
      <c r="A219" s="49" t="inlineStr">
        <is>
          <t>2026-03-30 09:08:00</t>
        </is>
      </c>
      <c r="B219" s="49" t="inlineStr">
        <is>
          <t>E5_v3_clean</t>
        </is>
      </c>
      <c r="C219" s="50" t="inlineStr">
        <is>
          <t>E5</t>
        </is>
      </c>
      <c r="D219" s="50" t="inlineStr">
        <is>
          <t>arboles_boosting</t>
        </is>
      </c>
      <c r="E219" s="50" t="inlineStr">
        <is>
          <t>catboost_regressor</t>
        </is>
      </c>
      <c r="F219" s="50" t="n">
        <v>2</v>
      </c>
      <c r="G219" s="49" t="inlineStr">
        <is>
          <t>nivel</t>
        </is>
      </c>
      <c r="H219" s="50" t="inlineStr">
        <is>
          <t>y_t + lags [1, 2, 3, 4, 5, 6]</t>
        </is>
      </c>
      <c r="I219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219" s="50" t="inlineStr">
        <is>
          <t>sin_escalar</t>
        </is>
      </c>
      <c r="K219" s="50" t="inlineStr">
        <is>
          <t>all</t>
        </is>
      </c>
      <c r="L219" s="50" t="inlineStr">
        <is>
          <t>walk-forward_expanding</t>
        </is>
      </c>
      <c r="M219" s="49" t="inlineStr">
        <is>
          <t>2024-10-14 a 2026-03-02</t>
        </is>
      </c>
      <c r="N219" s="49" t="inlineStr">
        <is>
          <t>{"feature_candidates": 83, "feature_mode": "all", "horizon": 2, "initial_train_size": 40, "lags": [1, 2, 3, 4, 5, 6], "model": "catboost_regressor", "model_params": {"depth": 4, "iterations": 300, "l2_leaf_reg": 3.0, "learning_rate": 0.05, "loss_function": "RMSE", "random_seed": 42, "subsample": 0.8, "tuning_strategy": "baseline_fijo_sin_tuning_interno", "uses_categorical_features": false, "uses_scaling": false}, "rows_eval": 25, "rows_modeling": 65, "selected_feature_count_avg": 83.0, "target_mode": "nivel", "transform_mode": ""}</t>
        </is>
      </c>
      <c r="O219" s="51" t="n">
        <v>0.35</v>
      </c>
      <c r="P219" s="51" t="n">
        <v>0.25</v>
      </c>
      <c r="Q219" s="51" t="n">
        <v>0.25</v>
      </c>
      <c r="R219" s="51" t="n">
        <v>0.1</v>
      </c>
      <c r="S219" s="52" t="n">
        <v>0.25</v>
      </c>
      <c r="T219" s="53" t="n">
        <v>0.1705335184745732</v>
      </c>
      <c r="U219" s="53" t="n">
        <v>0.4</v>
      </c>
      <c r="V219" s="53" t="n">
        <v>0.4</v>
      </c>
      <c r="W219" s="53" t="n">
        <v>0.68</v>
      </c>
      <c r="X219" s="54" t="n">
        <v>0.08192168286652517</v>
      </c>
      <c r="Y219" s="53" t="n">
        <v>0.1049265568982619</v>
      </c>
      <c r="Z219" s="53" t="n">
        <v>0.1330288465225333</v>
      </c>
      <c r="AA219" s="55" t="n">
        <v>0.6</v>
      </c>
      <c r="AB219" s="55" t="n">
        <v>0.6</v>
      </c>
      <c r="AC219" s="49" t="inlineStr">
        <is>
          <t>corrido</t>
        </is>
      </c>
      <c r="AD219" s="49" t="inlineStr">
        <is>
          <t>CatBoost limpio con walk-forward temporal | hipotesis=catboost_depth4_vs_depth5 | baseline fijo sin tuning interno | sin escalado por naturaleza basada en arboles | sin variables categoricas explicitas, operando sobre features numericas</t>
        </is>
      </c>
      <c r="AE219" s="49" t="inlineStr">
        <is>
          <t>run_e5_catboost.py</t>
        </is>
      </c>
      <c r="AF219" s="49" t="inlineStr">
        <is>
          <t>Scripts/Modeling/run_e5_catboost.py</t>
        </is>
      </c>
      <c r="AG219" s="49" t="inlineStr">
        <is>
          <t>Experimentos/runs/E5_v3_clean_20260330_090800</t>
        </is>
      </c>
      <c r="AH219" s="49" t="inlineStr">
        <is>
          <t>Experimentos/runs/E5_v3_clean_20260330_090800/scripts/run_e5_catboost.py</t>
        </is>
      </c>
      <c r="AI219" s="49" t="inlineStr">
        <is>
          <t>Experimentos/runs/E5_v3_clean_20260330_090800/parametros_run.json</t>
        </is>
      </c>
      <c r="AJ219" s="49" t="inlineStr">
        <is>
          <t>Experimentos/runs/E5_v3_clean_20260330_090800/metricas_horizonte.json</t>
        </is>
      </c>
      <c r="AK219" s="49" t="inlineStr">
        <is>
          <t>2026-03-30 09:08:00</t>
        </is>
      </c>
      <c r="AL219" s="49" t="inlineStr">
        <is>
          <t>regresion</t>
        </is>
      </c>
      <c r="AM219" s="49" t="n"/>
      <c r="AN219" s="49" t="n"/>
      <c r="AO219" s="49" t="n"/>
      <c r="AP219" s="49" t="n"/>
      <c r="AQ219" s="49" t="n"/>
      <c r="AR219" s="49" t="n"/>
      <c r="AS219" s="49" t="n"/>
      <c r="AT219" s="49" t="n"/>
      <c r="AU219" s="49" t="n"/>
      <c r="AV219" s="49" t="n"/>
      <c r="AW219" s="49" t="n"/>
      <c r="AX219" s="49" t="n"/>
      <c r="AY219" s="49" t="n">
        <v>0.08192168286652517</v>
      </c>
    </row>
    <row r="220" ht="15" customHeight="1" s="27">
      <c r="A220" s="49" t="inlineStr">
        <is>
          <t>2026-03-30 09:08:00</t>
        </is>
      </c>
      <c r="B220" s="49" t="inlineStr">
        <is>
          <t>E5_v3_clean</t>
        </is>
      </c>
      <c r="C220" s="50" t="inlineStr">
        <is>
          <t>E5</t>
        </is>
      </c>
      <c r="D220" s="50" t="inlineStr">
        <is>
          <t>arboles_boosting</t>
        </is>
      </c>
      <c r="E220" s="50" t="inlineStr">
        <is>
          <t>catboost_regressor</t>
        </is>
      </c>
      <c r="F220" s="50" t="n">
        <v>3</v>
      </c>
      <c r="G220" s="49" t="inlineStr">
        <is>
          <t>nivel</t>
        </is>
      </c>
      <c r="H220" s="50" t="inlineStr">
        <is>
          <t>y_t + lags [1, 2, 3, 4, 5, 6]</t>
        </is>
      </c>
      <c r="I220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220" s="50" t="inlineStr">
        <is>
          <t>sin_escalar</t>
        </is>
      </c>
      <c r="K220" s="50" t="inlineStr">
        <is>
          <t>all</t>
        </is>
      </c>
      <c r="L220" s="50" t="inlineStr">
        <is>
          <t>walk-forward_expanding</t>
        </is>
      </c>
      <c r="M220" s="49" t="inlineStr">
        <is>
          <t>2024-10-14 a 2026-03-02</t>
        </is>
      </c>
      <c r="N220" s="49" t="inlineStr">
        <is>
          <t>{"feature_candidates": 83, "feature_mode": "all", "horizon": 3, "initial_train_size": 40, "lags": [1, 2, 3, 4, 5, 6], "model": "catboost_regressor", "model_params": {"depth": 4, "iterations": 300, "l2_leaf_reg": 3.0, "learning_rate": 0.05, "loss_function": "RMSE", "random_seed": 42, "subsample": 0.8, "tuning_strategy": "baseline_fijo_sin_tuning_interno", "uses_categorical_features": false, "uses_scaling": false}, "rows_eval": 24, "rows_modeling": 64, "selected_feature_count_avg": 83.0, "target_mode": "nivel", "transform_mode": ""}</t>
        </is>
      </c>
      <c r="O220" s="51" t="n">
        <v>0.35</v>
      </c>
      <c r="P220" s="51" t="n">
        <v>0.25</v>
      </c>
      <c r="Q220" s="51" t="n">
        <v>0.25</v>
      </c>
      <c r="R220" s="51" t="n">
        <v>0.1</v>
      </c>
      <c r="S220" s="52" t="n">
        <v>0.3</v>
      </c>
      <c r="T220" s="53" t="n">
        <v>0.1781978599214277</v>
      </c>
      <c r="U220" s="53" t="n">
        <v>0.2083333333333334</v>
      </c>
      <c r="V220" s="53" t="n">
        <v>0.1818181818181818</v>
      </c>
      <c r="W220" s="53" t="n">
        <v>0.75</v>
      </c>
      <c r="X220" s="54" t="n">
        <v>0.07047213892811353</v>
      </c>
      <c r="Y220" s="53" t="n">
        <v>0.1096423040786673</v>
      </c>
      <c r="Z220" s="53" t="n">
        <v>0.1375800202928384</v>
      </c>
      <c r="AA220" s="55" t="n">
        <v>0.7916666666666666</v>
      </c>
      <c r="AB220" s="55" t="n">
        <v>0.8181818181818182</v>
      </c>
      <c r="AC220" s="49" t="inlineStr">
        <is>
          <t>corrido</t>
        </is>
      </c>
      <c r="AD220" s="49" t="inlineStr">
        <is>
          <t>CatBoost limpio con walk-forward temporal | hipotesis=catboost_depth4_vs_depth5 | baseline fijo sin tuning interno | sin escalado por naturaleza basada en arboles | sin variables categoricas explicitas, operando sobre features numericas</t>
        </is>
      </c>
      <c r="AE220" s="49" t="inlineStr">
        <is>
          <t>run_e5_catboost.py</t>
        </is>
      </c>
      <c r="AF220" s="49" t="inlineStr">
        <is>
          <t>Scripts/Modeling/run_e5_catboost.py</t>
        </is>
      </c>
      <c r="AG220" s="49" t="inlineStr">
        <is>
          <t>Experimentos/runs/E5_v3_clean_20260330_090800</t>
        </is>
      </c>
      <c r="AH220" s="49" t="inlineStr">
        <is>
          <t>Experimentos/runs/E5_v3_clean_20260330_090800/scripts/run_e5_catboost.py</t>
        </is>
      </c>
      <c r="AI220" s="49" t="inlineStr">
        <is>
          <t>Experimentos/runs/E5_v3_clean_20260330_090800/parametros_run.json</t>
        </is>
      </c>
      <c r="AJ220" s="49" t="inlineStr">
        <is>
          <t>Experimentos/runs/E5_v3_clean_20260330_090800/metricas_horizonte.json</t>
        </is>
      </c>
      <c r="AK220" s="49" t="inlineStr">
        <is>
          <t>2026-03-30 09:08:00</t>
        </is>
      </c>
      <c r="AL220" s="49" t="inlineStr">
        <is>
          <t>regresion</t>
        </is>
      </c>
      <c r="AM220" s="49" t="n"/>
      <c r="AN220" s="49" t="n"/>
      <c r="AO220" s="49" t="n"/>
      <c r="AP220" s="49" t="n"/>
      <c r="AQ220" s="49" t="n"/>
      <c r="AR220" s="49" t="n"/>
      <c r="AS220" s="49" t="n"/>
      <c r="AT220" s="49" t="n"/>
      <c r="AU220" s="49" t="n"/>
      <c r="AV220" s="49" t="n"/>
      <c r="AW220" s="49" t="n"/>
      <c r="AX220" s="49" t="n"/>
      <c r="AY220" s="49" t="n">
        <v>0.07047213892811353</v>
      </c>
    </row>
    <row r="221" ht="15" customHeight="1" s="27">
      <c r="A221" s="49" t="inlineStr">
        <is>
          <t>2026-03-30 09:08:00</t>
        </is>
      </c>
      <c r="B221" s="49" t="inlineStr">
        <is>
          <t>E5_v3_clean</t>
        </is>
      </c>
      <c r="C221" s="50" t="inlineStr">
        <is>
          <t>E5</t>
        </is>
      </c>
      <c r="D221" s="50" t="inlineStr">
        <is>
          <t>arboles_boosting</t>
        </is>
      </c>
      <c r="E221" s="50" t="inlineStr">
        <is>
          <t>catboost_regressor</t>
        </is>
      </c>
      <c r="F221" s="50" t="n">
        <v>4</v>
      </c>
      <c r="G221" s="49" t="inlineStr">
        <is>
          <t>nivel</t>
        </is>
      </c>
      <c r="H221" s="50" t="inlineStr">
        <is>
          <t>y_t + lags [1, 2, 3, 4, 5, 6]</t>
        </is>
      </c>
      <c r="I221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221" s="50" t="inlineStr">
        <is>
          <t>sin_escalar</t>
        </is>
      </c>
      <c r="K221" s="50" t="inlineStr">
        <is>
          <t>all</t>
        </is>
      </c>
      <c r="L221" s="50" t="inlineStr">
        <is>
          <t>walk-forward_expanding</t>
        </is>
      </c>
      <c r="M221" s="49" t="inlineStr">
        <is>
          <t>2024-10-14 a 2026-03-02</t>
        </is>
      </c>
      <c r="N221" s="49" t="inlineStr">
        <is>
          <t>{"feature_candidates": 83, "feature_mode": "all", "horizon": 4, "initial_train_size": 40, "lags": [1, 2, 3, 4, 5, 6], "model": "catboost_regressor", "model_params": {"depth": 4, "iterations": 300, "l2_leaf_reg": 3.0, "learning_rate": 0.05, "loss_function": "RMSE", "random_seed": 42, "subsample": 0.8, "tuning_strategy": "baseline_fijo_sin_tuning_interno", "uses_categorical_features": false, "uses_scaling": false}, "rows_eval": 23, "rows_modeling": 63, "selected_feature_count_avg": 83.0, "target_mode": "nivel", "transform_mode": ""}</t>
        </is>
      </c>
      <c r="O221" s="51" t="n">
        <v>0.35</v>
      </c>
      <c r="P221" s="51" t="n">
        <v>0.25</v>
      </c>
      <c r="Q221" s="51" t="n">
        <v>0.25</v>
      </c>
      <c r="R221" s="51" t="n">
        <v>0.1</v>
      </c>
      <c r="S221" s="52" t="n">
        <v>0.15</v>
      </c>
      <c r="T221" s="53" t="n">
        <v>0.1726669573033624</v>
      </c>
      <c r="U221" s="53" t="n">
        <v>0.3478260869565217</v>
      </c>
      <c r="V221" s="53" t="n">
        <v>0.4444444444444444</v>
      </c>
      <c r="W221" s="53" t="n">
        <v>0.6521739130434783</v>
      </c>
      <c r="X221" s="54" t="n">
        <v>0.04855776888161493</v>
      </c>
      <c r="Y221" s="53" t="n">
        <v>0.1062392278186785</v>
      </c>
      <c r="Z221" s="53" t="n">
        <v>0.1484327282106301</v>
      </c>
      <c r="AA221" s="55" t="n">
        <v>0.6521739130434783</v>
      </c>
      <c r="AB221" s="55" t="n">
        <v>0.5555555555555556</v>
      </c>
      <c r="AC221" s="49" t="inlineStr">
        <is>
          <t>corrido</t>
        </is>
      </c>
      <c r="AD221" s="49" t="inlineStr">
        <is>
          <t>CatBoost limpio con walk-forward temporal | hipotesis=catboost_depth4_vs_depth5 | baseline fijo sin tuning interno | sin escalado por naturaleza basada en arboles | sin variables categoricas explicitas, operando sobre features numericas</t>
        </is>
      </c>
      <c r="AE221" s="49" t="inlineStr">
        <is>
          <t>run_e5_catboost.py</t>
        </is>
      </c>
      <c r="AF221" s="49" t="inlineStr">
        <is>
          <t>Scripts/Modeling/run_e5_catboost.py</t>
        </is>
      </c>
      <c r="AG221" s="49" t="inlineStr">
        <is>
          <t>Experimentos/runs/E5_v3_clean_20260330_090800</t>
        </is>
      </c>
      <c r="AH221" s="49" t="inlineStr">
        <is>
          <t>Experimentos/runs/E5_v3_clean_20260330_090800/scripts/run_e5_catboost.py</t>
        </is>
      </c>
      <c r="AI221" s="49" t="inlineStr">
        <is>
          <t>Experimentos/runs/E5_v3_clean_20260330_090800/parametros_run.json</t>
        </is>
      </c>
      <c r="AJ221" s="49" t="inlineStr">
        <is>
          <t>Experimentos/runs/E5_v3_clean_20260330_090800/metricas_horizonte.json</t>
        </is>
      </c>
      <c r="AK221" s="49" t="inlineStr">
        <is>
          <t>2026-03-30 09:08:00</t>
        </is>
      </c>
      <c r="AL221" s="49" t="inlineStr">
        <is>
          <t>regresion</t>
        </is>
      </c>
      <c r="AM221" s="49" t="n"/>
      <c r="AN221" s="49" t="n"/>
      <c r="AO221" s="49" t="n"/>
      <c r="AP221" s="49" t="n"/>
      <c r="AQ221" s="49" t="n"/>
      <c r="AR221" s="49" t="n"/>
      <c r="AS221" s="49" t="n"/>
      <c r="AT221" s="49" t="n"/>
      <c r="AU221" s="49" t="n"/>
      <c r="AV221" s="49" t="n"/>
      <c r="AW221" s="49" t="n"/>
      <c r="AX221" s="49" t="n"/>
      <c r="AY221" s="49" t="n">
        <v>0.04855776888161493</v>
      </c>
    </row>
    <row r="222" ht="15" customHeight="1" s="27">
      <c r="A222" s="49" t="inlineStr">
        <is>
          <t>2026-03-30 09:17:36</t>
        </is>
      </c>
      <c r="B222" s="49" t="inlineStr">
        <is>
          <t>E5_v4_clean</t>
        </is>
      </c>
      <c r="C222" s="50" t="inlineStr">
        <is>
          <t>E5</t>
        </is>
      </c>
      <c r="D222" s="50" t="inlineStr">
        <is>
          <t>arboles_boosting</t>
        </is>
      </c>
      <c r="E222" s="50" t="inlineStr">
        <is>
          <t>catboost_regressor</t>
        </is>
      </c>
      <c r="F222" s="50" t="n">
        <v>1</v>
      </c>
      <c r="G222" s="49" t="inlineStr">
        <is>
          <t>nivel</t>
        </is>
      </c>
      <c r="H222" s="50" t="inlineStr">
        <is>
          <t>y_t + lags [1, 2, 3, 4, 5, 6]</t>
        </is>
      </c>
      <c r="I222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222" s="50" t="inlineStr">
        <is>
          <t>sin_escalar</t>
        </is>
      </c>
      <c r="K222" s="50" t="inlineStr">
        <is>
          <t>all</t>
        </is>
      </c>
      <c r="L222" s="50" t="inlineStr">
        <is>
          <t>walk-forward_expanding</t>
        </is>
      </c>
      <c r="M222" s="49" t="inlineStr">
        <is>
          <t>2024-10-14 a 2026-03-02</t>
        </is>
      </c>
      <c r="N222" s="49" t="inlineStr">
        <is>
          <t>{"feature_candidates": 83, "feature_mode": "all", "horizon": 1, "initial_train_size": 40, "lags": [1, 2, 3, 4, 5, 6], "model": "catboost_regressor", "model_params": {"depth": 5, "inner_splits": 3, "iterations": 300, "l2_leaf_reg": 3.0, "learning_rate": 0.05, "loss_function": "RMSE", "param_grid": {"depth": [4, 5], "iterations": [250, 300], "l2_leaf_reg": [3.0, 5.0]}, "random_seed": 42, "subsample": 0.8, "tuning_metric": "mae", "tuning_strategy": "tscv_param_grid_temporal", "uses_categorical_features": false, "uses_scaling": false}, "rows_eval": 26, "rows_modeling": 66, "selected_feature_count_avg": 83.0, "target_mode": "nivel", "transform_mode": ""}</t>
        </is>
      </c>
      <c r="O222" s="51" t="n">
        <v>0.35</v>
      </c>
      <c r="P222" s="51" t="n">
        <v>0.25</v>
      </c>
      <c r="Q222" s="51" t="n">
        <v>0.25</v>
      </c>
      <c r="R222" s="51" t="n">
        <v>0.1</v>
      </c>
      <c r="S222" s="52" t="n">
        <v>0.3</v>
      </c>
      <c r="T222" s="53" t="n">
        <v>0.1553039435889149</v>
      </c>
      <c r="U222" s="53" t="n">
        <v>0.1923076923076923</v>
      </c>
      <c r="V222" s="53" t="n">
        <v>0.1666666666666666</v>
      </c>
      <c r="W222" s="53" t="n">
        <v>0.6538461538461539</v>
      </c>
      <c r="X222" s="54" t="n">
        <v>0.0628453756152976</v>
      </c>
      <c r="Y222" s="53" t="n">
        <v>0.09555604211576986</v>
      </c>
      <c r="Z222" s="53" t="n">
        <v>0.1251791407669646</v>
      </c>
      <c r="AA222" s="55" t="n">
        <v>0.8076923076923077</v>
      </c>
      <c r="AB222" s="55" t="n">
        <v>0.8333333333333334</v>
      </c>
      <c r="AC222" s="49" t="inlineStr">
        <is>
          <t>corrido</t>
        </is>
      </c>
      <c r="AD222" s="49" t="inlineStr">
        <is>
          <t>CatBoost limpio con walk-forward temporal | hipotesis=catboost_tuning_temporal_acotado | tuning temporal interno | metric=mae | inner_splits=3 | sin escalado por naturaleza basada en arboles | sin variables categoricas explicitas, operando sobre features numericas</t>
        </is>
      </c>
      <c r="AE222" s="49" t="inlineStr">
        <is>
          <t>run_e5_catboost.py</t>
        </is>
      </c>
      <c r="AF222" s="49" t="inlineStr">
        <is>
          <t>Scripts/Modeling/run_e5_catboost.py</t>
        </is>
      </c>
      <c r="AG222" s="49" t="inlineStr">
        <is>
          <t>Experimentos/runs/E5_v4_clean_20260330_091736</t>
        </is>
      </c>
      <c r="AH222" s="49" t="inlineStr">
        <is>
          <t>Experimentos/runs/E5_v4_clean_20260330_091736/scripts/run_e5_catboost.py</t>
        </is>
      </c>
      <c r="AI222" s="49" t="inlineStr">
        <is>
          <t>Experimentos/runs/E5_v4_clean_20260330_091736/parametros_run.json</t>
        </is>
      </c>
      <c r="AJ222" s="49" t="inlineStr">
        <is>
          <t>Experimentos/runs/E5_v4_clean_20260330_091736/metricas_horizonte.json</t>
        </is>
      </c>
      <c r="AK222" s="49" t="inlineStr">
        <is>
          <t>2026-03-30 09:17:36</t>
        </is>
      </c>
      <c r="AL222" s="49" t="inlineStr">
        <is>
          <t>regresion</t>
        </is>
      </c>
      <c r="AM222" s="49" t="n"/>
      <c r="AN222" s="49" t="n"/>
      <c r="AO222" s="49" t="n"/>
      <c r="AP222" s="49" t="n"/>
      <c r="AQ222" s="49" t="n"/>
      <c r="AR222" s="49" t="n"/>
      <c r="AS222" s="49" t="n"/>
      <c r="AT222" s="49" t="n"/>
      <c r="AU222" s="49" t="n"/>
      <c r="AV222" s="49" t="n"/>
      <c r="AW222" s="49" t="n"/>
      <c r="AX222" s="49" t="n"/>
      <c r="AY222" s="49" t="n">
        <v>0.0628453756152976</v>
      </c>
    </row>
    <row r="223" ht="15" customHeight="1" s="27">
      <c r="A223" s="49" t="inlineStr">
        <is>
          <t>2026-03-30 09:17:36</t>
        </is>
      </c>
      <c r="B223" s="49" t="inlineStr">
        <is>
          <t>E5_v4_clean</t>
        </is>
      </c>
      <c r="C223" s="50" t="inlineStr">
        <is>
          <t>E5</t>
        </is>
      </c>
      <c r="D223" s="50" t="inlineStr">
        <is>
          <t>arboles_boosting</t>
        </is>
      </c>
      <c r="E223" s="50" t="inlineStr">
        <is>
          <t>catboost_regressor</t>
        </is>
      </c>
      <c r="F223" s="50" t="n">
        <v>2</v>
      </c>
      <c r="G223" s="49" t="inlineStr">
        <is>
          <t>nivel</t>
        </is>
      </c>
      <c r="H223" s="50" t="inlineStr">
        <is>
          <t>y_t + lags [1, 2, 3, 4, 5, 6]</t>
        </is>
      </c>
      <c r="I223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223" s="50" t="inlineStr">
        <is>
          <t>sin_escalar</t>
        </is>
      </c>
      <c r="K223" s="50" t="inlineStr">
        <is>
          <t>all</t>
        </is>
      </c>
      <c r="L223" s="50" t="inlineStr">
        <is>
          <t>walk-forward_expanding</t>
        </is>
      </c>
      <c r="M223" s="49" t="inlineStr">
        <is>
          <t>2024-10-14 a 2026-03-02</t>
        </is>
      </c>
      <c r="N223" s="49" t="inlineStr">
        <is>
          <t>{"feature_candidates": 83, "feature_mode": "all", "horizon": 2, "initial_train_size": 40, "lags": [1, 2, 3, 4, 5, 6], "model": "catboost_regressor", "model_params": {"depth": 5, "inner_splits": 3, "iterations": 300, "l2_leaf_reg": 3.0, "learning_rate": 0.05, "loss_function": "RMSE", "param_grid": {"depth": [4, 5], "iterations": [250, 300], "l2_leaf_reg": [3.0, 5.0]}, "random_seed": 42, "subsample": 0.8, "tuning_metric": "mae", "tuning_strategy": "tscv_param_grid_temporal", "uses_categorical_features": false, "uses_scaling": false}, "rows_eval": 25, "rows_modeling": 65, "selected_feature_count_avg": 83.0, "target_mode": "nivel", "transform_mode": ""}</t>
        </is>
      </c>
      <c r="O223" s="51" t="n">
        <v>0.35</v>
      </c>
      <c r="P223" s="51" t="n">
        <v>0.25</v>
      </c>
      <c r="Q223" s="51" t="n">
        <v>0.25</v>
      </c>
      <c r="R223" s="51" t="n">
        <v>0.1</v>
      </c>
      <c r="S223" s="52" t="n">
        <v>0.25</v>
      </c>
      <c r="T223" s="53" t="n">
        <v>0.1691507754434269</v>
      </c>
      <c r="U223" s="53" t="n">
        <v>0.4</v>
      </c>
      <c r="V223" s="53" t="n">
        <v>0.4</v>
      </c>
      <c r="W223" s="53" t="n">
        <v>0.68</v>
      </c>
      <c r="X223" s="54" t="n">
        <v>0.08180069285129986</v>
      </c>
      <c r="Y223" s="53" t="n">
        <v>0.1040757771417011</v>
      </c>
      <c r="Z223" s="53" t="n">
        <v>0.1321686406290779</v>
      </c>
      <c r="AA223" s="55" t="n">
        <v>0.6</v>
      </c>
      <c r="AB223" s="55" t="n">
        <v>0.6</v>
      </c>
      <c r="AC223" s="49" t="inlineStr">
        <is>
          <t>corrido</t>
        </is>
      </c>
      <c r="AD223" s="49" t="inlineStr">
        <is>
          <t>CatBoost limpio con walk-forward temporal | hipotesis=catboost_tuning_temporal_acotado | tuning temporal interno | metric=mae | inner_splits=3 | sin escalado por naturaleza basada en arboles | sin variables categoricas explicitas, operando sobre features numericas</t>
        </is>
      </c>
      <c r="AE223" s="49" t="inlineStr">
        <is>
          <t>run_e5_catboost.py</t>
        </is>
      </c>
      <c r="AF223" s="49" t="inlineStr">
        <is>
          <t>Scripts/Modeling/run_e5_catboost.py</t>
        </is>
      </c>
      <c r="AG223" s="49" t="inlineStr">
        <is>
          <t>Experimentos/runs/E5_v4_clean_20260330_091736</t>
        </is>
      </c>
      <c r="AH223" s="49" t="inlineStr">
        <is>
          <t>Experimentos/runs/E5_v4_clean_20260330_091736/scripts/run_e5_catboost.py</t>
        </is>
      </c>
      <c r="AI223" s="49" t="inlineStr">
        <is>
          <t>Experimentos/runs/E5_v4_clean_20260330_091736/parametros_run.json</t>
        </is>
      </c>
      <c r="AJ223" s="49" t="inlineStr">
        <is>
          <t>Experimentos/runs/E5_v4_clean_20260330_091736/metricas_horizonte.json</t>
        </is>
      </c>
      <c r="AK223" s="49" t="inlineStr">
        <is>
          <t>2026-03-30 09:17:36</t>
        </is>
      </c>
      <c r="AL223" s="49" t="inlineStr">
        <is>
          <t>regresion</t>
        </is>
      </c>
      <c r="AM223" s="49" t="n"/>
      <c r="AN223" s="49" t="n"/>
      <c r="AO223" s="49" t="n"/>
      <c r="AP223" s="49" t="n"/>
      <c r="AQ223" s="49" t="n"/>
      <c r="AR223" s="49" t="n"/>
      <c r="AS223" s="49" t="n"/>
      <c r="AT223" s="49" t="n"/>
      <c r="AU223" s="49" t="n"/>
      <c r="AV223" s="49" t="n"/>
      <c r="AW223" s="49" t="n"/>
      <c r="AX223" s="49" t="n"/>
      <c r="AY223" s="49" t="n">
        <v>0.08180069285129986</v>
      </c>
    </row>
    <row r="224" ht="15" customHeight="1" s="27">
      <c r="A224" s="49" t="inlineStr">
        <is>
          <t>2026-03-30 09:17:36</t>
        </is>
      </c>
      <c r="B224" s="49" t="inlineStr">
        <is>
          <t>E5_v4_clean</t>
        </is>
      </c>
      <c r="C224" s="50" t="inlineStr">
        <is>
          <t>E5</t>
        </is>
      </c>
      <c r="D224" s="50" t="inlineStr">
        <is>
          <t>arboles_boosting</t>
        </is>
      </c>
      <c r="E224" s="50" t="inlineStr">
        <is>
          <t>catboost_regressor</t>
        </is>
      </c>
      <c r="F224" s="50" t="n">
        <v>3</v>
      </c>
      <c r="G224" s="49" t="inlineStr">
        <is>
          <t>nivel</t>
        </is>
      </c>
      <c r="H224" s="50" t="inlineStr">
        <is>
          <t>y_t + lags [1, 2, 3, 4, 5, 6]</t>
        </is>
      </c>
      <c r="I224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224" s="50" t="inlineStr">
        <is>
          <t>sin_escalar</t>
        </is>
      </c>
      <c r="K224" s="50" t="inlineStr">
        <is>
          <t>all</t>
        </is>
      </c>
      <c r="L224" s="50" t="inlineStr">
        <is>
          <t>walk-forward_expanding</t>
        </is>
      </c>
      <c r="M224" s="49" t="inlineStr">
        <is>
          <t>2024-10-14 a 2026-03-02</t>
        </is>
      </c>
      <c r="N224" s="49" t="inlineStr">
        <is>
          <t>{"feature_candidates": 83, "feature_mode": "all", "horizon": 3, "initial_train_size": 40, "lags": [1, 2, 3, 4, 5, 6], "model": "catboost_regressor", "model_params": {"depth": 5, "inner_splits": 3, "iterations": 300, "l2_leaf_reg": 3.0, "learning_rate": 0.05, "loss_function": "RMSE", "param_grid": {"depth": [4, 5], "iterations": [250, 300], "l2_leaf_reg": [3.0, 5.0]}, "random_seed": 42, "subsample": 0.8, "tuning_metric": "mae", "tuning_strategy": "tscv_param_grid_temporal", "uses_categorical_features": false, "uses_scaling": false}, "rows_eval": 24, "rows_modeling": 64, "selected_feature_count_avg": 83.0, "target_mode": "nivel", "transform_mode": ""}</t>
        </is>
      </c>
      <c r="O224" s="51" t="n">
        <v>0.35</v>
      </c>
      <c r="P224" s="51" t="n">
        <v>0.25</v>
      </c>
      <c r="Q224" s="51" t="n">
        <v>0.25</v>
      </c>
      <c r="R224" s="51" t="n">
        <v>0.1</v>
      </c>
      <c r="S224" s="52" t="n">
        <v>0.3</v>
      </c>
      <c r="T224" s="53" t="n">
        <v>0.1704919869731896</v>
      </c>
      <c r="U224" s="53" t="n">
        <v>0.2083333333333334</v>
      </c>
      <c r="V224" s="53" t="n">
        <v>0.1818181818181818</v>
      </c>
      <c r="W224" s="53" t="n">
        <v>0.6666666666666666</v>
      </c>
      <c r="X224" s="54" t="n">
        <v>0.06716302226854853</v>
      </c>
      <c r="Y224" s="53" t="n">
        <v>0.1049010032271597</v>
      </c>
      <c r="Z224" s="53" t="n">
        <v>0.1339701579244847</v>
      </c>
      <c r="AA224" s="55" t="n">
        <v>0.7916666666666666</v>
      </c>
      <c r="AB224" s="55" t="n">
        <v>0.8181818181818182</v>
      </c>
      <c r="AC224" s="49" t="inlineStr">
        <is>
          <t>corrido</t>
        </is>
      </c>
      <c r="AD224" s="49" t="inlineStr">
        <is>
          <t>CatBoost limpio con walk-forward temporal | hipotesis=catboost_tuning_temporal_acotado | tuning temporal interno | metric=mae | inner_splits=3 | sin escalado por naturaleza basada en arboles | sin variables categoricas explicitas, operando sobre features numericas</t>
        </is>
      </c>
      <c r="AE224" s="49" t="inlineStr">
        <is>
          <t>run_e5_catboost.py</t>
        </is>
      </c>
      <c r="AF224" s="49" t="inlineStr">
        <is>
          <t>Scripts/Modeling/run_e5_catboost.py</t>
        </is>
      </c>
      <c r="AG224" s="49" t="inlineStr">
        <is>
          <t>Experimentos/runs/E5_v4_clean_20260330_091736</t>
        </is>
      </c>
      <c r="AH224" s="49" t="inlineStr">
        <is>
          <t>Experimentos/runs/E5_v4_clean_20260330_091736/scripts/run_e5_catboost.py</t>
        </is>
      </c>
      <c r="AI224" s="49" t="inlineStr">
        <is>
          <t>Experimentos/runs/E5_v4_clean_20260330_091736/parametros_run.json</t>
        </is>
      </c>
      <c r="AJ224" s="49" t="inlineStr">
        <is>
          <t>Experimentos/runs/E5_v4_clean_20260330_091736/metricas_horizonte.json</t>
        </is>
      </c>
      <c r="AK224" s="49" t="inlineStr">
        <is>
          <t>2026-03-30 09:17:36</t>
        </is>
      </c>
      <c r="AL224" s="49" t="inlineStr">
        <is>
          <t>regresion</t>
        </is>
      </c>
      <c r="AM224" s="49" t="n"/>
      <c r="AN224" s="49" t="n"/>
      <c r="AO224" s="49" t="n"/>
      <c r="AP224" s="49" t="n"/>
      <c r="AQ224" s="49" t="n"/>
      <c r="AR224" s="49" t="n"/>
      <c r="AS224" s="49" t="n"/>
      <c r="AT224" s="49" t="n"/>
      <c r="AU224" s="49" t="n"/>
      <c r="AV224" s="49" t="n"/>
      <c r="AW224" s="49" t="n"/>
      <c r="AX224" s="49" t="n"/>
      <c r="AY224" s="49" t="n">
        <v>0.06716302226854853</v>
      </c>
    </row>
    <row r="225" ht="15" customHeight="1" s="27">
      <c r="A225" s="49" t="inlineStr">
        <is>
          <t>2026-03-30 09:17:36</t>
        </is>
      </c>
      <c r="B225" s="49" t="inlineStr">
        <is>
          <t>E5_v4_clean</t>
        </is>
      </c>
      <c r="C225" s="50" t="inlineStr">
        <is>
          <t>E5</t>
        </is>
      </c>
      <c r="D225" s="50" t="inlineStr">
        <is>
          <t>arboles_boosting</t>
        </is>
      </c>
      <c r="E225" s="50" t="inlineStr">
        <is>
          <t>catboost_regressor</t>
        </is>
      </c>
      <c r="F225" s="50" t="n">
        <v>4</v>
      </c>
      <c r="G225" s="49" t="inlineStr">
        <is>
          <t>nivel</t>
        </is>
      </c>
      <c r="H225" s="50" t="inlineStr">
        <is>
          <t>y_t + lags [1, 2, 3, 4, 5, 6]</t>
        </is>
      </c>
      <c r="I225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225" s="50" t="inlineStr">
        <is>
          <t>sin_escalar</t>
        </is>
      </c>
      <c r="K225" s="50" t="inlineStr">
        <is>
          <t>all</t>
        </is>
      </c>
      <c r="L225" s="50" t="inlineStr">
        <is>
          <t>walk-forward_expanding</t>
        </is>
      </c>
      <c r="M225" s="49" t="inlineStr">
        <is>
          <t>2024-10-14 a 2026-03-02</t>
        </is>
      </c>
      <c r="N225" s="49" t="inlineStr">
        <is>
          <t>{"feature_candidates": 83, "feature_mode": "all", "horizon": 4, "initial_train_size": 40, "lags": [1, 2, 3, 4, 5, 6], "model": "catboost_regressor", "model_params": {"depth": 5, "inner_splits": 3, "iterations": 300, "l2_leaf_reg": 3.0, "learning_rate": 0.05, "loss_function": "RMSE", "param_grid": {"depth": [4, 5], "iterations": [250, 300], "l2_leaf_reg": [3.0, 5.0]}, "random_seed": 42, "subsample": 0.8, "tuning_metric": "mae", "tuning_strategy": "tscv_param_grid_temporal", "uses_categorical_features": false, "uses_scaling": false}, "rows_eval": 23, "rows_modeling": 63, "selected_feature_count_avg": 83.0, "target_mode": "nivel", "transform_mode": ""}</t>
        </is>
      </c>
      <c r="O225" s="51" t="n">
        <v>0.35</v>
      </c>
      <c r="P225" s="51" t="n">
        <v>0.25</v>
      </c>
      <c r="Q225" s="51" t="n">
        <v>0.25</v>
      </c>
      <c r="R225" s="51" t="n">
        <v>0.1</v>
      </c>
      <c r="S225" s="52" t="n">
        <v>0.15</v>
      </c>
      <c r="T225" s="53" t="n">
        <v>0.166332765215733</v>
      </c>
      <c r="U225" s="53" t="n">
        <v>0.2608695652173914</v>
      </c>
      <c r="V225" s="53" t="n">
        <v>0.2222222222222222</v>
      </c>
      <c r="W225" s="53" t="n">
        <v>0.6086956521739131</v>
      </c>
      <c r="X225" s="54" t="n">
        <v>0.03597884698542019</v>
      </c>
      <c r="Y225" s="53" t="n">
        <v>0.1023419003464476</v>
      </c>
      <c r="Z225" s="53" t="n">
        <v>0.147785899525998</v>
      </c>
      <c r="AA225" s="55" t="n">
        <v>0.7391304347826086</v>
      </c>
      <c r="AB225" s="55" t="n">
        <v>0.7777777777777778</v>
      </c>
      <c r="AC225" s="49" t="inlineStr">
        <is>
          <t>corrido</t>
        </is>
      </c>
      <c r="AD225" s="49" t="inlineStr">
        <is>
          <t>CatBoost limpio con walk-forward temporal | hipotesis=catboost_tuning_temporal_acotado | tuning temporal interno | metric=mae | inner_splits=3 | sin escalado por naturaleza basada en arboles | sin variables categoricas explicitas, operando sobre features numericas</t>
        </is>
      </c>
      <c r="AE225" s="49" t="inlineStr">
        <is>
          <t>run_e5_catboost.py</t>
        </is>
      </c>
      <c r="AF225" s="49" t="inlineStr">
        <is>
          <t>Scripts/Modeling/run_e5_catboost.py</t>
        </is>
      </c>
      <c r="AG225" s="49" t="inlineStr">
        <is>
          <t>Experimentos/runs/E5_v4_clean_20260330_091736</t>
        </is>
      </c>
      <c r="AH225" s="49" t="inlineStr">
        <is>
          <t>Experimentos/runs/E5_v4_clean_20260330_091736/scripts/run_e5_catboost.py</t>
        </is>
      </c>
      <c r="AI225" s="49" t="inlineStr">
        <is>
          <t>Experimentos/runs/E5_v4_clean_20260330_091736/parametros_run.json</t>
        </is>
      </c>
      <c r="AJ225" s="49" t="inlineStr">
        <is>
          <t>Experimentos/runs/E5_v4_clean_20260330_091736/metricas_horizonte.json</t>
        </is>
      </c>
      <c r="AK225" s="49" t="inlineStr">
        <is>
          <t>2026-03-30 09:17:36</t>
        </is>
      </c>
      <c r="AL225" s="49" t="inlineStr">
        <is>
          <t>regresion</t>
        </is>
      </c>
      <c r="AM225" s="49" t="n"/>
      <c r="AN225" s="49" t="n"/>
      <c r="AO225" s="49" t="n"/>
      <c r="AP225" s="49" t="n"/>
      <c r="AQ225" s="49" t="n"/>
      <c r="AR225" s="49" t="n"/>
      <c r="AS225" s="49" t="n"/>
      <c r="AT225" s="49" t="n"/>
      <c r="AU225" s="49" t="n"/>
      <c r="AV225" s="49" t="n"/>
      <c r="AW225" s="49" t="n"/>
      <c r="AX225" s="49" t="n"/>
      <c r="AY225" s="49" t="n">
        <v>0.03597884698542019</v>
      </c>
    </row>
    <row r="226" ht="15" customHeight="1" s="27">
      <c r="A226" s="49" t="inlineStr">
        <is>
          <t>2026-03-30 09:29:59</t>
        </is>
      </c>
      <c r="B226" s="49" t="inlineStr">
        <is>
          <t>E5_v5_clean</t>
        </is>
      </c>
      <c r="C226" s="50" t="inlineStr">
        <is>
          <t>E5</t>
        </is>
      </c>
      <c r="D226" s="50" t="inlineStr">
        <is>
          <t>arboles_boosting</t>
        </is>
      </c>
      <c r="E226" s="50" t="inlineStr">
        <is>
          <t>catboost_regressor</t>
        </is>
      </c>
      <c r="F226" s="50" t="n">
        <v>1</v>
      </c>
      <c r="G226" s="49" t="inlineStr">
        <is>
          <t>nivel</t>
        </is>
      </c>
      <c r="H226" s="50" t="inlineStr">
        <is>
          <t>y_t + lags [1, 2, 3, 4, 5, 6]</t>
        </is>
      </c>
      <c r="I226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226" s="50" t="inlineStr">
        <is>
          <t>sin_escalar</t>
        </is>
      </c>
      <c r="K226" s="50" t="inlineStr">
        <is>
          <t>all</t>
        </is>
      </c>
      <c r="L226" s="50" t="inlineStr">
        <is>
          <t>walk-forward_expanding</t>
        </is>
      </c>
      <c r="M226" s="49" t="inlineStr">
        <is>
          <t>2024-10-14 a 2026-03-02</t>
        </is>
      </c>
      <c r="N226" s="49" t="inlineStr">
        <is>
          <t>{"feature_candidates": 83, "feature_mode": "all", "horizon": 1, "initial_train_size": 40, "lags": [1, 2, 3, 4, 5, 6], "model": "catboost_regressor", "model_params": {"depth": 5, "inner_splits": 3, "iterations": 300, "l2_leaf_reg": 5.0, "learning_rate": 0.05, "loss_function": "RMSE", "param_grid": {"depth": [5], "iterations": [250, 300], "l2_leaf_reg": [5.0, 7.0], "learning_rate": [0.04, 0.05]}, "random_seed": 42, "subsample": 0.8, "tuning_metric": "mae", "tuning_strategy": "tscv_param_grid_temporal", "uses_categorical_features": false, "uses_scaling": false}, "rows_eval": 26, "rows_modeling": 66, "selected_feature_count_avg": 83.0, "target_mode": "nivel", "transform_mode": ""}</t>
        </is>
      </c>
      <c r="O226" s="51" t="n">
        <v>0.35</v>
      </c>
      <c r="P226" s="51" t="n">
        <v>0.25</v>
      </c>
      <c r="Q226" s="51" t="n">
        <v>0.25</v>
      </c>
      <c r="R226" s="51" t="n">
        <v>0.1</v>
      </c>
      <c r="S226" s="52" t="n">
        <v>0.3</v>
      </c>
      <c r="T226" s="53" t="n">
        <v>0.1562533836370254</v>
      </c>
      <c r="U226" s="53" t="n">
        <v>0.2307692307692307</v>
      </c>
      <c r="V226" s="53" t="n">
        <v>0.25</v>
      </c>
      <c r="W226" s="53" t="n">
        <v>0.6538461538461539</v>
      </c>
      <c r="X226" s="54" t="n">
        <v>0.07207968220496458</v>
      </c>
      <c r="Y226" s="53" t="n">
        <v>0.09614021745045287</v>
      </c>
      <c r="Z226" s="53" t="n">
        <v>0.1267423909769221</v>
      </c>
      <c r="AA226" s="55" t="n">
        <v>0.7692307692307693</v>
      </c>
      <c r="AB226" s="55" t="n">
        <v>0.75</v>
      </c>
      <c r="AC226" s="49" t="inlineStr">
        <is>
          <t>corrido</t>
        </is>
      </c>
      <c r="AD226" s="49" t="inlineStr">
        <is>
          <t>CatBoost limpio con walk-forward temporal | hipotesis=catboost_tuning_focal_learningrate_l2 | tuning temporal interno | metric=mae | inner_splits=3 | sin escalado por naturaleza basada en arboles | sin variables categoricas explicitas, operando sobre features numericas</t>
        </is>
      </c>
      <c r="AE226" s="49" t="inlineStr">
        <is>
          <t>run_e5_catboost.py</t>
        </is>
      </c>
      <c r="AF226" s="49" t="inlineStr">
        <is>
          <t>Scripts/Modeling/run_e5_catboost.py</t>
        </is>
      </c>
      <c r="AG226" s="49" t="inlineStr">
        <is>
          <t>Experimentos/runs/E5_v5_clean_20260330_092959</t>
        </is>
      </c>
      <c r="AH226" s="49" t="inlineStr">
        <is>
          <t>Experimentos/runs/E5_v5_clean_20260330_092959/scripts/run_e5_catboost.py</t>
        </is>
      </c>
      <c r="AI226" s="49" t="inlineStr">
        <is>
          <t>Experimentos/runs/E5_v5_clean_20260330_092959/parametros_run.json</t>
        </is>
      </c>
      <c r="AJ226" s="49" t="inlineStr">
        <is>
          <t>Experimentos/runs/E5_v5_clean_20260330_092959/metricas_horizonte.json</t>
        </is>
      </c>
      <c r="AK226" s="49" t="inlineStr">
        <is>
          <t>2026-03-30 09:29:59</t>
        </is>
      </c>
      <c r="AL226" s="49" t="inlineStr">
        <is>
          <t>regresion</t>
        </is>
      </c>
      <c r="AM226" s="49" t="n"/>
      <c r="AN226" s="49" t="n"/>
      <c r="AO226" s="49" t="n"/>
      <c r="AP226" s="49" t="n"/>
      <c r="AQ226" s="49" t="n"/>
      <c r="AR226" s="49" t="n"/>
      <c r="AS226" s="49" t="n"/>
      <c r="AT226" s="49" t="n"/>
      <c r="AU226" s="49" t="n"/>
      <c r="AV226" s="49" t="n"/>
      <c r="AW226" s="49" t="n"/>
      <c r="AX226" s="49" t="n"/>
      <c r="AY226" s="49" t="n">
        <v>0.07207968220496458</v>
      </c>
    </row>
    <row r="227" ht="15" customHeight="1" s="27">
      <c r="A227" s="49" t="inlineStr">
        <is>
          <t>2026-03-30 09:29:59</t>
        </is>
      </c>
      <c r="B227" s="49" t="inlineStr">
        <is>
          <t>E5_v5_clean</t>
        </is>
      </c>
      <c r="C227" s="50" t="inlineStr">
        <is>
          <t>E5</t>
        </is>
      </c>
      <c r="D227" s="50" t="inlineStr">
        <is>
          <t>arboles_boosting</t>
        </is>
      </c>
      <c r="E227" s="50" t="inlineStr">
        <is>
          <t>catboost_regressor</t>
        </is>
      </c>
      <c r="F227" s="50" t="n">
        <v>2</v>
      </c>
      <c r="G227" s="49" t="inlineStr">
        <is>
          <t>nivel</t>
        </is>
      </c>
      <c r="H227" s="50" t="inlineStr">
        <is>
          <t>y_t + lags [1, 2, 3, 4, 5, 6]</t>
        </is>
      </c>
      <c r="I227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227" s="50" t="inlineStr">
        <is>
          <t>sin_escalar</t>
        </is>
      </c>
      <c r="K227" s="50" t="inlineStr">
        <is>
          <t>all</t>
        </is>
      </c>
      <c r="L227" s="50" t="inlineStr">
        <is>
          <t>walk-forward_expanding</t>
        </is>
      </c>
      <c r="M227" s="49" t="inlineStr">
        <is>
          <t>2024-10-14 a 2026-03-02</t>
        </is>
      </c>
      <c r="N227" s="49" t="inlineStr">
        <is>
          <t>{"feature_candidates": 83, "feature_mode": "all", "horizon": 2, "initial_train_size": 40, "lags": [1, 2, 3, 4, 5, 6], "model": "catboost_regressor", "model_params": {"depth": 5, "inner_splits": 3, "iterations": 300, "l2_leaf_reg": 5.0, "learning_rate": 0.05, "loss_function": "RMSE", "param_grid": {"depth": [5], "iterations": [250, 300], "l2_leaf_reg": [5.0, 7.0], "learning_rate": [0.04, 0.05]}, "random_seed": 42, "subsample": 0.8, "tuning_metric": "mae", "tuning_strategy": "tscv_param_grid_temporal", "uses_categorical_features": false, "uses_scaling": false}, "rows_eval": 25, "rows_modeling": 65, "selected_feature_count_avg": 83.0, "target_mode": "nivel", "transform_mode": ""}</t>
        </is>
      </c>
      <c r="O227" s="51" t="n">
        <v>0.35</v>
      </c>
      <c r="P227" s="51" t="n">
        <v>0.25</v>
      </c>
      <c r="Q227" s="51" t="n">
        <v>0.25</v>
      </c>
      <c r="R227" s="51" t="n">
        <v>0.1</v>
      </c>
      <c r="S227" s="52" t="n">
        <v>0.25</v>
      </c>
      <c r="T227" s="53" t="n">
        <v>0.1730311841695009</v>
      </c>
      <c r="U227" s="53" t="n">
        <v>0.4</v>
      </c>
      <c r="V227" s="53" t="n">
        <v>0.4</v>
      </c>
      <c r="W227" s="53" t="n">
        <v>0.68</v>
      </c>
      <c r="X227" s="54" t="n">
        <v>0.08214022861483132</v>
      </c>
      <c r="Y227" s="53" t="n">
        <v>0.1064633308063822</v>
      </c>
      <c r="Z227" s="53" t="n">
        <v>0.1384113081452773</v>
      </c>
      <c r="AA227" s="55" t="n">
        <v>0.6</v>
      </c>
      <c r="AB227" s="55" t="n">
        <v>0.6</v>
      </c>
      <c r="AC227" s="49" t="inlineStr">
        <is>
          <t>corrido</t>
        </is>
      </c>
      <c r="AD227" s="49" t="inlineStr">
        <is>
          <t>CatBoost limpio con walk-forward temporal | hipotesis=catboost_tuning_focal_learningrate_l2 | tuning temporal interno | metric=mae | inner_splits=3 | sin escalado por naturaleza basada en arboles | sin variables categoricas explicitas, operando sobre features numericas</t>
        </is>
      </c>
      <c r="AE227" s="49" t="inlineStr">
        <is>
          <t>run_e5_catboost.py</t>
        </is>
      </c>
      <c r="AF227" s="49" t="inlineStr">
        <is>
          <t>Scripts/Modeling/run_e5_catboost.py</t>
        </is>
      </c>
      <c r="AG227" s="49" t="inlineStr">
        <is>
          <t>Experimentos/runs/E5_v5_clean_20260330_092959</t>
        </is>
      </c>
      <c r="AH227" s="49" t="inlineStr">
        <is>
          <t>Experimentos/runs/E5_v5_clean_20260330_092959/scripts/run_e5_catboost.py</t>
        </is>
      </c>
      <c r="AI227" s="49" t="inlineStr">
        <is>
          <t>Experimentos/runs/E5_v5_clean_20260330_092959/parametros_run.json</t>
        </is>
      </c>
      <c r="AJ227" s="49" t="inlineStr">
        <is>
          <t>Experimentos/runs/E5_v5_clean_20260330_092959/metricas_horizonte.json</t>
        </is>
      </c>
      <c r="AK227" s="49" t="inlineStr">
        <is>
          <t>2026-03-30 09:29:59</t>
        </is>
      </c>
      <c r="AL227" s="49" t="inlineStr">
        <is>
          <t>regresion</t>
        </is>
      </c>
      <c r="AM227" s="49" t="n"/>
      <c r="AN227" s="49" t="n"/>
      <c r="AO227" s="49" t="n"/>
      <c r="AP227" s="49" t="n"/>
      <c r="AQ227" s="49" t="n"/>
      <c r="AR227" s="49" t="n"/>
      <c r="AS227" s="49" t="n"/>
      <c r="AT227" s="49" t="n"/>
      <c r="AU227" s="49" t="n"/>
      <c r="AV227" s="49" t="n"/>
      <c r="AW227" s="49" t="n"/>
      <c r="AX227" s="49" t="n"/>
      <c r="AY227" s="49" t="n">
        <v>0.08214022861483132</v>
      </c>
    </row>
    <row r="228" ht="15" customHeight="1" s="27">
      <c r="A228" s="49" t="inlineStr">
        <is>
          <t>2026-03-30 09:29:59</t>
        </is>
      </c>
      <c r="B228" s="49" t="inlineStr">
        <is>
          <t>E5_v5_clean</t>
        </is>
      </c>
      <c r="C228" s="50" t="inlineStr">
        <is>
          <t>E5</t>
        </is>
      </c>
      <c r="D228" s="50" t="inlineStr">
        <is>
          <t>arboles_boosting</t>
        </is>
      </c>
      <c r="E228" s="50" t="inlineStr">
        <is>
          <t>catboost_regressor</t>
        </is>
      </c>
      <c r="F228" s="50" t="n">
        <v>3</v>
      </c>
      <c r="G228" s="49" t="inlineStr">
        <is>
          <t>nivel</t>
        </is>
      </c>
      <c r="H228" s="50" t="inlineStr">
        <is>
          <t>y_t + lags [1, 2, 3, 4, 5, 6]</t>
        </is>
      </c>
      <c r="I228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228" s="50" t="inlineStr">
        <is>
          <t>sin_escalar</t>
        </is>
      </c>
      <c r="K228" s="50" t="inlineStr">
        <is>
          <t>all</t>
        </is>
      </c>
      <c r="L228" s="50" t="inlineStr">
        <is>
          <t>walk-forward_expanding</t>
        </is>
      </c>
      <c r="M228" s="49" t="inlineStr">
        <is>
          <t>2024-10-14 a 2026-03-02</t>
        </is>
      </c>
      <c r="N228" s="49" t="inlineStr">
        <is>
          <t>{"feature_candidates": 83, "feature_mode": "all", "horizon": 3, "initial_train_size": 40, "lags": [1, 2, 3, 4, 5, 6], "model": "catboost_regressor", "model_params": {"depth": 5, "inner_splits": 3, "iterations": 300, "l2_leaf_reg": 5.0, "learning_rate": 0.05, "loss_function": "RMSE", "param_grid": {"depth": [5], "iterations": [250, 300], "l2_leaf_reg": [5.0, 7.0], "learning_rate": [0.04, 0.05]}, "random_seed": 42, "subsample": 0.8, "tuning_metric": "mae", "tuning_strategy": "tscv_param_grid_temporal", "uses_categorical_features": false, "uses_scaling": false}, "rows_eval": 24, "rows_modeling": 64, "selected_feature_count_avg": 83.0, "target_mode": "nivel", "transform_mode": ""}</t>
        </is>
      </c>
      <c r="O228" s="51" t="n">
        <v>0.35</v>
      </c>
      <c r="P228" s="51" t="n">
        <v>0.25</v>
      </c>
      <c r="Q228" s="51" t="n">
        <v>0.25</v>
      </c>
      <c r="R228" s="51" t="n">
        <v>0.1</v>
      </c>
      <c r="S228" s="52" t="n">
        <v>0.3</v>
      </c>
      <c r="T228" s="53" t="n">
        <v>0.1705267998145555</v>
      </c>
      <c r="U228" s="53" t="n">
        <v>0.2083333333333334</v>
      </c>
      <c r="V228" s="53" t="n">
        <v>0.1818181818181818</v>
      </c>
      <c r="W228" s="53" t="n">
        <v>0.7083333333333334</v>
      </c>
      <c r="X228" s="54" t="n">
        <v>0.06841667761689196</v>
      </c>
      <c r="Y228" s="53" t="n">
        <v>0.1049224230137978</v>
      </c>
      <c r="Z228" s="53" t="n">
        <v>0.1370928080097316</v>
      </c>
      <c r="AA228" s="55" t="n">
        <v>0.7916666666666666</v>
      </c>
      <c r="AB228" s="55" t="n">
        <v>0.8181818181818182</v>
      </c>
      <c r="AC228" s="49" t="inlineStr">
        <is>
          <t>corrido</t>
        </is>
      </c>
      <c r="AD228" s="49" t="inlineStr">
        <is>
          <t>CatBoost limpio con walk-forward temporal | hipotesis=catboost_tuning_focal_learningrate_l2 | tuning temporal interno | metric=mae | inner_splits=3 | sin escalado por naturaleza basada en arboles | sin variables categoricas explicitas, operando sobre features numericas</t>
        </is>
      </c>
      <c r="AE228" s="49" t="inlineStr">
        <is>
          <t>run_e5_catboost.py</t>
        </is>
      </c>
      <c r="AF228" s="49" t="inlineStr">
        <is>
          <t>Scripts/Modeling/run_e5_catboost.py</t>
        </is>
      </c>
      <c r="AG228" s="49" t="inlineStr">
        <is>
          <t>Experimentos/runs/E5_v5_clean_20260330_092959</t>
        </is>
      </c>
      <c r="AH228" s="49" t="inlineStr">
        <is>
          <t>Experimentos/runs/E5_v5_clean_20260330_092959/scripts/run_e5_catboost.py</t>
        </is>
      </c>
      <c r="AI228" s="49" t="inlineStr">
        <is>
          <t>Experimentos/runs/E5_v5_clean_20260330_092959/parametros_run.json</t>
        </is>
      </c>
      <c r="AJ228" s="49" t="inlineStr">
        <is>
          <t>Experimentos/runs/E5_v5_clean_20260330_092959/metricas_horizonte.json</t>
        </is>
      </c>
      <c r="AK228" s="49" t="inlineStr">
        <is>
          <t>2026-03-30 09:29:59</t>
        </is>
      </c>
      <c r="AL228" s="49" t="inlineStr">
        <is>
          <t>regresion</t>
        </is>
      </c>
      <c r="AM228" s="49" t="n"/>
      <c r="AN228" s="49" t="n"/>
      <c r="AO228" s="49" t="n"/>
      <c r="AP228" s="49" t="n"/>
      <c r="AQ228" s="49" t="n"/>
      <c r="AR228" s="49" t="n"/>
      <c r="AS228" s="49" t="n"/>
      <c r="AT228" s="49" t="n"/>
      <c r="AU228" s="49" t="n"/>
      <c r="AV228" s="49" t="n"/>
      <c r="AW228" s="49" t="n"/>
      <c r="AX228" s="49" t="n"/>
      <c r="AY228" s="49" t="n">
        <v>0.06841667761689196</v>
      </c>
    </row>
    <row r="229" ht="15" customHeight="1" s="27">
      <c r="A229" s="49" t="inlineStr">
        <is>
          <t>2026-03-30 09:29:59</t>
        </is>
      </c>
      <c r="B229" s="49" t="inlineStr">
        <is>
          <t>E5_v5_clean</t>
        </is>
      </c>
      <c r="C229" s="50" t="inlineStr">
        <is>
          <t>E5</t>
        </is>
      </c>
      <c r="D229" s="50" t="inlineStr">
        <is>
          <t>arboles_boosting</t>
        </is>
      </c>
      <c r="E229" s="50" t="inlineStr">
        <is>
          <t>catboost_regressor</t>
        </is>
      </c>
      <c r="F229" s="50" t="n">
        <v>4</v>
      </c>
      <c r="G229" s="49" t="inlineStr">
        <is>
          <t>nivel</t>
        </is>
      </c>
      <c r="H229" s="50" t="inlineStr">
        <is>
          <t>y_t + lags [1, 2, 3, 4, 5, 6]</t>
        </is>
      </c>
      <c r="I229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229" s="50" t="inlineStr">
        <is>
          <t>sin_escalar</t>
        </is>
      </c>
      <c r="K229" s="50" t="inlineStr">
        <is>
          <t>all</t>
        </is>
      </c>
      <c r="L229" s="50" t="inlineStr">
        <is>
          <t>walk-forward_expanding</t>
        </is>
      </c>
      <c r="M229" s="49" t="inlineStr">
        <is>
          <t>2024-10-14 a 2026-03-02</t>
        </is>
      </c>
      <c r="N229" s="49" t="inlineStr">
        <is>
          <t>{"feature_candidates": 83, "feature_mode": "all", "horizon": 4, "initial_train_size": 40, "lags": [1, 2, 3, 4, 5, 6], "model": "catboost_regressor", "model_params": {"depth": 5, "inner_splits": 3, "iterations": 300, "l2_leaf_reg": 5.0, "learning_rate": 0.05, "loss_function": "RMSE", "param_grid": {"depth": [5], "iterations": [250, 300], "l2_leaf_reg": [5.0, 7.0], "learning_rate": [0.04, 0.05]}, "random_seed": 42, "subsample": 0.8, "tuning_metric": "mae", "tuning_strategy": "tscv_param_grid_temporal", "uses_categorical_features": false, "uses_scaling": false}, "rows_eval": 23, "rows_modeling": 63, "selected_feature_count_avg": 83.0, "target_mode": "nivel", "transform_mode": ""}</t>
        </is>
      </c>
      <c r="O229" s="51" t="n">
        <v>0.35</v>
      </c>
      <c r="P229" s="51" t="n">
        <v>0.25</v>
      </c>
      <c r="Q229" s="51" t="n">
        <v>0.25</v>
      </c>
      <c r="R229" s="51" t="n">
        <v>0.1</v>
      </c>
      <c r="S229" s="52" t="n">
        <v>0.15</v>
      </c>
      <c r="T229" s="53" t="n">
        <v>0.1666012891602061</v>
      </c>
      <c r="U229" s="53" t="n">
        <v>0.3043478260869565</v>
      </c>
      <c r="V229" s="53" t="n">
        <v>0.3333333333333334</v>
      </c>
      <c r="W229" s="53" t="n">
        <v>0.6086956521739131</v>
      </c>
      <c r="X229" s="54" t="n">
        <v>0.04179004594178039</v>
      </c>
      <c r="Y229" s="53" t="n">
        <v>0.1025071188512338</v>
      </c>
      <c r="Z229" s="53" t="n">
        <v>0.1444945661167726</v>
      </c>
      <c r="AA229" s="55" t="n">
        <v>0.6956521739130435</v>
      </c>
      <c r="AB229" s="55" t="n">
        <v>0.6666666666666666</v>
      </c>
      <c r="AC229" s="49" t="inlineStr">
        <is>
          <t>corrido</t>
        </is>
      </c>
      <c r="AD229" s="49" t="inlineStr">
        <is>
          <t>CatBoost limpio con walk-forward temporal | hipotesis=catboost_tuning_focal_learningrate_l2 | tuning temporal interno | metric=mae | inner_splits=3 | sin escalado por naturaleza basada en arboles | sin variables categoricas explicitas, operando sobre features numericas</t>
        </is>
      </c>
      <c r="AE229" s="49" t="inlineStr">
        <is>
          <t>run_e5_catboost.py</t>
        </is>
      </c>
      <c r="AF229" s="49" t="inlineStr">
        <is>
          <t>Scripts/Modeling/run_e5_catboost.py</t>
        </is>
      </c>
      <c r="AG229" s="49" t="inlineStr">
        <is>
          <t>Experimentos/runs/E5_v5_clean_20260330_092959</t>
        </is>
      </c>
      <c r="AH229" s="49" t="inlineStr">
        <is>
          <t>Experimentos/runs/E5_v5_clean_20260330_092959/scripts/run_e5_catboost.py</t>
        </is>
      </c>
      <c r="AI229" s="49" t="inlineStr">
        <is>
          <t>Experimentos/runs/E5_v5_clean_20260330_092959/parametros_run.json</t>
        </is>
      </c>
      <c r="AJ229" s="49" t="inlineStr">
        <is>
          <t>Experimentos/runs/E5_v5_clean_20260330_092959/metricas_horizonte.json</t>
        </is>
      </c>
      <c r="AK229" s="49" t="inlineStr">
        <is>
          <t>2026-03-30 09:29:59</t>
        </is>
      </c>
      <c r="AL229" s="49" t="inlineStr">
        <is>
          <t>regresion</t>
        </is>
      </c>
      <c r="AM229" s="49" t="n"/>
      <c r="AN229" s="49" t="n"/>
      <c r="AO229" s="49" t="n"/>
      <c r="AP229" s="49" t="n"/>
      <c r="AQ229" s="49" t="n"/>
      <c r="AR229" s="49" t="n"/>
      <c r="AS229" s="49" t="n"/>
      <c r="AT229" s="49" t="n"/>
      <c r="AU229" s="49" t="n"/>
      <c r="AV229" s="49" t="n"/>
      <c r="AW229" s="49" t="n"/>
      <c r="AX229" s="49" t="n"/>
      <c r="AY229" s="49" t="n">
        <v>0.04179004594178039</v>
      </c>
    </row>
    <row r="230" ht="15" customHeight="1" s="27">
      <c r="A230" s="49" t="inlineStr">
        <is>
          <t>2026-03-30 09:56:26</t>
        </is>
      </c>
      <c r="B230" s="49" t="inlineStr">
        <is>
          <t>E6_v1_clean</t>
        </is>
      </c>
      <c r="C230" s="50" t="inlineStr">
        <is>
          <t>E6</t>
        </is>
      </c>
      <c r="D230" s="50" t="inlineStr">
        <is>
          <t>series_tiempo_exogenas</t>
        </is>
      </c>
      <c r="E230" s="50" t="inlineStr">
        <is>
          <t>sarimax_regressor</t>
        </is>
      </c>
      <c r="F230" s="50" t="n">
        <v>1</v>
      </c>
      <c r="G230" s="49" t="inlineStr">
        <is>
          <t>nivel</t>
        </is>
      </c>
      <c r="H230" s="50" t="inlineStr">
        <is>
          <t>y_t + lags [1, 2, 3, 4, 5, 6]</t>
        </is>
      </c>
      <c r="I230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230" s="50" t="inlineStr">
        <is>
          <t>sin_escalar</t>
        </is>
      </c>
      <c r="K230" s="50" t="inlineStr">
        <is>
          <t>corr</t>
        </is>
      </c>
      <c r="L230" s="50" t="inlineStr">
        <is>
          <t>walk-forward_expanding</t>
        </is>
      </c>
      <c r="M230" s="49" t="inlineStr">
        <is>
          <t>2024-10-14 a 2026-03-02</t>
        </is>
      </c>
      <c r="N230" s="49" t="inlineStr">
        <is>
          <t>{"feature_candidates": 83, "feature_mode": "corr", "horizon": 1, "initial_train_size": 40, "lags": [1, 2, 3, 4, 5, 6], "model": "sarimax_regressor", "model_params": {"maxiter": 200, "order": [1, 0, 1], "trend": "c", "tuning_strategy": "baseline_fijo_sin_tuning_interno", "uses_categorical_features": false, "uses_scaling": false}, "rows_eval": 26, "rows_modeling": 66, "selected_feature_count_avg": 30.0, "target_mode": "nivel", "transform_mode": ""}</t>
        </is>
      </c>
      <c r="O230" s="51" t="n">
        <v>0.35</v>
      </c>
      <c r="P230" s="51" t="n">
        <v>0.25</v>
      </c>
      <c r="Q230" s="51" t="n">
        <v>0.25</v>
      </c>
      <c r="R230" s="51" t="n">
        <v>0.1</v>
      </c>
      <c r="S230" s="52" t="n">
        <v>0.3</v>
      </c>
      <c r="T230" s="53" t="n">
        <v>0.2695597234280527</v>
      </c>
      <c r="U230" s="53" t="n">
        <v>0.3846153846153846</v>
      </c>
      <c r="V230" s="53" t="n">
        <v>0.4166666666666666</v>
      </c>
      <c r="W230" s="53" t="n">
        <v>0.8461538461538461</v>
      </c>
      <c r="X230" s="54" t="n">
        <v>0.1137845401907148</v>
      </c>
      <c r="Y230" s="53" t="n">
        <v>0.1658558030746929</v>
      </c>
      <c r="Z230" s="53" t="n">
        <v>0.1944548344793336</v>
      </c>
      <c r="AA230" s="55" t="n">
        <v>0.6153846153846154</v>
      </c>
      <c r="AB230" s="55" t="n">
        <v>0.5833333333333334</v>
      </c>
      <c r="AC230" s="49" t="inlineStr">
        <is>
          <t>corrido</t>
        </is>
      </c>
      <c r="AD230" s="49" t="inlineStr">
        <is>
          <t>ARIMAX/SARIMAX con exogenas bajo walk-forward temporal | hipotesis=arimax_baseline_corr | order=(1,0,1) trend=c | baseline fijo sin tuning interno | sin escalado | seleccion de exogenas restringida al train de cada fold externo</t>
        </is>
      </c>
      <c r="AE230" s="49" t="inlineStr">
        <is>
          <t>run_e6_arimax.py</t>
        </is>
      </c>
      <c r="AF230" s="49" t="inlineStr">
        <is>
          <t>Scripts/Modeling/run_e6_arimax.py</t>
        </is>
      </c>
      <c r="AG230" s="49" t="inlineStr">
        <is>
          <t>Experimentos/runs/E6_v1_clean_20260330_095626</t>
        </is>
      </c>
      <c r="AH230" s="49" t="inlineStr">
        <is>
          <t>Experimentos/runs/E6_v1_clean_20260330_095626/scripts/run_e6_arimax.py</t>
        </is>
      </c>
      <c r="AI230" s="49" t="inlineStr">
        <is>
          <t>Experimentos/runs/E6_v1_clean_20260330_095626/parametros_run.json</t>
        </is>
      </c>
      <c r="AJ230" s="49" t="inlineStr">
        <is>
          <t>Experimentos/runs/E6_v1_clean_20260330_095626/metricas_horizonte.json</t>
        </is>
      </c>
      <c r="AK230" s="49" t="inlineStr">
        <is>
          <t>2026-03-30 09:56:26</t>
        </is>
      </c>
      <c r="AL230" s="49" t="inlineStr">
        <is>
          <t>regresion</t>
        </is>
      </c>
      <c r="AM230" s="49" t="n"/>
      <c r="AN230" s="49" t="n"/>
      <c r="AO230" s="49" t="n"/>
      <c r="AP230" s="49" t="n"/>
      <c r="AQ230" s="49" t="n"/>
      <c r="AR230" s="49" t="n"/>
      <c r="AS230" s="49" t="n"/>
      <c r="AT230" s="49" t="n"/>
      <c r="AU230" s="49" t="n"/>
      <c r="AV230" s="49" t="n"/>
      <c r="AW230" s="49" t="n"/>
      <c r="AX230" s="49" t="n"/>
      <c r="AY230" s="49" t="n">
        <v>0.1137845401907148</v>
      </c>
    </row>
    <row r="231" ht="15" customHeight="1" s="27">
      <c r="A231" s="49" t="inlineStr">
        <is>
          <t>2026-03-30 09:56:26</t>
        </is>
      </c>
      <c r="B231" s="49" t="inlineStr">
        <is>
          <t>E6_v1_clean</t>
        </is>
      </c>
      <c r="C231" s="50" t="inlineStr">
        <is>
          <t>E6</t>
        </is>
      </c>
      <c r="D231" s="50" t="inlineStr">
        <is>
          <t>series_tiempo_exogenas</t>
        </is>
      </c>
      <c r="E231" s="50" t="inlineStr">
        <is>
          <t>sarimax_regressor</t>
        </is>
      </c>
      <c r="F231" s="50" t="n">
        <v>2</v>
      </c>
      <c r="G231" s="49" t="inlineStr">
        <is>
          <t>nivel</t>
        </is>
      </c>
      <c r="H231" s="50" t="inlineStr">
        <is>
          <t>y_t + lags [1, 2, 3, 4, 5, 6]</t>
        </is>
      </c>
      <c r="I231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231" s="50" t="inlineStr">
        <is>
          <t>sin_escalar</t>
        </is>
      </c>
      <c r="K231" s="50" t="inlineStr">
        <is>
          <t>corr</t>
        </is>
      </c>
      <c r="L231" s="50" t="inlineStr">
        <is>
          <t>walk-forward_expanding</t>
        </is>
      </c>
      <c r="M231" s="49" t="inlineStr">
        <is>
          <t>2024-10-14 a 2026-03-02</t>
        </is>
      </c>
      <c r="N231" s="49" t="inlineStr">
        <is>
          <t>{"feature_candidates": 83, "feature_mode": "corr", "horizon": 2, "initial_train_size": 40, "lags": [1, 2, 3, 4, 5, 6], "model": "sarimax_regressor", "model_params": {"maxiter": 200, "order": [1, 0, 1], "trend": "c", "tuning_strategy": "baseline_fijo_sin_tuning_interno", "uses_categorical_features": false, "uses_scaling": false}, "rows_eval": 25, "rows_modeling": 65, "selected_feature_count_avg": 30.0, "target_mode": "nivel", "transform_mode": ""}</t>
        </is>
      </c>
      <c r="O231" s="51" t="n">
        <v>0.35</v>
      </c>
      <c r="P231" s="51" t="n">
        <v>0.25</v>
      </c>
      <c r="Q231" s="51" t="n">
        <v>0.25</v>
      </c>
      <c r="R231" s="51" t="n">
        <v>0.1</v>
      </c>
      <c r="S231" s="52" t="n">
        <v>0.25</v>
      </c>
      <c r="T231" s="53" t="n">
        <v>0.2750078683017331</v>
      </c>
      <c r="U231" s="53" t="n">
        <v>0.48</v>
      </c>
      <c r="V231" s="53" t="n">
        <v>0.09999999999999998</v>
      </c>
      <c r="W231" s="53" t="n">
        <v>0.84</v>
      </c>
      <c r="X231" s="54" t="n">
        <v>0.08131318847640163</v>
      </c>
      <c r="Y231" s="53" t="n">
        <v>0.1692079598130964</v>
      </c>
      <c r="Z231" s="53" t="n">
        <v>0.1993663657913141</v>
      </c>
      <c r="AA231" s="55" t="n">
        <v>0.52</v>
      </c>
      <c r="AB231" s="55" t="n">
        <v>0.9</v>
      </c>
      <c r="AC231" s="49" t="inlineStr">
        <is>
          <t>corrido</t>
        </is>
      </c>
      <c r="AD231" s="49" t="inlineStr">
        <is>
          <t>ARIMAX/SARIMAX con exogenas bajo walk-forward temporal | hipotesis=arimax_baseline_corr | order=(1,0,1) trend=c | baseline fijo sin tuning interno | sin escalado | seleccion de exogenas restringida al train de cada fold externo</t>
        </is>
      </c>
      <c r="AE231" s="49" t="inlineStr">
        <is>
          <t>run_e6_arimax.py</t>
        </is>
      </c>
      <c r="AF231" s="49" t="inlineStr">
        <is>
          <t>Scripts/Modeling/run_e6_arimax.py</t>
        </is>
      </c>
      <c r="AG231" s="49" t="inlineStr">
        <is>
          <t>Experimentos/runs/E6_v1_clean_20260330_095626</t>
        </is>
      </c>
      <c r="AH231" s="49" t="inlineStr">
        <is>
          <t>Experimentos/runs/E6_v1_clean_20260330_095626/scripts/run_e6_arimax.py</t>
        </is>
      </c>
      <c r="AI231" s="49" t="inlineStr">
        <is>
          <t>Experimentos/runs/E6_v1_clean_20260330_095626/parametros_run.json</t>
        </is>
      </c>
      <c r="AJ231" s="49" t="inlineStr">
        <is>
          <t>Experimentos/runs/E6_v1_clean_20260330_095626/metricas_horizonte.json</t>
        </is>
      </c>
      <c r="AK231" s="49" t="inlineStr">
        <is>
          <t>2026-03-30 09:56:26</t>
        </is>
      </c>
      <c r="AL231" s="49" t="inlineStr">
        <is>
          <t>regresion</t>
        </is>
      </c>
      <c r="AM231" s="49" t="n"/>
      <c r="AN231" s="49" t="n"/>
      <c r="AO231" s="49" t="n"/>
      <c r="AP231" s="49" t="n"/>
      <c r="AQ231" s="49" t="n"/>
      <c r="AR231" s="49" t="n"/>
      <c r="AS231" s="49" t="n"/>
      <c r="AT231" s="49" t="n"/>
      <c r="AU231" s="49" t="n"/>
      <c r="AV231" s="49" t="n"/>
      <c r="AW231" s="49" t="n"/>
      <c r="AX231" s="49" t="n"/>
      <c r="AY231" s="49" t="n">
        <v>0.08131318847640163</v>
      </c>
    </row>
    <row r="232" ht="15" customHeight="1" s="27">
      <c r="A232" s="49" t="inlineStr">
        <is>
          <t>2026-03-30 09:56:26</t>
        </is>
      </c>
      <c r="B232" s="49" t="inlineStr">
        <is>
          <t>E6_v1_clean</t>
        </is>
      </c>
      <c r="C232" s="50" t="inlineStr">
        <is>
          <t>E6</t>
        </is>
      </c>
      <c r="D232" s="50" t="inlineStr">
        <is>
          <t>series_tiempo_exogenas</t>
        </is>
      </c>
      <c r="E232" s="50" t="inlineStr">
        <is>
          <t>sarimax_regressor</t>
        </is>
      </c>
      <c r="F232" s="50" t="n">
        <v>3</v>
      </c>
      <c r="G232" s="49" t="inlineStr">
        <is>
          <t>nivel</t>
        </is>
      </c>
      <c r="H232" s="50" t="inlineStr">
        <is>
          <t>y_t + lags [1, 2, 3, 4, 5, 6]</t>
        </is>
      </c>
      <c r="I232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232" s="50" t="inlineStr">
        <is>
          <t>sin_escalar</t>
        </is>
      </c>
      <c r="K232" s="50" t="inlineStr">
        <is>
          <t>corr</t>
        </is>
      </c>
      <c r="L232" s="50" t="inlineStr">
        <is>
          <t>walk-forward_expanding</t>
        </is>
      </c>
      <c r="M232" s="49" t="inlineStr">
        <is>
          <t>2024-10-14 a 2026-03-02</t>
        </is>
      </c>
      <c r="N232" s="49" t="inlineStr">
        <is>
          <t>{"feature_candidates": 83, "feature_mode": "corr", "horizon": 3, "initial_train_size": 40, "lags": [1, 2, 3, 4, 5, 6], "model": "sarimax_regressor", "model_params": {"maxiter": 200, "order": [1, 0, 1], "trend": "c", "tuning_strategy": "baseline_fijo_sin_tuning_interno", "uses_categorical_features": false, "uses_scaling": false}, "rows_eval": 24, "rows_modeling": 64, "selected_feature_count_avg": 30.0, "target_mode": "nivel", "transform_mode": ""}</t>
        </is>
      </c>
      <c r="O232" s="51" t="n">
        <v>0.35</v>
      </c>
      <c r="P232" s="51" t="n">
        <v>0.25</v>
      </c>
      <c r="Q232" s="51" t="n">
        <v>0.25</v>
      </c>
      <c r="R232" s="51" t="n">
        <v>0.1</v>
      </c>
      <c r="S232" s="52" t="n">
        <v>0.3</v>
      </c>
      <c r="T232" s="53" t="n">
        <v>0.286626125964392</v>
      </c>
      <c r="U232" s="53" t="n">
        <v>0.375</v>
      </c>
      <c r="V232" s="53" t="n">
        <v>0.2727272727272727</v>
      </c>
      <c r="W232" s="53" t="n">
        <v>0.9166666666666666</v>
      </c>
      <c r="X232" s="54" t="n">
        <v>0.1061752886808066</v>
      </c>
      <c r="Y232" s="53" t="n">
        <v>0.1763564886454585</v>
      </c>
      <c r="Z232" s="53" t="n">
        <v>0.2128662092365056</v>
      </c>
      <c r="AA232" s="55" t="n">
        <v>0.625</v>
      </c>
      <c r="AB232" s="55" t="n">
        <v>0.7272727272727273</v>
      </c>
      <c r="AC232" s="49" t="inlineStr">
        <is>
          <t>corrido</t>
        </is>
      </c>
      <c r="AD232" s="49" t="inlineStr">
        <is>
          <t>ARIMAX/SARIMAX con exogenas bajo walk-forward temporal | hipotesis=arimax_baseline_corr | order=(1,0,1) trend=c | baseline fijo sin tuning interno | sin escalado | seleccion de exogenas restringida al train de cada fold externo</t>
        </is>
      </c>
      <c r="AE232" s="49" t="inlineStr">
        <is>
          <t>run_e6_arimax.py</t>
        </is>
      </c>
      <c r="AF232" s="49" t="inlineStr">
        <is>
          <t>Scripts/Modeling/run_e6_arimax.py</t>
        </is>
      </c>
      <c r="AG232" s="49" t="inlineStr">
        <is>
          <t>Experimentos/runs/E6_v1_clean_20260330_095626</t>
        </is>
      </c>
      <c r="AH232" s="49" t="inlineStr">
        <is>
          <t>Experimentos/runs/E6_v1_clean_20260330_095626/scripts/run_e6_arimax.py</t>
        </is>
      </c>
      <c r="AI232" s="49" t="inlineStr">
        <is>
          <t>Experimentos/runs/E6_v1_clean_20260330_095626/parametros_run.json</t>
        </is>
      </c>
      <c r="AJ232" s="49" t="inlineStr">
        <is>
          <t>Experimentos/runs/E6_v1_clean_20260330_095626/metricas_horizonte.json</t>
        </is>
      </c>
      <c r="AK232" s="49" t="inlineStr">
        <is>
          <t>2026-03-30 09:56:26</t>
        </is>
      </c>
      <c r="AL232" s="49" t="inlineStr">
        <is>
          <t>regresion</t>
        </is>
      </c>
      <c r="AM232" s="49" t="n"/>
      <c r="AN232" s="49" t="n"/>
      <c r="AO232" s="49" t="n"/>
      <c r="AP232" s="49" t="n"/>
      <c r="AQ232" s="49" t="n"/>
      <c r="AR232" s="49" t="n"/>
      <c r="AS232" s="49" t="n"/>
      <c r="AT232" s="49" t="n"/>
      <c r="AU232" s="49" t="n"/>
      <c r="AV232" s="49" t="n"/>
      <c r="AW232" s="49" t="n"/>
      <c r="AX232" s="49" t="n"/>
      <c r="AY232" s="49" t="n">
        <v>0.1061752886808066</v>
      </c>
    </row>
    <row r="233" ht="15" customHeight="1" s="27">
      <c r="A233" s="49" t="inlineStr">
        <is>
          <t>2026-03-30 09:56:26</t>
        </is>
      </c>
      <c r="B233" s="49" t="inlineStr">
        <is>
          <t>E6_v1_clean</t>
        </is>
      </c>
      <c r="C233" s="50" t="inlineStr">
        <is>
          <t>E6</t>
        </is>
      </c>
      <c r="D233" s="50" t="inlineStr">
        <is>
          <t>series_tiempo_exogenas</t>
        </is>
      </c>
      <c r="E233" s="50" t="inlineStr">
        <is>
          <t>sarimax_regressor</t>
        </is>
      </c>
      <c r="F233" s="50" t="n">
        <v>4</v>
      </c>
      <c r="G233" s="49" t="inlineStr">
        <is>
          <t>nivel</t>
        </is>
      </c>
      <c r="H233" s="50" t="inlineStr">
        <is>
          <t>y_t + lags [1, 2, 3, 4, 5, 6]</t>
        </is>
      </c>
      <c r="I233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233" s="50" t="inlineStr">
        <is>
          <t>sin_escalar</t>
        </is>
      </c>
      <c r="K233" s="50" t="inlineStr">
        <is>
          <t>corr</t>
        </is>
      </c>
      <c r="L233" s="50" t="inlineStr">
        <is>
          <t>walk-forward_expanding</t>
        </is>
      </c>
      <c r="M233" s="49" t="inlineStr">
        <is>
          <t>2024-10-14 a 2026-03-02</t>
        </is>
      </c>
      <c r="N233" s="49" t="inlineStr">
        <is>
          <t>{"feature_candidates": 83, "feature_mode": "corr", "horizon": 4, "initial_train_size": 40, "lags": [1, 2, 3, 4, 5, 6], "model": "sarimax_regressor", "model_params": {"maxiter": 200, "order": [1, 0, 1], "trend": "c", "tuning_strategy": "baseline_fijo_sin_tuning_interno", "uses_categorical_features": false, "uses_scaling": false}, "rows_eval": 23, "rows_modeling": 63, "selected_feature_count_avg": 30.0, "target_mode": "nivel", "transform_mode": ""}</t>
        </is>
      </c>
      <c r="O233" s="51" t="n">
        <v>0.35</v>
      </c>
      <c r="P233" s="51" t="n">
        <v>0.25</v>
      </c>
      <c r="Q233" s="51" t="n">
        <v>0.25</v>
      </c>
      <c r="R233" s="51" t="n">
        <v>0.1</v>
      </c>
      <c r="S233" s="52" t="n">
        <v>0.15</v>
      </c>
      <c r="T233" s="53" t="n">
        <v>0.4124585820665213</v>
      </c>
      <c r="U233" s="53" t="n">
        <v>0.5652173913043479</v>
      </c>
      <c r="V233" s="53" t="n">
        <v>0.3333333333333334</v>
      </c>
      <c r="W233" s="53" t="n">
        <v>0.9130434782608695</v>
      </c>
      <c r="X233" s="54" t="n">
        <v>0.06904537990631845</v>
      </c>
      <c r="Y233" s="53" t="n">
        <v>0.2537791940640224</v>
      </c>
      <c r="Z233" s="53" t="n">
        <v>0.2967173818475075</v>
      </c>
      <c r="AA233" s="55" t="n">
        <v>0.4347826086956522</v>
      </c>
      <c r="AB233" s="55" t="n">
        <v>0.6666666666666666</v>
      </c>
      <c r="AC233" s="49" t="inlineStr">
        <is>
          <t>corrido</t>
        </is>
      </c>
      <c r="AD233" s="49" t="inlineStr">
        <is>
          <t>ARIMAX/SARIMAX con exogenas bajo walk-forward temporal | hipotesis=arimax_baseline_corr | order=(1,0,1) trend=c | baseline fijo sin tuning interno | sin escalado | seleccion de exogenas restringida al train de cada fold externo</t>
        </is>
      </c>
      <c r="AE233" s="49" t="inlineStr">
        <is>
          <t>run_e6_arimax.py</t>
        </is>
      </c>
      <c r="AF233" s="49" t="inlineStr">
        <is>
          <t>Scripts/Modeling/run_e6_arimax.py</t>
        </is>
      </c>
      <c r="AG233" s="49" t="inlineStr">
        <is>
          <t>Experimentos/runs/E6_v1_clean_20260330_095626</t>
        </is>
      </c>
      <c r="AH233" s="49" t="inlineStr">
        <is>
          <t>Experimentos/runs/E6_v1_clean_20260330_095626/scripts/run_e6_arimax.py</t>
        </is>
      </c>
      <c r="AI233" s="49" t="inlineStr">
        <is>
          <t>Experimentos/runs/E6_v1_clean_20260330_095626/parametros_run.json</t>
        </is>
      </c>
      <c r="AJ233" s="49" t="inlineStr">
        <is>
          <t>Experimentos/runs/E6_v1_clean_20260330_095626/metricas_horizonte.json</t>
        </is>
      </c>
      <c r="AK233" s="49" t="inlineStr">
        <is>
          <t>2026-03-30 09:56:26</t>
        </is>
      </c>
      <c r="AL233" s="49" t="inlineStr">
        <is>
          <t>regresion</t>
        </is>
      </c>
      <c r="AM233" s="49" t="n"/>
      <c r="AN233" s="49" t="n"/>
      <c r="AO233" s="49" t="n"/>
      <c r="AP233" s="49" t="n"/>
      <c r="AQ233" s="49" t="n"/>
      <c r="AR233" s="49" t="n"/>
      <c r="AS233" s="49" t="n"/>
      <c r="AT233" s="49" t="n"/>
      <c r="AU233" s="49" t="n"/>
      <c r="AV233" s="49" t="n"/>
      <c r="AW233" s="49" t="n"/>
      <c r="AX233" s="49" t="n"/>
      <c r="AY233" s="49" t="n">
        <v>0.06904537990631845</v>
      </c>
    </row>
    <row r="234" ht="15" customHeight="1" s="27">
      <c r="A234" s="49" t="inlineStr">
        <is>
          <t>2026-03-30 09:59:44</t>
        </is>
      </c>
      <c r="B234" s="49" t="inlineStr">
        <is>
          <t>E6_v2_clean</t>
        </is>
      </c>
      <c r="C234" s="50" t="inlineStr">
        <is>
          <t>E6</t>
        </is>
      </c>
      <c r="D234" s="50" t="inlineStr">
        <is>
          <t>series_tiempo_exogenas</t>
        </is>
      </c>
      <c r="E234" s="50" t="inlineStr">
        <is>
          <t>sarimax_regressor</t>
        </is>
      </c>
      <c r="F234" s="50" t="n">
        <v>1</v>
      </c>
      <c r="G234" s="49" t="inlineStr">
        <is>
          <t>nivel</t>
        </is>
      </c>
      <c r="H234" s="50" t="inlineStr">
        <is>
          <t>y_t + lags [1, 2, 3, 4, 5, 6]</t>
        </is>
      </c>
      <c r="I234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234" s="50" t="inlineStr">
        <is>
          <t>sin_escalar</t>
        </is>
      </c>
      <c r="K234" s="50" t="inlineStr">
        <is>
          <t>all</t>
        </is>
      </c>
      <c r="L234" s="50" t="inlineStr">
        <is>
          <t>walk-forward_expanding</t>
        </is>
      </c>
      <c r="M234" s="49" t="inlineStr">
        <is>
          <t>2024-10-14 a 2026-03-02</t>
        </is>
      </c>
      <c r="N234" s="49" t="inlineStr">
        <is>
          <t>{"feature_candidates": 83, "feature_mode": "all", "horizon": 1, "initial_train_size": 40, "lags": [1, 2, 3, 4, 5, 6], "model": "sarimax_regressor", "model_params": {"maxiter": 200, "order": [1, 0, 1], "trend": "c", "tuning_strategy": "baseline_fijo_sin_tuning_interno", "uses_categorical_features": false, "uses_scaling": false}, "rows_eval": 26, "rows_modeling": 66, "selected_feature_count_avg": 83.0, "target_mode": "nivel", "transform_mode": ""}</t>
        </is>
      </c>
      <c r="O234" s="51" t="n">
        <v>0.35</v>
      </c>
      <c r="P234" s="51" t="n">
        <v>0.25</v>
      </c>
      <c r="Q234" s="51" t="n">
        <v>0.25</v>
      </c>
      <c r="R234" s="51" t="n">
        <v>0.1</v>
      </c>
      <c r="S234" s="52" t="n">
        <v>0.3</v>
      </c>
      <c r="T234" s="53" t="n">
        <v>0.2469489987351877</v>
      </c>
      <c r="U234" s="53" t="n">
        <v>0.3846153846153846</v>
      </c>
      <c r="V234" s="53" t="n">
        <v>0.4166666666666666</v>
      </c>
      <c r="W234" s="53" t="n">
        <v>0.6153846153846154</v>
      </c>
      <c r="X234" s="54" t="n">
        <v>0.104487337174887</v>
      </c>
      <c r="Y234" s="53" t="n">
        <v>0.1519437844157301</v>
      </c>
      <c r="Z234" s="53" t="n">
        <v>0.2071390340719503</v>
      </c>
      <c r="AA234" s="55" t="n">
        <v>0.6153846153846154</v>
      </c>
      <c r="AB234" s="55" t="n">
        <v>0.5833333333333334</v>
      </c>
      <c r="AC234" s="49" t="inlineStr">
        <is>
          <t>corrido</t>
        </is>
      </c>
      <c r="AD234" s="49" t="inlineStr">
        <is>
          <t>ARIMAX/SARIMAX con exogenas bajo walk-forward temporal | hipotesis=arimax_all_vs_corr | order=(1,0,1) trend=c | baseline fijo sin tuning interno | sin escalado | seleccion de exogenas restringida al train de cada fold externo</t>
        </is>
      </c>
      <c r="AE234" s="49" t="inlineStr">
        <is>
          <t>run_e6_arimax.py</t>
        </is>
      </c>
      <c r="AF234" s="49" t="inlineStr">
        <is>
          <t>Scripts/Modeling/run_e6_arimax.py</t>
        </is>
      </c>
      <c r="AG234" s="49" t="inlineStr">
        <is>
          <t>Experimentos/runs/E6_v2_clean_20260330_095944</t>
        </is>
      </c>
      <c r="AH234" s="49" t="inlineStr">
        <is>
          <t>Experimentos/runs/E6_v2_clean_20260330_095944/scripts/run_e6_arimax.py</t>
        </is>
      </c>
      <c r="AI234" s="49" t="inlineStr">
        <is>
          <t>Experimentos/runs/E6_v2_clean_20260330_095944/parametros_run.json</t>
        </is>
      </c>
      <c r="AJ234" s="49" t="inlineStr">
        <is>
          <t>Experimentos/runs/E6_v2_clean_20260330_095944/metricas_horizonte.json</t>
        </is>
      </c>
      <c r="AK234" s="49" t="inlineStr">
        <is>
          <t>2026-03-30 09:59:44</t>
        </is>
      </c>
      <c r="AL234" s="49" t="inlineStr">
        <is>
          <t>regresion</t>
        </is>
      </c>
      <c r="AM234" s="49" t="n"/>
      <c r="AN234" s="49" t="n"/>
      <c r="AO234" s="49" t="n"/>
      <c r="AP234" s="49" t="n"/>
      <c r="AQ234" s="49" t="n"/>
      <c r="AR234" s="49" t="n"/>
      <c r="AS234" s="49" t="n"/>
      <c r="AT234" s="49" t="n"/>
      <c r="AU234" s="49" t="n"/>
      <c r="AV234" s="49" t="n"/>
      <c r="AW234" s="49" t="n"/>
      <c r="AX234" s="49" t="n"/>
      <c r="AY234" s="49" t="n">
        <v>0.104487337174887</v>
      </c>
    </row>
    <row r="235" ht="15" customHeight="1" s="27">
      <c r="A235" s="49" t="inlineStr">
        <is>
          <t>2026-03-30 09:59:44</t>
        </is>
      </c>
      <c r="B235" s="49" t="inlineStr">
        <is>
          <t>E6_v2_clean</t>
        </is>
      </c>
      <c r="C235" s="50" t="inlineStr">
        <is>
          <t>E6</t>
        </is>
      </c>
      <c r="D235" s="50" t="inlineStr">
        <is>
          <t>series_tiempo_exogenas</t>
        </is>
      </c>
      <c r="E235" s="50" t="inlineStr">
        <is>
          <t>sarimax_regressor</t>
        </is>
      </c>
      <c r="F235" s="50" t="n">
        <v>2</v>
      </c>
      <c r="G235" s="49" t="inlineStr">
        <is>
          <t>nivel</t>
        </is>
      </c>
      <c r="H235" s="50" t="inlineStr">
        <is>
          <t>y_t + lags [1, 2, 3, 4, 5, 6]</t>
        </is>
      </c>
      <c r="I235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235" s="50" t="inlineStr">
        <is>
          <t>sin_escalar</t>
        </is>
      </c>
      <c r="K235" s="50" t="inlineStr">
        <is>
          <t>all</t>
        </is>
      </c>
      <c r="L235" s="50" t="inlineStr">
        <is>
          <t>walk-forward_expanding</t>
        </is>
      </c>
      <c r="M235" s="49" t="inlineStr">
        <is>
          <t>2024-10-14 a 2026-03-02</t>
        </is>
      </c>
      <c r="N235" s="49" t="inlineStr">
        <is>
          <t>{"feature_candidates": 83, "feature_mode": "all", "horizon": 2, "initial_train_size": 40, "lags": [1, 2, 3, 4, 5, 6], "model": "sarimax_regressor", "model_params": {"maxiter": 200, "order": [1, 0, 1], "trend": "c", "tuning_strategy": "baseline_fijo_sin_tuning_interno", "uses_categorical_features": false, "uses_scaling": false}, "rows_eval": 25, "rows_modeling": 65, "selected_feature_count_avg": 83.0, "target_mode": "nivel", "transform_mode": ""}</t>
        </is>
      </c>
      <c r="O235" s="51" t="n">
        <v>0.35</v>
      </c>
      <c r="P235" s="51" t="n">
        <v>0.25</v>
      </c>
      <c r="Q235" s="51" t="n">
        <v>0.25</v>
      </c>
      <c r="R235" s="51" t="n">
        <v>0.1</v>
      </c>
      <c r="S235" s="52" t="n">
        <v>0.25</v>
      </c>
      <c r="T235" s="53" t="n">
        <v>0.4232257300688024</v>
      </c>
      <c r="U235" s="53" t="n">
        <v>0.64</v>
      </c>
      <c r="V235" s="53" t="n">
        <v>0.7</v>
      </c>
      <c r="W235" s="53" t="n">
        <v>0.84</v>
      </c>
      <c r="X235" s="54" t="n">
        <v>0.1417822513810202</v>
      </c>
      <c r="Y235" s="53" t="n">
        <v>0.2604040486826282</v>
      </c>
      <c r="Z235" s="53" t="n">
        <v>0.3302738601916567</v>
      </c>
      <c r="AA235" s="55" t="n">
        <v>0.36</v>
      </c>
      <c r="AB235" s="55" t="n">
        <v>0.3</v>
      </c>
      <c r="AC235" s="49" t="inlineStr">
        <is>
          <t>corrido</t>
        </is>
      </c>
      <c r="AD235" s="49" t="inlineStr">
        <is>
          <t>ARIMAX/SARIMAX con exogenas bajo walk-forward temporal | hipotesis=arimax_all_vs_corr | order=(1,0,1) trend=c | baseline fijo sin tuning interno | sin escalado | seleccion de exogenas restringida al train de cada fold externo</t>
        </is>
      </c>
      <c r="AE235" s="49" t="inlineStr">
        <is>
          <t>run_e6_arimax.py</t>
        </is>
      </c>
      <c r="AF235" s="49" t="inlineStr">
        <is>
          <t>Scripts/Modeling/run_e6_arimax.py</t>
        </is>
      </c>
      <c r="AG235" s="49" t="inlineStr">
        <is>
          <t>Experimentos/runs/E6_v2_clean_20260330_095944</t>
        </is>
      </c>
      <c r="AH235" s="49" t="inlineStr">
        <is>
          <t>Experimentos/runs/E6_v2_clean_20260330_095944/scripts/run_e6_arimax.py</t>
        </is>
      </c>
      <c r="AI235" s="49" t="inlineStr">
        <is>
          <t>Experimentos/runs/E6_v2_clean_20260330_095944/parametros_run.json</t>
        </is>
      </c>
      <c r="AJ235" s="49" t="inlineStr">
        <is>
          <t>Experimentos/runs/E6_v2_clean_20260330_095944/metricas_horizonte.json</t>
        </is>
      </c>
      <c r="AK235" s="49" t="inlineStr">
        <is>
          <t>2026-03-30 09:59:44</t>
        </is>
      </c>
      <c r="AL235" s="49" t="inlineStr">
        <is>
          <t>regresion</t>
        </is>
      </c>
      <c r="AM235" s="49" t="n"/>
      <c r="AN235" s="49" t="n"/>
      <c r="AO235" s="49" t="n"/>
      <c r="AP235" s="49" t="n"/>
      <c r="AQ235" s="49" t="n"/>
      <c r="AR235" s="49" t="n"/>
      <c r="AS235" s="49" t="n"/>
      <c r="AT235" s="49" t="n"/>
      <c r="AU235" s="49" t="n"/>
      <c r="AV235" s="49" t="n"/>
      <c r="AW235" s="49" t="n"/>
      <c r="AX235" s="49" t="n"/>
      <c r="AY235" s="49" t="n">
        <v>0.1417822513810202</v>
      </c>
    </row>
    <row r="236" ht="15" customHeight="1" s="27">
      <c r="A236" s="49" t="inlineStr">
        <is>
          <t>2026-03-30 09:59:44</t>
        </is>
      </c>
      <c r="B236" s="49" t="inlineStr">
        <is>
          <t>E6_v2_clean</t>
        </is>
      </c>
      <c r="C236" s="50" t="inlineStr">
        <is>
          <t>E6</t>
        </is>
      </c>
      <c r="D236" s="50" t="inlineStr">
        <is>
          <t>series_tiempo_exogenas</t>
        </is>
      </c>
      <c r="E236" s="50" t="inlineStr">
        <is>
          <t>sarimax_regressor</t>
        </is>
      </c>
      <c r="F236" s="50" t="n">
        <v>3</v>
      </c>
      <c r="G236" s="49" t="inlineStr">
        <is>
          <t>nivel</t>
        </is>
      </c>
      <c r="H236" s="50" t="inlineStr">
        <is>
          <t>y_t + lags [1, 2, 3, 4, 5, 6]</t>
        </is>
      </c>
      <c r="I236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236" s="50" t="inlineStr">
        <is>
          <t>sin_escalar</t>
        </is>
      </c>
      <c r="K236" s="50" t="inlineStr">
        <is>
          <t>all</t>
        </is>
      </c>
      <c r="L236" s="50" t="inlineStr">
        <is>
          <t>walk-forward_expanding</t>
        </is>
      </c>
      <c r="M236" s="49" t="inlineStr">
        <is>
          <t>2024-10-14 a 2026-03-02</t>
        </is>
      </c>
      <c r="N236" s="49" t="inlineStr">
        <is>
          <t>{"feature_candidates": 83, "feature_mode": "all", "horizon": 3, "initial_train_size": 40, "lags": [1, 2, 3, 4, 5, 6], "model": "sarimax_regressor", "model_params": {"maxiter": 200, "order": [1, 0, 1], "trend": "c", "tuning_strategy": "baseline_fijo_sin_tuning_interno", "uses_categorical_features": false, "uses_scaling": false}, "rows_eval": 24, "rows_modeling": 64, "selected_feature_count_avg": 83.0, "target_mode": "nivel", "transform_mode": ""}</t>
        </is>
      </c>
      <c r="O236" s="51" t="n">
        <v>0.35</v>
      </c>
      <c r="P236" s="51" t="n">
        <v>0.25</v>
      </c>
      <c r="Q236" s="51" t="n">
        <v>0.25</v>
      </c>
      <c r="R236" s="51" t="n">
        <v>0.1</v>
      </c>
      <c r="S236" s="52" t="n">
        <v>0.3</v>
      </c>
      <c r="T236" s="53" t="n">
        <v>0.3899262439930841</v>
      </c>
      <c r="U236" s="53" t="n">
        <v>0.3333333333333334</v>
      </c>
      <c r="V236" s="53" t="n">
        <v>0.6363636363636364</v>
      </c>
      <c r="W236" s="53" t="n">
        <v>0.8333333333333334</v>
      </c>
      <c r="X236" s="54" t="n">
        <v>0.1386695283465466</v>
      </c>
      <c r="Y236" s="53" t="n">
        <v>0.2399154054431016</v>
      </c>
      <c r="Z236" s="53" t="n">
        <v>0.327897861806735</v>
      </c>
      <c r="AA236" s="55" t="n">
        <v>0.6666666666666666</v>
      </c>
      <c r="AB236" s="55" t="n">
        <v>0.3636363636363636</v>
      </c>
      <c r="AC236" s="49" t="inlineStr">
        <is>
          <t>corrido</t>
        </is>
      </c>
      <c r="AD236" s="49" t="inlineStr">
        <is>
          <t>ARIMAX/SARIMAX con exogenas bajo walk-forward temporal | hipotesis=arimax_all_vs_corr | order=(1,0,1) trend=c | baseline fijo sin tuning interno | sin escalado | seleccion de exogenas restringida al train de cada fold externo</t>
        </is>
      </c>
      <c r="AE236" s="49" t="inlineStr">
        <is>
          <t>run_e6_arimax.py</t>
        </is>
      </c>
      <c r="AF236" s="49" t="inlineStr">
        <is>
          <t>Scripts/Modeling/run_e6_arimax.py</t>
        </is>
      </c>
      <c r="AG236" s="49" t="inlineStr">
        <is>
          <t>Experimentos/runs/E6_v2_clean_20260330_095944</t>
        </is>
      </c>
      <c r="AH236" s="49" t="inlineStr">
        <is>
          <t>Experimentos/runs/E6_v2_clean_20260330_095944/scripts/run_e6_arimax.py</t>
        </is>
      </c>
      <c r="AI236" s="49" t="inlineStr">
        <is>
          <t>Experimentos/runs/E6_v2_clean_20260330_095944/parametros_run.json</t>
        </is>
      </c>
      <c r="AJ236" s="49" t="inlineStr">
        <is>
          <t>Experimentos/runs/E6_v2_clean_20260330_095944/metricas_horizonte.json</t>
        </is>
      </c>
      <c r="AK236" s="49" t="inlineStr">
        <is>
          <t>2026-03-30 09:59:44</t>
        </is>
      </c>
      <c r="AL236" s="49" t="inlineStr">
        <is>
          <t>regresion</t>
        </is>
      </c>
      <c r="AM236" s="49" t="n"/>
      <c r="AN236" s="49" t="n"/>
      <c r="AO236" s="49" t="n"/>
      <c r="AP236" s="49" t="n"/>
      <c r="AQ236" s="49" t="n"/>
      <c r="AR236" s="49" t="n"/>
      <c r="AS236" s="49" t="n"/>
      <c r="AT236" s="49" t="n"/>
      <c r="AU236" s="49" t="n"/>
      <c r="AV236" s="49" t="n"/>
      <c r="AW236" s="49" t="n"/>
      <c r="AX236" s="49" t="n"/>
      <c r="AY236" s="49" t="n">
        <v>0.1386695283465466</v>
      </c>
    </row>
    <row r="237" ht="15" customHeight="1" s="27">
      <c r="A237" s="49" t="inlineStr">
        <is>
          <t>2026-03-30 09:59:44</t>
        </is>
      </c>
      <c r="B237" s="49" t="inlineStr">
        <is>
          <t>E6_v2_clean</t>
        </is>
      </c>
      <c r="C237" s="50" t="inlineStr">
        <is>
          <t>E6</t>
        </is>
      </c>
      <c r="D237" s="50" t="inlineStr">
        <is>
          <t>series_tiempo_exogenas</t>
        </is>
      </c>
      <c r="E237" s="50" t="inlineStr">
        <is>
          <t>sarimax_regressor</t>
        </is>
      </c>
      <c r="F237" s="50" t="n">
        <v>4</v>
      </c>
      <c r="G237" s="49" t="inlineStr">
        <is>
          <t>nivel</t>
        </is>
      </c>
      <c r="H237" s="50" t="inlineStr">
        <is>
          <t>y_t + lags [1, 2, 3, 4, 5, 6]</t>
        </is>
      </c>
      <c r="I237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237" s="50" t="inlineStr">
        <is>
          <t>sin_escalar</t>
        </is>
      </c>
      <c r="K237" s="50" t="inlineStr">
        <is>
          <t>all</t>
        </is>
      </c>
      <c r="L237" s="50" t="inlineStr">
        <is>
          <t>walk-forward_expanding</t>
        </is>
      </c>
      <c r="M237" s="49" t="inlineStr">
        <is>
          <t>2024-10-14 a 2026-03-02</t>
        </is>
      </c>
      <c r="N237" s="49" t="inlineStr">
        <is>
          <t>{"feature_candidates": 83, "feature_mode": "all", "horizon": 4, "initial_train_size": 40, "lags": [1, 2, 3, 4, 5, 6], "model": "sarimax_regressor", "model_params": {"maxiter": 200, "order": [1, 0, 1], "trend": "c", "tuning_strategy": "baseline_fijo_sin_tuning_interno", "uses_categorical_features": false, "uses_scaling": false}, "rows_eval": 23, "rows_modeling": 63, "selected_feature_count_avg": 83.0, "target_mode": "nivel", "transform_mode": ""}</t>
        </is>
      </c>
      <c r="O237" s="51" t="n">
        <v>0.35</v>
      </c>
      <c r="P237" s="51" t="n">
        <v>0.25</v>
      </c>
      <c r="Q237" s="51" t="n">
        <v>0.25</v>
      </c>
      <c r="R237" s="51" t="n">
        <v>0.1</v>
      </c>
      <c r="S237" s="52" t="n">
        <v>0.15</v>
      </c>
      <c r="T237" s="53" t="n">
        <v>0.4595624552397664</v>
      </c>
      <c r="U237" s="53" t="n">
        <v>0.3913043478260869</v>
      </c>
      <c r="V237" s="53" t="n">
        <v>0.2222222222222222</v>
      </c>
      <c r="W237" s="53" t="n">
        <v>0.9130434782608695</v>
      </c>
      <c r="X237" s="54" t="n">
        <v>0.06082992745081237</v>
      </c>
      <c r="Y237" s="53" t="n">
        <v>0.2827614567467568</v>
      </c>
      <c r="Z237" s="53" t="n">
        <v>0.3517947211966547</v>
      </c>
      <c r="AA237" s="55" t="n">
        <v>0.6086956521739131</v>
      </c>
      <c r="AB237" s="55" t="n">
        <v>0.7777777777777778</v>
      </c>
      <c r="AC237" s="49" t="inlineStr">
        <is>
          <t>corrido</t>
        </is>
      </c>
      <c r="AD237" s="49" t="inlineStr">
        <is>
          <t>ARIMAX/SARIMAX con exogenas bajo walk-forward temporal | hipotesis=arimax_all_vs_corr | order=(1,0,1) trend=c | baseline fijo sin tuning interno | sin escalado | seleccion de exogenas restringida al train de cada fold externo</t>
        </is>
      </c>
      <c r="AE237" s="49" t="inlineStr">
        <is>
          <t>run_e6_arimax.py</t>
        </is>
      </c>
      <c r="AF237" s="49" t="inlineStr">
        <is>
          <t>Scripts/Modeling/run_e6_arimax.py</t>
        </is>
      </c>
      <c r="AG237" s="49" t="inlineStr">
        <is>
          <t>Experimentos/runs/E6_v2_clean_20260330_095944</t>
        </is>
      </c>
      <c r="AH237" s="49" t="inlineStr">
        <is>
          <t>Experimentos/runs/E6_v2_clean_20260330_095944/scripts/run_e6_arimax.py</t>
        </is>
      </c>
      <c r="AI237" s="49" t="inlineStr">
        <is>
          <t>Experimentos/runs/E6_v2_clean_20260330_095944/parametros_run.json</t>
        </is>
      </c>
      <c r="AJ237" s="49" t="inlineStr">
        <is>
          <t>Experimentos/runs/E6_v2_clean_20260330_095944/metricas_horizonte.json</t>
        </is>
      </c>
      <c r="AK237" s="49" t="inlineStr">
        <is>
          <t>2026-03-30 09:59:44</t>
        </is>
      </c>
      <c r="AL237" s="49" t="inlineStr">
        <is>
          <t>regresion</t>
        </is>
      </c>
      <c r="AM237" s="49" t="n"/>
      <c r="AN237" s="49" t="n"/>
      <c r="AO237" s="49" t="n"/>
      <c r="AP237" s="49" t="n"/>
      <c r="AQ237" s="49" t="n"/>
      <c r="AR237" s="49" t="n"/>
      <c r="AS237" s="49" t="n"/>
      <c r="AT237" s="49" t="n"/>
      <c r="AU237" s="49" t="n"/>
      <c r="AV237" s="49" t="n"/>
      <c r="AW237" s="49" t="n"/>
      <c r="AX237" s="49" t="n"/>
      <c r="AY237" s="49" t="n">
        <v>0.06082992745081237</v>
      </c>
    </row>
    <row r="238" ht="15" customHeight="1" s="27">
      <c r="A238" s="49" t="inlineStr">
        <is>
          <t>2026-03-30 10:52:36</t>
        </is>
      </c>
      <c r="B238" s="49" t="inlineStr">
        <is>
          <t>E7_v1_clean</t>
        </is>
      </c>
      <c r="C238" s="50" t="inlineStr">
        <is>
          <t>E7</t>
        </is>
      </c>
      <c r="D238" s="50" t="inlineStr">
        <is>
          <t>series_tiempo_exogenas</t>
        </is>
      </c>
      <c r="E238" s="50" t="inlineStr">
        <is>
          <t>prophet_exogenous_regressor</t>
        </is>
      </c>
      <c r="F238" s="50" t="n">
        <v>1</v>
      </c>
      <c r="G238" s="49" t="inlineStr">
        <is>
          <t>nivel</t>
        </is>
      </c>
      <c r="H238" s="50" t="inlineStr">
        <is>
          <t>y_t + lags [1, 2, 3, 4, 5, 6]</t>
        </is>
      </c>
      <c r="I238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238" s="50" t="inlineStr">
        <is>
          <t>sin_escalar</t>
        </is>
      </c>
      <c r="K238" s="50" t="inlineStr">
        <is>
          <t>corr</t>
        </is>
      </c>
      <c r="L238" s="50" t="inlineStr">
        <is>
          <t>walk-forward_expanding</t>
        </is>
      </c>
      <c r="M238" s="49" t="inlineStr">
        <is>
          <t>2024-10-14 a 2026-03-02</t>
        </is>
      </c>
      <c r="N238" s="49" t="inlineStr">
        <is>
          <t>{"feature_candidates": 83, "feature_mode": "corr", "horizon": 1, "initial_train_size": 40, "lags": [1, 2, 3, 4, 5, 6], "model": "prophet_exogenous_regressor", "model_params": {"changepoint_prior_scale": 0.05, "daily_seasonality": false, "seasonality_mode": "additive", "tuning_strategy": "baseline_fijo_sin_tuning_interno", "uses_categorical_features": false, "uses_scaling": false, "weekly_seasonality": false, "yearly_seasonality": false}, "rows_eval": 26, "rows_modeling": 66, "selected_feature_count_avg": 30.0, "target_mode": "nivel", "transform_mode": ""}</t>
        </is>
      </c>
      <c r="O238" s="51" t="n">
        <v>0.35</v>
      </c>
      <c r="P238" s="51" t="n">
        <v>0.25</v>
      </c>
      <c r="Q238" s="51" t="n">
        <v>0.25</v>
      </c>
      <c r="R238" s="51" t="n">
        <v>0.1</v>
      </c>
      <c r="S238" s="52" t="n">
        <v>0.3</v>
      </c>
      <c r="T238" s="53" t="n">
        <v>0.2409654604109217</v>
      </c>
      <c r="U238" s="53" t="n">
        <v>0.4230769230769231</v>
      </c>
      <c r="V238" s="53" t="n">
        <v>0.5</v>
      </c>
      <c r="W238" s="53" t="n">
        <v>0.7692307692307693</v>
      </c>
      <c r="X238" s="54" t="n">
        <v>0.1176090656508391</v>
      </c>
      <c r="Y238" s="53" t="n">
        <v>0.1482622086173182</v>
      </c>
      <c r="Z238" s="53" t="n">
        <v>0.1777152756484667</v>
      </c>
      <c r="AA238" s="55" t="n">
        <v>0.5769230769230769</v>
      </c>
      <c r="AB238" s="55" t="n">
        <v>0.5</v>
      </c>
      <c r="AC238" s="49" t="inlineStr">
        <is>
          <t>corrido</t>
        </is>
      </c>
      <c r="AD238" s="49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</t>
        </is>
      </c>
      <c r="AE238" s="49" t="inlineStr">
        <is>
          <t>run_e7_prophet.py</t>
        </is>
      </c>
      <c r="AF238" s="49" t="inlineStr">
        <is>
          <t>Scripts/Modeling/run_e7_prophet.py</t>
        </is>
      </c>
      <c r="AG238" s="49" t="inlineStr">
        <is>
          <t>Experimentos/runs/E7_v1_clean_20260330_105236</t>
        </is>
      </c>
      <c r="AH238" s="49" t="inlineStr">
        <is>
          <t>Experimentos/runs/E7_v1_clean_20260330_105236/scripts/run_e7_prophet.py</t>
        </is>
      </c>
      <c r="AI238" s="49" t="inlineStr">
        <is>
          <t>Experimentos/runs/E7_v1_clean_20260330_105236/parametros_run.json</t>
        </is>
      </c>
      <c r="AJ238" s="49" t="inlineStr">
        <is>
          <t>Experimentos/runs/E7_v1_clean_20260330_105236/metricas_horizonte.json</t>
        </is>
      </c>
      <c r="AK238" s="49" t="inlineStr">
        <is>
          <t>2026-03-30 10:52:36</t>
        </is>
      </c>
      <c r="AL238" s="49" t="inlineStr">
        <is>
          <t>regresion</t>
        </is>
      </c>
      <c r="AM238" s="49" t="n"/>
      <c r="AN238" s="49" t="n"/>
      <c r="AO238" s="49" t="n"/>
      <c r="AP238" s="49" t="n"/>
      <c r="AQ238" s="49" t="n"/>
      <c r="AR238" s="49" t="n"/>
      <c r="AS238" s="49" t="n"/>
      <c r="AT238" s="49" t="n"/>
      <c r="AU238" s="49" t="n"/>
      <c r="AV238" s="49" t="n"/>
      <c r="AW238" s="49" t="n"/>
      <c r="AX238" s="49" t="n"/>
      <c r="AY238" s="49" t="n">
        <v>0.1176090656508391</v>
      </c>
    </row>
    <row r="239" ht="15" customHeight="1" s="27">
      <c r="A239" s="49" t="inlineStr">
        <is>
          <t>2026-03-30 10:52:36</t>
        </is>
      </c>
      <c r="B239" s="49" t="inlineStr">
        <is>
          <t>E7_v1_clean</t>
        </is>
      </c>
      <c r="C239" s="50" t="inlineStr">
        <is>
          <t>E7</t>
        </is>
      </c>
      <c r="D239" s="50" t="inlineStr">
        <is>
          <t>series_tiempo_exogenas</t>
        </is>
      </c>
      <c r="E239" s="50" t="inlineStr">
        <is>
          <t>prophet_exogenous_regressor</t>
        </is>
      </c>
      <c r="F239" s="50" t="n">
        <v>2</v>
      </c>
      <c r="G239" s="49" t="inlineStr">
        <is>
          <t>nivel</t>
        </is>
      </c>
      <c r="H239" s="50" t="inlineStr">
        <is>
          <t>y_t + lags [1, 2, 3, 4, 5, 6]</t>
        </is>
      </c>
      <c r="I239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239" s="50" t="inlineStr">
        <is>
          <t>sin_escalar</t>
        </is>
      </c>
      <c r="K239" s="50" t="inlineStr">
        <is>
          <t>corr</t>
        </is>
      </c>
      <c r="L239" s="50" t="inlineStr">
        <is>
          <t>walk-forward_expanding</t>
        </is>
      </c>
      <c r="M239" s="49" t="inlineStr">
        <is>
          <t>2024-10-14 a 2026-03-02</t>
        </is>
      </c>
      <c r="N239" s="49" t="inlineStr">
        <is>
          <t>{"feature_candidates": 83, "feature_mode": "corr", "horizon": 2, "initial_train_size": 40, "lags": [1, 2, 3, 4, 5, 6], "model": "prophet_exogenous_regressor", "model_params": {"changepoint_prior_scale": 0.05, "daily_seasonality": false, "seasonality_mode": "additive", "tuning_strategy": "baseline_fijo_sin_tuning_interno", "uses_categorical_features": false, "uses_scaling": false, "weekly_seasonality": false, "yearly_seasonality": false}, "rows_eval": 25, "rows_modeling": 65, "selected_feature_count_avg": 30.0, "target_mode": "nivel", "transform_mode": ""}</t>
        </is>
      </c>
      <c r="O239" s="51" t="n">
        <v>0.35</v>
      </c>
      <c r="P239" s="51" t="n">
        <v>0.25</v>
      </c>
      <c r="Q239" s="51" t="n">
        <v>0.25</v>
      </c>
      <c r="R239" s="51" t="n">
        <v>0.1</v>
      </c>
      <c r="S239" s="52" t="n">
        <v>0.25</v>
      </c>
      <c r="T239" s="53" t="n">
        <v>0.2032507858626246</v>
      </c>
      <c r="U239" s="53" t="n">
        <v>0.36</v>
      </c>
      <c r="V239" s="53" t="n">
        <v>0.2</v>
      </c>
      <c r="W239" s="53" t="n">
        <v>0.68</v>
      </c>
      <c r="X239" s="54" t="n">
        <v>0.06978444376297965</v>
      </c>
      <c r="Y239" s="53" t="n">
        <v>0.1250569702554452</v>
      </c>
      <c r="Z239" s="53" t="n">
        <v>0.1622011270377969</v>
      </c>
      <c r="AA239" s="55" t="n">
        <v>0.64</v>
      </c>
      <c r="AB239" s="55" t="n">
        <v>0.8</v>
      </c>
      <c r="AC239" s="49" t="inlineStr">
        <is>
          <t>corrido</t>
        </is>
      </c>
      <c r="AD239" s="49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</t>
        </is>
      </c>
      <c r="AE239" s="49" t="inlineStr">
        <is>
          <t>run_e7_prophet.py</t>
        </is>
      </c>
      <c r="AF239" s="49" t="inlineStr">
        <is>
          <t>Scripts/Modeling/run_e7_prophet.py</t>
        </is>
      </c>
      <c r="AG239" s="49" t="inlineStr">
        <is>
          <t>Experimentos/runs/E7_v1_clean_20260330_105236</t>
        </is>
      </c>
      <c r="AH239" s="49" t="inlineStr">
        <is>
          <t>Experimentos/runs/E7_v1_clean_20260330_105236/scripts/run_e7_prophet.py</t>
        </is>
      </c>
      <c r="AI239" s="49" t="inlineStr">
        <is>
          <t>Experimentos/runs/E7_v1_clean_20260330_105236/parametros_run.json</t>
        </is>
      </c>
      <c r="AJ239" s="49" t="inlineStr">
        <is>
          <t>Experimentos/runs/E7_v1_clean_20260330_105236/metricas_horizonte.json</t>
        </is>
      </c>
      <c r="AK239" s="49" t="inlineStr">
        <is>
          <t>2026-03-30 10:52:36</t>
        </is>
      </c>
      <c r="AL239" s="49" t="inlineStr">
        <is>
          <t>regresion</t>
        </is>
      </c>
      <c r="AM239" s="49" t="n"/>
      <c r="AN239" s="49" t="n"/>
      <c r="AO239" s="49" t="n"/>
      <c r="AP239" s="49" t="n"/>
      <c r="AQ239" s="49" t="n"/>
      <c r="AR239" s="49" t="n"/>
      <c r="AS239" s="49" t="n"/>
      <c r="AT239" s="49" t="n"/>
      <c r="AU239" s="49" t="n"/>
      <c r="AV239" s="49" t="n"/>
      <c r="AW239" s="49" t="n"/>
      <c r="AX239" s="49" t="n"/>
      <c r="AY239" s="49" t="n">
        <v>0.06978444376297965</v>
      </c>
    </row>
    <row r="240" ht="15" customHeight="1" s="27">
      <c r="A240" s="49" t="inlineStr">
        <is>
          <t>2026-03-30 10:52:36</t>
        </is>
      </c>
      <c r="B240" s="49" t="inlineStr">
        <is>
          <t>E7_v1_clean</t>
        </is>
      </c>
      <c r="C240" s="50" t="inlineStr">
        <is>
          <t>E7</t>
        </is>
      </c>
      <c r="D240" s="50" t="inlineStr">
        <is>
          <t>series_tiempo_exogenas</t>
        </is>
      </c>
      <c r="E240" s="50" t="inlineStr">
        <is>
          <t>prophet_exogenous_regressor</t>
        </is>
      </c>
      <c r="F240" s="50" t="n">
        <v>3</v>
      </c>
      <c r="G240" s="49" t="inlineStr">
        <is>
          <t>nivel</t>
        </is>
      </c>
      <c r="H240" s="50" t="inlineStr">
        <is>
          <t>y_t + lags [1, 2, 3, 4, 5, 6]</t>
        </is>
      </c>
      <c r="I240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240" s="50" t="inlineStr">
        <is>
          <t>sin_escalar</t>
        </is>
      </c>
      <c r="K240" s="50" t="inlineStr">
        <is>
          <t>corr</t>
        </is>
      </c>
      <c r="L240" s="50" t="inlineStr">
        <is>
          <t>walk-forward_expanding</t>
        </is>
      </c>
      <c r="M240" s="49" t="inlineStr">
        <is>
          <t>2024-10-14 a 2026-03-02</t>
        </is>
      </c>
      <c r="N240" s="49" t="inlineStr">
        <is>
          <t>{"feature_candidates": 83, "feature_mode": "corr", "horizon": 3, "initial_train_size": 40, "lags": [1, 2, 3, 4, 5, 6], "model": "prophet_exogenous_regressor", "model_params": {"changepoint_prior_scale": 0.05, "daily_seasonality": false, "seasonality_mode": "additive", "tuning_strategy": "baseline_fijo_sin_tuning_interno", "uses_categorical_features": false, "uses_scaling": false, "weekly_seasonality": false, "yearly_seasonality": false}, "rows_eval": 24, "rows_modeling": 64, "selected_feature_count_avg": 30.0, "target_mode": "nivel", "transform_mode": ""}</t>
        </is>
      </c>
      <c r="O240" s="51" t="n">
        <v>0.35</v>
      </c>
      <c r="P240" s="51" t="n">
        <v>0.25</v>
      </c>
      <c r="Q240" s="51" t="n">
        <v>0.25</v>
      </c>
      <c r="R240" s="51" t="n">
        <v>0.1</v>
      </c>
      <c r="S240" s="52" t="n">
        <v>0.3</v>
      </c>
      <c r="T240" s="53" t="n">
        <v>0.2386627169418594</v>
      </c>
      <c r="U240" s="53" t="n">
        <v>0.2083333333333334</v>
      </c>
      <c r="V240" s="53" t="n">
        <v>0.09090909090909094</v>
      </c>
      <c r="W240" s="53" t="n">
        <v>0.7916666666666666</v>
      </c>
      <c r="X240" s="54" t="n">
        <v>0.07125276709707705</v>
      </c>
      <c r="Y240" s="53" t="n">
        <v>0.1468453672491815</v>
      </c>
      <c r="Z240" s="53" t="n">
        <v>0.1885851100920226</v>
      </c>
      <c r="AA240" s="55" t="n">
        <v>0.7916666666666666</v>
      </c>
      <c r="AB240" s="55" t="n">
        <v>0.9090909090909091</v>
      </c>
      <c r="AC240" s="49" t="inlineStr">
        <is>
          <t>corrido</t>
        </is>
      </c>
      <c r="AD240" s="49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</t>
        </is>
      </c>
      <c r="AE240" s="49" t="inlineStr">
        <is>
          <t>run_e7_prophet.py</t>
        </is>
      </c>
      <c r="AF240" s="49" t="inlineStr">
        <is>
          <t>Scripts/Modeling/run_e7_prophet.py</t>
        </is>
      </c>
      <c r="AG240" s="49" t="inlineStr">
        <is>
          <t>Experimentos/runs/E7_v1_clean_20260330_105236</t>
        </is>
      </c>
      <c r="AH240" s="49" t="inlineStr">
        <is>
          <t>Experimentos/runs/E7_v1_clean_20260330_105236/scripts/run_e7_prophet.py</t>
        </is>
      </c>
      <c r="AI240" s="49" t="inlineStr">
        <is>
          <t>Experimentos/runs/E7_v1_clean_20260330_105236/parametros_run.json</t>
        </is>
      </c>
      <c r="AJ240" s="49" t="inlineStr">
        <is>
          <t>Experimentos/runs/E7_v1_clean_20260330_105236/metricas_horizonte.json</t>
        </is>
      </c>
      <c r="AK240" s="49" t="inlineStr">
        <is>
          <t>2026-03-30 10:52:36</t>
        </is>
      </c>
      <c r="AL240" s="49" t="inlineStr">
        <is>
          <t>regresion</t>
        </is>
      </c>
      <c r="AM240" s="49" t="n"/>
      <c r="AN240" s="49" t="n"/>
      <c r="AO240" s="49" t="n"/>
      <c r="AP240" s="49" t="n"/>
      <c r="AQ240" s="49" t="n"/>
      <c r="AR240" s="49" t="n"/>
      <c r="AS240" s="49" t="n"/>
      <c r="AT240" s="49" t="n"/>
      <c r="AU240" s="49" t="n"/>
      <c r="AV240" s="49" t="n"/>
      <c r="AW240" s="49" t="n"/>
      <c r="AX240" s="49" t="n"/>
      <c r="AY240" s="49" t="n">
        <v>0.07125276709707705</v>
      </c>
    </row>
    <row r="241" ht="15" customHeight="1" s="27">
      <c r="A241" s="49" t="inlineStr">
        <is>
          <t>2026-03-30 10:52:36</t>
        </is>
      </c>
      <c r="B241" s="49" t="inlineStr">
        <is>
          <t>E7_v1_clean</t>
        </is>
      </c>
      <c r="C241" s="50" t="inlineStr">
        <is>
          <t>E7</t>
        </is>
      </c>
      <c r="D241" s="50" t="inlineStr">
        <is>
          <t>series_tiempo_exogenas</t>
        </is>
      </c>
      <c r="E241" s="50" t="inlineStr">
        <is>
          <t>prophet_exogenous_regressor</t>
        </is>
      </c>
      <c r="F241" s="50" t="n">
        <v>4</v>
      </c>
      <c r="G241" s="49" t="inlineStr">
        <is>
          <t>nivel</t>
        </is>
      </c>
      <c r="H241" s="50" t="inlineStr">
        <is>
          <t>y_t + lags [1, 2, 3, 4, 5, 6]</t>
        </is>
      </c>
      <c r="I241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241" s="50" t="inlineStr">
        <is>
          <t>sin_escalar</t>
        </is>
      </c>
      <c r="K241" s="50" t="inlineStr">
        <is>
          <t>corr</t>
        </is>
      </c>
      <c r="L241" s="50" t="inlineStr">
        <is>
          <t>walk-forward_expanding</t>
        </is>
      </c>
      <c r="M241" s="49" t="inlineStr">
        <is>
          <t>2024-10-14 a 2026-03-02</t>
        </is>
      </c>
      <c r="N241" s="49" t="inlineStr">
        <is>
          <t>{"feature_candidates": 83, "feature_mode": "corr", "horizon": 4, "initial_train_size": 40, "lags": [1, 2, 3, 4, 5, 6], "model": "prophet_exogenous_regressor", "model_params": {"changepoint_prior_scale": 0.05, "daily_seasonality": false, "seasonality_mode": "additive", "tuning_strategy": "baseline_fijo_sin_tuning_interno", "uses_categorical_features": false, "uses_scaling": false, "weekly_seasonality": false, "yearly_seasonality": false}, "rows_eval": 23, "rows_modeling": 63, "selected_feature_count_avg": 30.0, "target_mode": "nivel", "transform_mode": ""}</t>
        </is>
      </c>
      <c r="O241" s="51" t="n">
        <v>0.35</v>
      </c>
      <c r="P241" s="51" t="n">
        <v>0.25</v>
      </c>
      <c r="Q241" s="51" t="n">
        <v>0.25</v>
      </c>
      <c r="R241" s="51" t="n">
        <v>0.1</v>
      </c>
      <c r="S241" s="52" t="n">
        <v>0.15</v>
      </c>
      <c r="T241" s="53" t="n">
        <v>0.3224411872998162</v>
      </c>
      <c r="U241" s="53" t="n">
        <v>0.5217391304347826</v>
      </c>
      <c r="V241" s="53" t="n">
        <v>0.4444444444444444</v>
      </c>
      <c r="W241" s="53" t="n">
        <v>0.9130434782608695</v>
      </c>
      <c r="X241" s="54" t="n">
        <v>0.06685569856512441</v>
      </c>
      <c r="Y241" s="53" t="n">
        <v>0.1983929252629698</v>
      </c>
      <c r="Z241" s="53" t="n">
        <v>0.2481666867761293</v>
      </c>
      <c r="AA241" s="55" t="n">
        <v>0.4782608695652174</v>
      </c>
      <c r="AB241" s="55" t="n">
        <v>0.5555555555555556</v>
      </c>
      <c r="AC241" s="49" t="inlineStr">
        <is>
          <t>corrido</t>
        </is>
      </c>
      <c r="AD241" s="49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</t>
        </is>
      </c>
      <c r="AE241" s="49" t="inlineStr">
        <is>
          <t>run_e7_prophet.py</t>
        </is>
      </c>
      <c r="AF241" s="49" t="inlineStr">
        <is>
          <t>Scripts/Modeling/run_e7_prophet.py</t>
        </is>
      </c>
      <c r="AG241" s="49" t="inlineStr">
        <is>
          <t>Experimentos/runs/E7_v1_clean_20260330_105236</t>
        </is>
      </c>
      <c r="AH241" s="49" t="inlineStr">
        <is>
          <t>Experimentos/runs/E7_v1_clean_20260330_105236/scripts/run_e7_prophet.py</t>
        </is>
      </c>
      <c r="AI241" s="49" t="inlineStr">
        <is>
          <t>Experimentos/runs/E7_v1_clean_20260330_105236/parametros_run.json</t>
        </is>
      </c>
      <c r="AJ241" s="49" t="inlineStr">
        <is>
          <t>Experimentos/runs/E7_v1_clean_20260330_105236/metricas_horizonte.json</t>
        </is>
      </c>
      <c r="AK241" s="49" t="inlineStr">
        <is>
          <t>2026-03-30 10:52:36</t>
        </is>
      </c>
      <c r="AL241" s="49" t="inlineStr">
        <is>
          <t>regresion</t>
        </is>
      </c>
      <c r="AM241" s="49" t="n"/>
      <c r="AN241" s="49" t="n"/>
      <c r="AO241" s="49" t="n"/>
      <c r="AP241" s="49" t="n"/>
      <c r="AQ241" s="49" t="n"/>
      <c r="AR241" s="49" t="n"/>
      <c r="AS241" s="49" t="n"/>
      <c r="AT241" s="49" t="n"/>
      <c r="AU241" s="49" t="n"/>
      <c r="AV241" s="49" t="n"/>
      <c r="AW241" s="49" t="n"/>
      <c r="AX241" s="49" t="n"/>
      <c r="AY241" s="49" t="n">
        <v>0.06685569856512441</v>
      </c>
    </row>
    <row r="242" ht="15" customHeight="1" s="27">
      <c r="A242" s="49" t="inlineStr">
        <is>
          <t>2026-03-30 10:53:19</t>
        </is>
      </c>
      <c r="B242" s="49" t="inlineStr">
        <is>
          <t>E7_v2_clean</t>
        </is>
      </c>
      <c r="C242" s="50" t="inlineStr">
        <is>
          <t>E7</t>
        </is>
      </c>
      <c r="D242" s="50" t="inlineStr">
        <is>
          <t>series_tiempo_exogenas</t>
        </is>
      </c>
      <c r="E242" s="50" t="inlineStr">
        <is>
          <t>prophet_exogenous_regressor</t>
        </is>
      </c>
      <c r="F242" s="50" t="n">
        <v>1</v>
      </c>
      <c r="G242" s="49" t="inlineStr">
        <is>
          <t>nivel</t>
        </is>
      </c>
      <c r="H242" s="50" t="inlineStr">
        <is>
          <t>y_t + lags [1, 2, 3, 4, 5, 6]</t>
        </is>
      </c>
      <c r="I242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242" s="50" t="inlineStr">
        <is>
          <t>sin_escalar</t>
        </is>
      </c>
      <c r="K242" s="50" t="inlineStr">
        <is>
          <t>all</t>
        </is>
      </c>
      <c r="L242" s="50" t="inlineStr">
        <is>
          <t>walk-forward_expanding</t>
        </is>
      </c>
      <c r="M242" s="49" t="inlineStr">
        <is>
          <t>2024-10-14 a 2026-03-02</t>
        </is>
      </c>
      <c r="N242" s="49" t="inlineStr">
        <is>
          <t>{"feature_candidates": 83, "feature_mode": "all", "horizon": 1, "initial_train_size": 40, "lags": [1, 2, 3, 4, 5, 6], "model": "prophet_exogenous_regressor", "model_params": {"changepoint_prior_scale": 0.05, "daily_seasonality": false, "seasonality_mode": "additive", "tuning_strategy": "baseline_fijo_sin_tuning_interno", "uses_categorical_features": false, "uses_scaling": false, "weekly_seasonality": false, "yearly_seasonality": false}, "rows_eval": 26, "rows_modeling": 66, "selected_feature_count_avg": 83.0, "target_mode": "nivel", "transform_mode": ""}</t>
        </is>
      </c>
      <c r="O242" s="51" t="n">
        <v>0.35</v>
      </c>
      <c r="P242" s="51" t="n">
        <v>0.25</v>
      </c>
      <c r="Q242" s="51" t="n">
        <v>0.25</v>
      </c>
      <c r="R242" s="51" t="n">
        <v>0.1</v>
      </c>
      <c r="S242" s="52" t="n">
        <v>0.3</v>
      </c>
      <c r="T242" s="53" t="n">
        <v>1</v>
      </c>
      <c r="U242" s="53" t="n">
        <v>0.5384615384615384</v>
      </c>
      <c r="V242" s="53" t="n">
        <v>0.5833333333333333</v>
      </c>
      <c r="W242" s="53" t="n">
        <v>1</v>
      </c>
      <c r="X242" s="54" t="n">
        <v>0.2191346153846154</v>
      </c>
      <c r="Y242" s="53" t="n">
        <v>7.924552479507661</v>
      </c>
      <c r="Z242" s="53" t="n">
        <v>11.38290184263929</v>
      </c>
      <c r="AA242" s="55" t="n">
        <v>0.4615384615384616</v>
      </c>
      <c r="AB242" s="55" t="n">
        <v>0.4166666666666667</v>
      </c>
      <c r="AC242" s="49" t="inlineStr">
        <is>
          <t>corrido</t>
        </is>
      </c>
      <c r="AD242" s="49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</t>
        </is>
      </c>
      <c r="AE242" s="49" t="inlineStr">
        <is>
          <t>run_e7_prophet.py</t>
        </is>
      </c>
      <c r="AF242" s="49" t="inlineStr">
        <is>
          <t>Scripts/Modeling/run_e7_prophet.py</t>
        </is>
      </c>
      <c r="AG242" s="49" t="inlineStr">
        <is>
          <t>Experimentos/runs/E7_v2_clean_20260330_105319</t>
        </is>
      </c>
      <c r="AH242" s="49" t="inlineStr">
        <is>
          <t>Experimentos/runs/E7_v2_clean_20260330_105319/scripts/run_e7_prophet.py</t>
        </is>
      </c>
      <c r="AI242" s="49" t="inlineStr">
        <is>
          <t>Experimentos/runs/E7_v2_clean_20260330_105319/parametros_run.json</t>
        </is>
      </c>
      <c r="AJ242" s="49" t="inlineStr">
        <is>
          <t>Experimentos/runs/E7_v2_clean_20260330_105319/metricas_horizonte.json</t>
        </is>
      </c>
      <c r="AK242" s="49" t="inlineStr">
        <is>
          <t>2026-03-30 10:53:19</t>
        </is>
      </c>
      <c r="AL242" s="49" t="inlineStr">
        <is>
          <t>regresion</t>
        </is>
      </c>
      <c r="AM242" s="49" t="n"/>
      <c r="AN242" s="49" t="n"/>
      <c r="AO242" s="49" t="n"/>
      <c r="AP242" s="49" t="n"/>
      <c r="AQ242" s="49" t="n"/>
      <c r="AR242" s="49" t="n"/>
      <c r="AS242" s="49" t="n"/>
      <c r="AT242" s="49" t="n"/>
      <c r="AU242" s="49" t="n"/>
      <c r="AV242" s="49" t="n"/>
      <c r="AW242" s="49" t="n"/>
      <c r="AX242" s="49" t="n"/>
      <c r="AY242" s="49" t="n">
        <v>0.2191346153846154</v>
      </c>
    </row>
    <row r="243" ht="15" customHeight="1" s="27">
      <c r="A243" s="49" t="inlineStr">
        <is>
          <t>2026-03-30 10:53:19</t>
        </is>
      </c>
      <c r="B243" s="49" t="inlineStr">
        <is>
          <t>E7_v2_clean</t>
        </is>
      </c>
      <c r="C243" s="50" t="inlineStr">
        <is>
          <t>E7</t>
        </is>
      </c>
      <c r="D243" s="50" t="inlineStr">
        <is>
          <t>series_tiempo_exogenas</t>
        </is>
      </c>
      <c r="E243" s="50" t="inlineStr">
        <is>
          <t>prophet_exogenous_regressor</t>
        </is>
      </c>
      <c r="F243" s="50" t="n">
        <v>2</v>
      </c>
      <c r="G243" s="49" t="inlineStr">
        <is>
          <t>nivel</t>
        </is>
      </c>
      <c r="H243" s="50" t="inlineStr">
        <is>
          <t>y_t + lags [1, 2, 3, 4, 5, 6]</t>
        </is>
      </c>
      <c r="I243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243" s="50" t="inlineStr">
        <is>
          <t>sin_escalar</t>
        </is>
      </c>
      <c r="K243" s="50" t="inlineStr">
        <is>
          <t>all</t>
        </is>
      </c>
      <c r="L243" s="50" t="inlineStr">
        <is>
          <t>walk-forward_expanding</t>
        </is>
      </c>
      <c r="M243" s="49" t="inlineStr">
        <is>
          <t>2024-10-14 a 2026-03-02</t>
        </is>
      </c>
      <c r="N243" s="49" t="inlineStr">
        <is>
          <t>{"feature_candidates": 83, "feature_mode": "all", "horizon": 2, "initial_train_size": 40, "lags": [1, 2, 3, 4, 5, 6], "model": "prophet_exogenous_regressor", "model_params": {"changepoint_prior_scale": 0.05, "daily_seasonality": false, "seasonality_mode": "additive", "tuning_strategy": "baseline_fijo_sin_tuning_interno", "uses_categorical_features": false, "uses_scaling": false, "weekly_seasonality": false, "yearly_seasonality": false}, "rows_eval": 25, "rows_modeling": 65, "selected_feature_count_avg": 83.0, "target_mode": "nivel", "transform_mode": ""}</t>
        </is>
      </c>
      <c r="O243" s="51" t="n">
        <v>0.35</v>
      </c>
      <c r="P243" s="51" t="n">
        <v>0.25</v>
      </c>
      <c r="Q243" s="51" t="n">
        <v>0.25</v>
      </c>
      <c r="R243" s="51" t="n">
        <v>0.1</v>
      </c>
      <c r="S243" s="52" t="n">
        <v>0.25</v>
      </c>
      <c r="T243" s="53" t="n">
        <v>1</v>
      </c>
      <c r="U243" s="53" t="n">
        <v>0.4</v>
      </c>
      <c r="V243" s="53" t="n">
        <v>0.4</v>
      </c>
      <c r="W243" s="53" t="n">
        <v>1</v>
      </c>
      <c r="X243" s="54" t="n">
        <v>0.1625</v>
      </c>
      <c r="Y243" s="53" t="n">
        <v>10.92148319830517</v>
      </c>
      <c r="Z243" s="53" t="n">
        <v>19.33668005674616</v>
      </c>
      <c r="AA243" s="55" t="n">
        <v>0.6</v>
      </c>
      <c r="AB243" s="55" t="n">
        <v>0.6</v>
      </c>
      <c r="AC243" s="49" t="inlineStr">
        <is>
          <t>corrido</t>
        </is>
      </c>
      <c r="AD243" s="49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</t>
        </is>
      </c>
      <c r="AE243" s="49" t="inlineStr">
        <is>
          <t>run_e7_prophet.py</t>
        </is>
      </c>
      <c r="AF243" s="49" t="inlineStr">
        <is>
          <t>Scripts/Modeling/run_e7_prophet.py</t>
        </is>
      </c>
      <c r="AG243" s="49" t="inlineStr">
        <is>
          <t>Experimentos/runs/E7_v2_clean_20260330_105319</t>
        </is>
      </c>
      <c r="AH243" s="49" t="inlineStr">
        <is>
          <t>Experimentos/runs/E7_v2_clean_20260330_105319/scripts/run_e7_prophet.py</t>
        </is>
      </c>
      <c r="AI243" s="49" t="inlineStr">
        <is>
          <t>Experimentos/runs/E7_v2_clean_20260330_105319/parametros_run.json</t>
        </is>
      </c>
      <c r="AJ243" s="49" t="inlineStr">
        <is>
          <t>Experimentos/runs/E7_v2_clean_20260330_105319/metricas_horizonte.json</t>
        </is>
      </c>
      <c r="AK243" s="49" t="inlineStr">
        <is>
          <t>2026-03-30 10:53:19</t>
        </is>
      </c>
      <c r="AL243" s="49" t="inlineStr">
        <is>
          <t>regresion</t>
        </is>
      </c>
      <c r="AM243" s="49" t="n"/>
      <c r="AN243" s="49" t="n"/>
      <c r="AO243" s="49" t="n"/>
      <c r="AP243" s="49" t="n"/>
      <c r="AQ243" s="49" t="n"/>
      <c r="AR243" s="49" t="n"/>
      <c r="AS243" s="49" t="n"/>
      <c r="AT243" s="49" t="n"/>
      <c r="AU243" s="49" t="n"/>
      <c r="AV243" s="49" t="n"/>
      <c r="AW243" s="49" t="n"/>
      <c r="AX243" s="49" t="n"/>
      <c r="AY243" s="49" t="n">
        <v>0.1625</v>
      </c>
    </row>
    <row r="244" ht="15" customHeight="1" s="27">
      <c r="A244" s="49" t="inlineStr">
        <is>
          <t>2026-03-30 10:53:19</t>
        </is>
      </c>
      <c r="B244" s="49" t="inlineStr">
        <is>
          <t>E7_v2_clean</t>
        </is>
      </c>
      <c r="C244" s="50" t="inlineStr">
        <is>
          <t>E7</t>
        </is>
      </c>
      <c r="D244" s="50" t="inlineStr">
        <is>
          <t>series_tiempo_exogenas</t>
        </is>
      </c>
      <c r="E244" s="50" t="inlineStr">
        <is>
          <t>prophet_exogenous_regressor</t>
        </is>
      </c>
      <c r="F244" s="50" t="n">
        <v>3</v>
      </c>
      <c r="G244" s="49" t="inlineStr">
        <is>
          <t>nivel</t>
        </is>
      </c>
      <c r="H244" s="50" t="inlineStr">
        <is>
          <t>y_t + lags [1, 2, 3, 4, 5, 6]</t>
        </is>
      </c>
      <c r="I244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244" s="50" t="inlineStr">
        <is>
          <t>sin_escalar</t>
        </is>
      </c>
      <c r="K244" s="50" t="inlineStr">
        <is>
          <t>all</t>
        </is>
      </c>
      <c r="L244" s="50" t="inlineStr">
        <is>
          <t>walk-forward_expanding</t>
        </is>
      </c>
      <c r="M244" s="49" t="inlineStr">
        <is>
          <t>2024-10-14 a 2026-03-02</t>
        </is>
      </c>
      <c r="N244" s="49" t="inlineStr">
        <is>
          <t>{"feature_candidates": 83, "feature_mode": "all", "horizon": 3, "initial_train_size": 40, "lags": [1, 2, 3, 4, 5, 6], "model": "prophet_exogenous_regressor", "model_params": {"changepoint_prior_scale": 0.05, "daily_seasonality": false, "seasonality_mode": "additive", "tuning_strategy": "baseline_fijo_sin_tuning_interno", "uses_categorical_features": false, "uses_scaling": false, "weekly_seasonality": false, "yearly_seasonality": false}, "rows_eval": 24, "rows_modeling": 64, "selected_feature_count_avg": 83.0, "target_mode": "nivel", "transform_mode": ""}</t>
        </is>
      </c>
      <c r="O244" s="51" t="n">
        <v>0.35</v>
      </c>
      <c r="P244" s="51" t="n">
        <v>0.25</v>
      </c>
      <c r="Q244" s="51" t="n">
        <v>0.25</v>
      </c>
      <c r="R244" s="51" t="n">
        <v>0.1</v>
      </c>
      <c r="S244" s="52" t="n">
        <v>0.3</v>
      </c>
      <c r="T244" s="53" t="n">
        <v>1</v>
      </c>
      <c r="U244" s="53" t="n">
        <v>0.4166666666666666</v>
      </c>
      <c r="V244" s="53" t="n">
        <v>0.1818181818181818</v>
      </c>
      <c r="W244" s="53" t="n">
        <v>1</v>
      </c>
      <c r="X244" s="54" t="n">
        <v>0.1798863636363636</v>
      </c>
      <c r="Y244" s="53" t="n">
        <v>9.743418893344902</v>
      </c>
      <c r="Z244" s="53" t="n">
        <v>15.28259019329606</v>
      </c>
      <c r="AA244" s="55" t="n">
        <v>0.5833333333333334</v>
      </c>
      <c r="AB244" s="55" t="n">
        <v>0.8181818181818182</v>
      </c>
      <c r="AC244" s="49" t="inlineStr">
        <is>
          <t>corrido</t>
        </is>
      </c>
      <c r="AD244" s="49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</t>
        </is>
      </c>
      <c r="AE244" s="49" t="inlineStr">
        <is>
          <t>run_e7_prophet.py</t>
        </is>
      </c>
      <c r="AF244" s="49" t="inlineStr">
        <is>
          <t>Scripts/Modeling/run_e7_prophet.py</t>
        </is>
      </c>
      <c r="AG244" s="49" t="inlineStr">
        <is>
          <t>Experimentos/runs/E7_v2_clean_20260330_105319</t>
        </is>
      </c>
      <c r="AH244" s="49" t="inlineStr">
        <is>
          <t>Experimentos/runs/E7_v2_clean_20260330_105319/scripts/run_e7_prophet.py</t>
        </is>
      </c>
      <c r="AI244" s="49" t="inlineStr">
        <is>
          <t>Experimentos/runs/E7_v2_clean_20260330_105319/parametros_run.json</t>
        </is>
      </c>
      <c r="AJ244" s="49" t="inlineStr">
        <is>
          <t>Experimentos/runs/E7_v2_clean_20260330_105319/metricas_horizonte.json</t>
        </is>
      </c>
      <c r="AK244" s="49" t="inlineStr">
        <is>
          <t>2026-03-30 10:53:19</t>
        </is>
      </c>
      <c r="AL244" s="49" t="inlineStr">
        <is>
          <t>regresion</t>
        </is>
      </c>
      <c r="AM244" s="49" t="n"/>
      <c r="AN244" s="49" t="n"/>
      <c r="AO244" s="49" t="n"/>
      <c r="AP244" s="49" t="n"/>
      <c r="AQ244" s="49" t="n"/>
      <c r="AR244" s="49" t="n"/>
      <c r="AS244" s="49" t="n"/>
      <c r="AT244" s="49" t="n"/>
      <c r="AU244" s="49" t="n"/>
      <c r="AV244" s="49" t="n"/>
      <c r="AW244" s="49" t="n"/>
      <c r="AX244" s="49" t="n"/>
      <c r="AY244" s="49" t="n">
        <v>0.1798863636363636</v>
      </c>
    </row>
    <row r="245" ht="15" customHeight="1" s="27">
      <c r="A245" s="49" t="inlineStr">
        <is>
          <t>2026-03-30 10:53:19</t>
        </is>
      </c>
      <c r="B245" s="49" t="inlineStr">
        <is>
          <t>E7_v2_clean</t>
        </is>
      </c>
      <c r="C245" s="50" t="inlineStr">
        <is>
          <t>E7</t>
        </is>
      </c>
      <c r="D245" s="50" t="inlineStr">
        <is>
          <t>series_tiempo_exogenas</t>
        </is>
      </c>
      <c r="E245" s="50" t="inlineStr">
        <is>
          <t>prophet_exogenous_regressor</t>
        </is>
      </c>
      <c r="F245" s="50" t="n">
        <v>4</v>
      </c>
      <c r="G245" s="49" t="inlineStr">
        <is>
          <t>nivel</t>
        </is>
      </c>
      <c r="H245" s="50" t="inlineStr">
        <is>
          <t>y_t + lags [1, 2, 3, 4, 5, 6]</t>
        </is>
      </c>
      <c r="I245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245" s="50" t="inlineStr">
        <is>
          <t>sin_escalar</t>
        </is>
      </c>
      <c r="K245" s="50" t="inlineStr">
        <is>
          <t>all</t>
        </is>
      </c>
      <c r="L245" s="50" t="inlineStr">
        <is>
          <t>walk-forward_expanding</t>
        </is>
      </c>
      <c r="M245" s="49" t="inlineStr">
        <is>
          <t>2024-10-14 a 2026-03-02</t>
        </is>
      </c>
      <c r="N245" s="49" t="inlineStr">
        <is>
          <t>{"feature_candidates": 83, "feature_mode": "all", "horizon": 4, "initial_train_size": 40, "lags": [1, 2, 3, 4, 5, 6], "model": "prophet_exogenous_regressor", "model_params": {"changepoint_prior_scale": 0.05, "daily_seasonality": false, "seasonality_mode": "additive", "tuning_strategy": "baseline_fijo_sin_tuning_interno", "uses_categorical_features": false, "uses_scaling": false, "weekly_seasonality": false, "yearly_seasonality": false}, "rows_eval": 23, "rows_modeling": 63, "selected_feature_count_avg": 83.0, "target_mode": "nivel", "transform_mode": ""}</t>
        </is>
      </c>
      <c r="O245" s="51" t="n">
        <v>0.35</v>
      </c>
      <c r="P245" s="51" t="n">
        <v>0.25</v>
      </c>
      <c r="Q245" s="51" t="n">
        <v>0.25</v>
      </c>
      <c r="R245" s="51" t="n">
        <v>0.1</v>
      </c>
      <c r="S245" s="52" t="n">
        <v>0.15</v>
      </c>
      <c r="T245" s="53" t="n">
        <v>1</v>
      </c>
      <c r="U245" s="53" t="n">
        <v>0.6521739130434783</v>
      </c>
      <c r="V245" s="53" t="n">
        <v>0.7777777777777778</v>
      </c>
      <c r="W245" s="53" t="n">
        <v>0.9565217391304348</v>
      </c>
      <c r="X245" s="54" t="n">
        <v>0.1204710144927536</v>
      </c>
      <c r="Y245" s="53" t="n">
        <v>10.09071155556653</v>
      </c>
      <c r="Z245" s="53" t="n">
        <v>14.89608539143883</v>
      </c>
      <c r="AA245" s="55" t="n">
        <v>0.3478260869565217</v>
      </c>
      <c r="AB245" s="55" t="n">
        <v>0.2222222222222222</v>
      </c>
      <c r="AC245" s="49" t="inlineStr">
        <is>
          <t>corrido</t>
        </is>
      </c>
      <c r="AD245" s="49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</t>
        </is>
      </c>
      <c r="AE245" s="49" t="inlineStr">
        <is>
          <t>run_e7_prophet.py</t>
        </is>
      </c>
      <c r="AF245" s="49" t="inlineStr">
        <is>
          <t>Scripts/Modeling/run_e7_prophet.py</t>
        </is>
      </c>
      <c r="AG245" s="49" t="inlineStr">
        <is>
          <t>Experimentos/runs/E7_v2_clean_20260330_105319</t>
        </is>
      </c>
      <c r="AH245" s="49" t="inlineStr">
        <is>
          <t>Experimentos/runs/E7_v2_clean_20260330_105319/scripts/run_e7_prophet.py</t>
        </is>
      </c>
      <c r="AI245" s="49" t="inlineStr">
        <is>
          <t>Experimentos/runs/E7_v2_clean_20260330_105319/parametros_run.json</t>
        </is>
      </c>
      <c r="AJ245" s="49" t="inlineStr">
        <is>
          <t>Experimentos/runs/E7_v2_clean_20260330_105319/metricas_horizonte.json</t>
        </is>
      </c>
      <c r="AK245" s="49" t="inlineStr">
        <is>
          <t>2026-03-30 10:53:19</t>
        </is>
      </c>
      <c r="AL245" s="49" t="inlineStr">
        <is>
          <t>regresion</t>
        </is>
      </c>
      <c r="AM245" s="49" t="n"/>
      <c r="AN245" s="49" t="n"/>
      <c r="AO245" s="49" t="n"/>
      <c r="AP245" s="49" t="n"/>
      <c r="AQ245" s="49" t="n"/>
      <c r="AR245" s="49" t="n"/>
      <c r="AS245" s="49" t="n"/>
      <c r="AT245" s="49" t="n"/>
      <c r="AU245" s="49" t="n"/>
      <c r="AV245" s="49" t="n"/>
      <c r="AW245" s="49" t="n"/>
      <c r="AX245" s="49" t="n"/>
      <c r="AY245" s="49" t="n">
        <v>0.1204710144927536</v>
      </c>
    </row>
    <row r="246" ht="15" customHeight="1" s="27">
      <c r="A246" s="49" t="inlineStr">
        <is>
          <t>2026-03-30 11:38:01</t>
        </is>
      </c>
      <c r="B246" s="49" t="inlineStr">
        <is>
          <t>E7_v3_clean</t>
        </is>
      </c>
      <c r="C246" s="50" t="inlineStr">
        <is>
          <t>E7</t>
        </is>
      </c>
      <c r="D246" s="50" t="inlineStr">
        <is>
          <t>series_tiempo_exogenas</t>
        </is>
      </c>
      <c r="E246" s="50" t="inlineStr">
        <is>
          <t>prophet_exogenous_regressor</t>
        </is>
      </c>
      <c r="F246" s="50" t="n">
        <v>1</v>
      </c>
      <c r="G246" s="49" t="inlineStr">
        <is>
          <t>nivel</t>
        </is>
      </c>
      <c r="H246" s="50" t="inlineStr">
        <is>
          <t>y_t + lags [1, 2, 3, 4, 5, 6]</t>
        </is>
      </c>
      <c r="I246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246" s="50" t="inlineStr">
        <is>
          <t>sin_escalar</t>
        </is>
      </c>
      <c r="K246" s="50" t="inlineStr">
        <is>
          <t>corr</t>
        </is>
      </c>
      <c r="L246" s="50" t="inlineStr">
        <is>
          <t>walk-forward_expanding</t>
        </is>
      </c>
      <c r="M246" s="49" t="inlineStr">
        <is>
          <t>2024-10-14 a 2026-03-02</t>
        </is>
      </c>
      <c r="N246" s="49" t="inlineStr">
        <is>
          <t>{"feature_candidates": 83, "feature_mode": "corr", "horizon": 1, "initial_train_size": 40, "lags": [1, 2, 3, 4, 5, 6], "model": "prophet_exogenous_regressor", "model_params": {"changepoint_prior_scale": 0.2, "daily_seasonality": false, "seasonality_mode": "additive", "tuning_strategy": "baseline_fijo_sin_tuning_interno", "uses_categorical_features": false, "uses_scaling": false, "weekly_seasonality": false, "yearly_seasonality": false}, "rows_eval": 26, "rows_modeling": 66, "selected_feature_count_avg": 30.0, "target_mode": "nivel", "transform_mode": ""}</t>
        </is>
      </c>
      <c r="O246" s="51" t="n">
        <v>0.35</v>
      </c>
      <c r="P246" s="51" t="n">
        <v>0.25</v>
      </c>
      <c r="Q246" s="51" t="n">
        <v>0.25</v>
      </c>
      <c r="R246" s="51" t="n">
        <v>0.1</v>
      </c>
      <c r="S246" s="52" t="n">
        <v>0.3</v>
      </c>
      <c r="T246" s="53" t="n">
        <v>0.2422876160262609</v>
      </c>
      <c r="U246" s="53" t="n">
        <v>0.4230769230769231</v>
      </c>
      <c r="V246" s="53" t="n">
        <v>0.5</v>
      </c>
      <c r="W246" s="53" t="n">
        <v>0.7692307692307693</v>
      </c>
      <c r="X246" s="54" t="n">
        <v>0.1177478919904497</v>
      </c>
      <c r="Y246" s="53" t="n">
        <v>0.1490757099022396</v>
      </c>
      <c r="Z246" s="53" t="n">
        <v>0.1792928515946534</v>
      </c>
      <c r="AA246" s="55" t="n">
        <v>0.5769230769230769</v>
      </c>
      <c r="AB246" s="55" t="n">
        <v>0.5</v>
      </c>
      <c r="AC246" s="49" t="inlineStr">
        <is>
          <t>corrido</t>
        </is>
      </c>
      <c r="AD246" s="49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</t>
        </is>
      </c>
      <c r="AE246" s="49" t="inlineStr">
        <is>
          <t>run_e7_prophet.py</t>
        </is>
      </c>
      <c r="AF246" s="49" t="inlineStr">
        <is>
          <t>Scripts/Modeling/run_e7_prophet.py</t>
        </is>
      </c>
      <c r="AG246" s="49" t="inlineStr">
        <is>
          <t>Experimentos/runs/E7_v3_clean_20260330_113801</t>
        </is>
      </c>
      <c r="AH246" s="49" t="inlineStr">
        <is>
          <t>Experimentos/runs/E7_v3_clean_20260330_113801/scripts/run_e7_prophet.py</t>
        </is>
      </c>
      <c r="AI246" s="49" t="inlineStr">
        <is>
          <t>Experimentos/runs/E7_v3_clean_20260330_113801/parametros_run.json</t>
        </is>
      </c>
      <c r="AJ246" s="49" t="inlineStr">
        <is>
          <t>Experimentos/runs/E7_v3_clean_20260330_113801/metricas_horizonte.json</t>
        </is>
      </c>
      <c r="AK246" s="49" t="inlineStr">
        <is>
          <t>2026-03-30 11:38:01</t>
        </is>
      </c>
      <c r="AL246" s="49" t="inlineStr">
        <is>
          <t>regresion</t>
        </is>
      </c>
      <c r="AM246" s="49" t="n"/>
      <c r="AN246" s="49" t="n"/>
      <c r="AO246" s="49" t="n"/>
      <c r="AP246" s="49" t="n"/>
      <c r="AQ246" s="49" t="n"/>
      <c r="AR246" s="49" t="n"/>
      <c r="AS246" s="49" t="n"/>
      <c r="AT246" s="49" t="n"/>
      <c r="AU246" s="49" t="n"/>
      <c r="AV246" s="49" t="n"/>
      <c r="AW246" s="49" t="n"/>
      <c r="AX246" s="49" t="n"/>
      <c r="AY246" s="49" t="n">
        <v>0.1177478919904497</v>
      </c>
    </row>
    <row r="247" ht="15" customHeight="1" s="27">
      <c r="A247" s="49" t="inlineStr">
        <is>
          <t>2026-03-30 11:38:01</t>
        </is>
      </c>
      <c r="B247" s="49" t="inlineStr">
        <is>
          <t>E7_v3_clean</t>
        </is>
      </c>
      <c r="C247" s="50" t="inlineStr">
        <is>
          <t>E7</t>
        </is>
      </c>
      <c r="D247" s="50" t="inlineStr">
        <is>
          <t>series_tiempo_exogenas</t>
        </is>
      </c>
      <c r="E247" s="50" t="inlineStr">
        <is>
          <t>prophet_exogenous_regressor</t>
        </is>
      </c>
      <c r="F247" s="50" t="n">
        <v>2</v>
      </c>
      <c r="G247" s="49" t="inlineStr">
        <is>
          <t>nivel</t>
        </is>
      </c>
      <c r="H247" s="50" t="inlineStr">
        <is>
          <t>y_t + lags [1, 2, 3, 4, 5, 6]</t>
        </is>
      </c>
      <c r="I247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247" s="50" t="inlineStr">
        <is>
          <t>sin_escalar</t>
        </is>
      </c>
      <c r="K247" s="50" t="inlineStr">
        <is>
          <t>corr</t>
        </is>
      </c>
      <c r="L247" s="50" t="inlineStr">
        <is>
          <t>walk-forward_expanding</t>
        </is>
      </c>
      <c r="M247" s="49" t="inlineStr">
        <is>
          <t>2024-10-14 a 2026-03-02</t>
        </is>
      </c>
      <c r="N247" s="49" t="inlineStr">
        <is>
          <t>{"feature_candidates": 83, "feature_mode": "corr", "horizon": 2, "initial_train_size": 40, "lags": [1, 2, 3, 4, 5, 6], "model": "prophet_exogenous_regressor", "model_params": {"changepoint_prior_scale": 0.2, "daily_seasonality": false, "seasonality_mode": "additive", "tuning_strategy": "baseline_fijo_sin_tuning_interno", "uses_categorical_features": false, "uses_scaling": false, "weekly_seasonality": false, "yearly_seasonality": false}, "rows_eval": 25, "rows_modeling": 65, "selected_feature_count_avg": 30.0, "target_mode": "nivel", "transform_mode": ""}</t>
        </is>
      </c>
      <c r="O247" s="51" t="n">
        <v>0.35</v>
      </c>
      <c r="P247" s="51" t="n">
        <v>0.25</v>
      </c>
      <c r="Q247" s="51" t="n">
        <v>0.25</v>
      </c>
      <c r="R247" s="51" t="n">
        <v>0.1</v>
      </c>
      <c r="S247" s="52" t="n">
        <v>0.25</v>
      </c>
      <c r="T247" s="53" t="n">
        <v>0.1991947698591699</v>
      </c>
      <c r="U247" s="53" t="n">
        <v>0.36</v>
      </c>
      <c r="V247" s="53" t="n">
        <v>0.2</v>
      </c>
      <c r="W247" s="53" t="n">
        <v>0.64</v>
      </c>
      <c r="X247" s="54" t="n">
        <v>0.06842954236267737</v>
      </c>
      <c r="Y247" s="53" t="n">
        <v>0.1225613682308485</v>
      </c>
      <c r="Z247" s="53" t="n">
        <v>0.1620852721201695</v>
      </c>
      <c r="AA247" s="55" t="n">
        <v>0.64</v>
      </c>
      <c r="AB247" s="55" t="n">
        <v>0.8</v>
      </c>
      <c r="AC247" s="49" t="inlineStr">
        <is>
          <t>corrido</t>
        </is>
      </c>
      <c r="AD247" s="49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</t>
        </is>
      </c>
      <c r="AE247" s="49" t="inlineStr">
        <is>
          <t>run_e7_prophet.py</t>
        </is>
      </c>
      <c r="AF247" s="49" t="inlineStr">
        <is>
          <t>Scripts/Modeling/run_e7_prophet.py</t>
        </is>
      </c>
      <c r="AG247" s="49" t="inlineStr">
        <is>
          <t>Experimentos/runs/E7_v3_clean_20260330_113801</t>
        </is>
      </c>
      <c r="AH247" s="49" t="inlineStr">
        <is>
          <t>Experimentos/runs/E7_v3_clean_20260330_113801/scripts/run_e7_prophet.py</t>
        </is>
      </c>
      <c r="AI247" s="49" t="inlineStr">
        <is>
          <t>Experimentos/runs/E7_v3_clean_20260330_113801/parametros_run.json</t>
        </is>
      </c>
      <c r="AJ247" s="49" t="inlineStr">
        <is>
          <t>Experimentos/runs/E7_v3_clean_20260330_113801/metricas_horizonte.json</t>
        </is>
      </c>
      <c r="AK247" s="49" t="inlineStr">
        <is>
          <t>2026-03-30 11:38:01</t>
        </is>
      </c>
      <c r="AL247" s="49" t="inlineStr">
        <is>
          <t>regresion</t>
        </is>
      </c>
      <c r="AM247" s="49" t="n"/>
      <c r="AN247" s="49" t="n"/>
      <c r="AO247" s="49" t="n"/>
      <c r="AP247" s="49" t="n"/>
      <c r="AQ247" s="49" t="n"/>
      <c r="AR247" s="49" t="n"/>
      <c r="AS247" s="49" t="n"/>
      <c r="AT247" s="49" t="n"/>
      <c r="AU247" s="49" t="n"/>
      <c r="AV247" s="49" t="n"/>
      <c r="AW247" s="49" t="n"/>
      <c r="AX247" s="49" t="n"/>
      <c r="AY247" s="49" t="n">
        <v>0.06842954236267737</v>
      </c>
    </row>
    <row r="248" ht="15" customHeight="1" s="27">
      <c r="A248" s="49" t="inlineStr">
        <is>
          <t>2026-03-30 11:38:01</t>
        </is>
      </c>
      <c r="B248" s="49" t="inlineStr">
        <is>
          <t>E7_v3_clean</t>
        </is>
      </c>
      <c r="C248" s="50" t="inlineStr">
        <is>
          <t>E7</t>
        </is>
      </c>
      <c r="D248" s="50" t="inlineStr">
        <is>
          <t>series_tiempo_exogenas</t>
        </is>
      </c>
      <c r="E248" s="50" t="inlineStr">
        <is>
          <t>prophet_exogenous_regressor</t>
        </is>
      </c>
      <c r="F248" s="50" t="n">
        <v>3</v>
      </c>
      <c r="G248" s="49" t="inlineStr">
        <is>
          <t>nivel</t>
        </is>
      </c>
      <c r="H248" s="50" t="inlineStr">
        <is>
          <t>y_t + lags [1, 2, 3, 4, 5, 6]</t>
        </is>
      </c>
      <c r="I248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248" s="50" t="inlineStr">
        <is>
          <t>sin_escalar</t>
        </is>
      </c>
      <c r="K248" s="50" t="inlineStr">
        <is>
          <t>corr</t>
        </is>
      </c>
      <c r="L248" s="50" t="inlineStr">
        <is>
          <t>walk-forward_expanding</t>
        </is>
      </c>
      <c r="M248" s="49" t="inlineStr">
        <is>
          <t>2024-10-14 a 2026-03-02</t>
        </is>
      </c>
      <c r="N248" s="49" t="inlineStr">
        <is>
          <t>{"feature_candidates": 83, "feature_mode": "corr", "horizon": 3, "initial_train_size": 40, "lags": [1, 2, 3, 4, 5, 6], "model": "prophet_exogenous_regressor", "model_params": {"changepoint_prior_scale": 0.2, "daily_seasonality": false, "seasonality_mode": "additive", "tuning_strategy": "baseline_fijo_sin_tuning_interno", "uses_categorical_features": false, "uses_scaling": false, "weekly_seasonality": false, "yearly_seasonality": false}, "rows_eval": 24, "rows_modeling": 64, "selected_feature_count_avg": 30.0, "target_mode": "nivel", "transform_mode": ""}</t>
        </is>
      </c>
      <c r="O248" s="51" t="n">
        <v>0.35</v>
      </c>
      <c r="P248" s="51" t="n">
        <v>0.25</v>
      </c>
      <c r="Q248" s="51" t="n">
        <v>0.25</v>
      </c>
      <c r="R248" s="51" t="n">
        <v>0.1</v>
      </c>
      <c r="S248" s="52" t="n">
        <v>0.3</v>
      </c>
      <c r="T248" s="53" t="n">
        <v>0.2403424219047996</v>
      </c>
      <c r="U248" s="53" t="n">
        <v>0.1666666666666666</v>
      </c>
      <c r="V248" s="53" t="n">
        <v>0.09090909090909094</v>
      </c>
      <c r="W248" s="53" t="n">
        <v>0.7916666666666666</v>
      </c>
      <c r="X248" s="54" t="n">
        <v>0.06830413611818577</v>
      </c>
      <c r="Y248" s="53" t="n">
        <v>0.1478788629510398</v>
      </c>
      <c r="Z248" s="53" t="n">
        <v>0.1881952744770126</v>
      </c>
      <c r="AA248" s="55" t="n">
        <v>0.8333333333333334</v>
      </c>
      <c r="AB248" s="55" t="n">
        <v>0.9090909090909091</v>
      </c>
      <c r="AC248" s="49" t="inlineStr">
        <is>
          <t>corrido</t>
        </is>
      </c>
      <c r="AD248" s="49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</t>
        </is>
      </c>
      <c r="AE248" s="49" t="inlineStr">
        <is>
          <t>run_e7_prophet.py</t>
        </is>
      </c>
      <c r="AF248" s="49" t="inlineStr">
        <is>
          <t>Scripts/Modeling/run_e7_prophet.py</t>
        </is>
      </c>
      <c r="AG248" s="49" t="inlineStr">
        <is>
          <t>Experimentos/runs/E7_v3_clean_20260330_113801</t>
        </is>
      </c>
      <c r="AH248" s="49" t="inlineStr">
        <is>
          <t>Experimentos/runs/E7_v3_clean_20260330_113801/scripts/run_e7_prophet.py</t>
        </is>
      </c>
      <c r="AI248" s="49" t="inlineStr">
        <is>
          <t>Experimentos/runs/E7_v3_clean_20260330_113801/parametros_run.json</t>
        </is>
      </c>
      <c r="AJ248" s="49" t="inlineStr">
        <is>
          <t>Experimentos/runs/E7_v3_clean_20260330_113801/metricas_horizonte.json</t>
        </is>
      </c>
      <c r="AK248" s="49" t="inlineStr">
        <is>
          <t>2026-03-30 11:38:01</t>
        </is>
      </c>
      <c r="AL248" s="49" t="inlineStr">
        <is>
          <t>regresion</t>
        </is>
      </c>
      <c r="AM248" s="49" t="n"/>
      <c r="AN248" s="49" t="n"/>
      <c r="AO248" s="49" t="n"/>
      <c r="AP248" s="49" t="n"/>
      <c r="AQ248" s="49" t="n"/>
      <c r="AR248" s="49" t="n"/>
      <c r="AS248" s="49" t="n"/>
      <c r="AT248" s="49" t="n"/>
      <c r="AU248" s="49" t="n"/>
      <c r="AV248" s="49" t="n"/>
      <c r="AW248" s="49" t="n"/>
      <c r="AX248" s="49" t="n"/>
      <c r="AY248" s="49" t="n">
        <v>0.06830413611818577</v>
      </c>
    </row>
    <row r="249" ht="15" customHeight="1" s="27">
      <c r="A249" s="49" t="inlineStr">
        <is>
          <t>2026-03-30 11:38:01</t>
        </is>
      </c>
      <c r="B249" s="49" t="inlineStr">
        <is>
          <t>E7_v3_clean</t>
        </is>
      </c>
      <c r="C249" s="50" t="inlineStr">
        <is>
          <t>E7</t>
        </is>
      </c>
      <c r="D249" s="50" t="inlineStr">
        <is>
          <t>series_tiempo_exogenas</t>
        </is>
      </c>
      <c r="E249" s="50" t="inlineStr">
        <is>
          <t>prophet_exogenous_regressor</t>
        </is>
      </c>
      <c r="F249" s="50" t="n">
        <v>4</v>
      </c>
      <c r="G249" s="49" t="inlineStr">
        <is>
          <t>nivel</t>
        </is>
      </c>
      <c r="H249" s="50" t="inlineStr">
        <is>
          <t>y_t + lags [1, 2, 3, 4, 5, 6]</t>
        </is>
      </c>
      <c r="I249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249" s="50" t="inlineStr">
        <is>
          <t>sin_escalar</t>
        </is>
      </c>
      <c r="K249" s="50" t="inlineStr">
        <is>
          <t>corr</t>
        </is>
      </c>
      <c r="L249" s="50" t="inlineStr">
        <is>
          <t>walk-forward_expanding</t>
        </is>
      </c>
      <c r="M249" s="49" t="inlineStr">
        <is>
          <t>2024-10-14 a 2026-03-02</t>
        </is>
      </c>
      <c r="N249" s="49" t="inlineStr">
        <is>
          <t>{"feature_candidates": 83, "feature_mode": "corr", "horizon": 4, "initial_train_size": 40, "lags": [1, 2, 3, 4, 5, 6], "model": "prophet_exogenous_regressor", "model_params": {"changepoint_prior_scale": 0.2, "daily_seasonality": false, "seasonality_mode": "additive", "tuning_strategy": "baseline_fijo_sin_tuning_interno", "uses_categorical_features": false, "uses_scaling": false, "weekly_seasonality": false, "yearly_seasonality": false}, "rows_eval": 23, "rows_modeling": 63, "selected_feature_count_avg": 30.0, "target_mode": "nivel", "transform_mode": ""}</t>
        </is>
      </c>
      <c r="O249" s="51" t="n">
        <v>0.35</v>
      </c>
      <c r="P249" s="51" t="n">
        <v>0.25</v>
      </c>
      <c r="Q249" s="51" t="n">
        <v>0.25</v>
      </c>
      <c r="R249" s="51" t="n">
        <v>0.1</v>
      </c>
      <c r="S249" s="52" t="n">
        <v>0.15</v>
      </c>
      <c r="T249" s="53" t="n">
        <v>0.3222615577990883</v>
      </c>
      <c r="U249" s="53" t="n">
        <v>0.5217391304347826</v>
      </c>
      <c r="V249" s="53" t="n">
        <v>0.4444444444444444</v>
      </c>
      <c r="W249" s="53" t="n">
        <v>0.9130434782608695</v>
      </c>
      <c r="X249" s="54" t="n">
        <v>0.0668462680163362</v>
      </c>
      <c r="Y249" s="53" t="n">
        <v>0.1982824020931125</v>
      </c>
      <c r="Z249" s="53" t="n">
        <v>0.2481854157465298</v>
      </c>
      <c r="AA249" s="55" t="n">
        <v>0.4782608695652174</v>
      </c>
      <c r="AB249" s="55" t="n">
        <v>0.5555555555555556</v>
      </c>
      <c r="AC249" s="49" t="inlineStr">
        <is>
          <t>corrido</t>
        </is>
      </c>
      <c r="AD249" s="49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</t>
        </is>
      </c>
      <c r="AE249" s="49" t="inlineStr">
        <is>
          <t>run_e7_prophet.py</t>
        </is>
      </c>
      <c r="AF249" s="49" t="inlineStr">
        <is>
          <t>Scripts/Modeling/run_e7_prophet.py</t>
        </is>
      </c>
      <c r="AG249" s="49" t="inlineStr">
        <is>
          <t>Experimentos/runs/E7_v3_clean_20260330_113801</t>
        </is>
      </c>
      <c r="AH249" s="49" t="inlineStr">
        <is>
          <t>Experimentos/runs/E7_v3_clean_20260330_113801/scripts/run_e7_prophet.py</t>
        </is>
      </c>
      <c r="AI249" s="49" t="inlineStr">
        <is>
          <t>Experimentos/runs/E7_v3_clean_20260330_113801/parametros_run.json</t>
        </is>
      </c>
      <c r="AJ249" s="49" t="inlineStr">
        <is>
          <t>Experimentos/runs/E7_v3_clean_20260330_113801/metricas_horizonte.json</t>
        </is>
      </c>
      <c r="AK249" s="49" t="inlineStr">
        <is>
          <t>2026-03-30 11:38:01</t>
        </is>
      </c>
      <c r="AL249" s="49" t="inlineStr">
        <is>
          <t>regresion</t>
        </is>
      </c>
      <c r="AM249" s="49" t="n"/>
      <c r="AN249" s="49" t="n"/>
      <c r="AO249" s="49" t="n"/>
      <c r="AP249" s="49" t="n"/>
      <c r="AQ249" s="49" t="n"/>
      <c r="AR249" s="49" t="n"/>
      <c r="AS249" s="49" t="n"/>
      <c r="AT249" s="49" t="n"/>
      <c r="AU249" s="49" t="n"/>
      <c r="AV249" s="49" t="n"/>
      <c r="AW249" s="49" t="n"/>
      <c r="AX249" s="49" t="n"/>
      <c r="AY249" s="49" t="n">
        <v>0.0668462680163362</v>
      </c>
    </row>
    <row r="250" ht="15" customHeight="1" s="27">
      <c r="A250" s="49" t="inlineStr">
        <is>
          <t>2026-04-01 05:04:22</t>
        </is>
      </c>
      <c r="B250" s="49" t="inlineStr">
        <is>
          <t>E8_v1_clean</t>
        </is>
      </c>
      <c r="C250" s="50" t="inlineStr">
        <is>
          <t>E8</t>
        </is>
      </c>
      <c r="D250" s="50" t="inlineStr">
        <is>
          <t>hibrido_residual</t>
        </is>
      </c>
      <c r="E250" s="50" t="inlineStr">
        <is>
          <t>hybrid_residual_ridge_tscv_catboost_regressor</t>
        </is>
      </c>
      <c r="F250" s="50" t="n">
        <v>1</v>
      </c>
      <c r="G250" s="49" t="inlineStr">
        <is>
          <t>nivel</t>
        </is>
      </c>
      <c r="H250" s="50" t="inlineStr">
        <is>
          <t>y_t + lags [1, 2, 3, 4, 5, 6]</t>
        </is>
      </c>
      <c r="I250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250" s="50" t="inlineStr">
        <is>
          <t>hibrido_residual</t>
        </is>
      </c>
      <c r="K250" s="50" t="inlineStr">
        <is>
          <t>base=corr;residual=corr</t>
        </is>
      </c>
      <c r="L250" s="50" t="inlineStr">
        <is>
          <t>walk-forward_expanding</t>
        </is>
      </c>
      <c r="M250" s="49" t="inlineStr">
        <is>
          <t>2024-10-14 a 2026-03-02</t>
        </is>
      </c>
      <c r="N250" s="49" t="inlineStr">
        <is>
          <t>{"feature_candidates": 83, "feature_mode": "corr", "horizon": 1, "initial_train_size": 40, "lags": [1, 2, 3, 4, 5, 6], "model": "hybrid_residual_ridge_tscv_catboost_regressor", "model_params": {"base_feature_mode": "corr", "base_model": "ridge_tscv", "base_params":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"inner_splits": 3, "selection_metric": "mae", "transform_mode": "standard", "winsor_lower_quantile": 0.05, "winsor_upper_quantile": 0.95}, "hybrid_formula": "y_pred_final = y_pred_base + y_pred_residual", "residual_feature_mode": "corr", "residual_inner_splits": 3, "residual_min_oof_rows": 12, "residual_model": "catboost_regressor", "residual_params": {"depth": 5, "iterations": 300, "l2_leaf_reg": 3.0, "learning_rate": 0.05, "random_seed": 42, "subsample": 0.8}, "residual_target_generation": "OOF temporal via TimeSeriesSplit dentro de cada fold externo", "uses_categorical_features": false, "uses_scaling": "mixed"}, "rows_eval": 26, "rows_modeling": 66, "selected_feature_count_avg": 48.07692307692308, "target_mode": "nivel", "transform_mode": ""}</t>
        </is>
      </c>
      <c r="O250" s="51" t="n">
        <v>0.35</v>
      </c>
      <c r="P250" s="51" t="n">
        <v>0.25</v>
      </c>
      <c r="Q250" s="51" t="n">
        <v>0.25</v>
      </c>
      <c r="R250" s="51" t="n">
        <v>0.1</v>
      </c>
      <c r="S250" s="52" t="n">
        <v>0.3</v>
      </c>
      <c r="T250" s="53" t="n">
        <v>0.2415936841625439</v>
      </c>
      <c r="U250" s="53" t="n">
        <v>0.3461538461538461</v>
      </c>
      <c r="V250" s="53" t="n">
        <v>0.4166666666666666</v>
      </c>
      <c r="W250" s="53" t="n">
        <v>0.8846153846153846</v>
      </c>
      <c r="X250" s="54" t="n">
        <v>0.1091173368370671</v>
      </c>
      <c r="Y250" s="53" t="n">
        <v>0.148648744682539</v>
      </c>
      <c r="Z250" s="53" t="n">
        <v>0.1696289216273758</v>
      </c>
      <c r="AA250" s="55" t="n">
        <v>0.6538461538461539</v>
      </c>
      <c r="AB250" s="55" t="n">
        <v>0.5833333333333334</v>
      </c>
      <c r="AC250" s="49" t="inlineStr">
        <is>
          <t>corrido</t>
        </is>
      </c>
      <c r="AD250" s="49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</t>
        </is>
      </c>
      <c r="AE250" s="49" t="inlineStr">
        <is>
          <t>run_e8_hibrido_residuales.py</t>
        </is>
      </c>
      <c r="AF250" s="49" t="inlineStr">
        <is>
          <t>Scripts/Modeling/run_e8_hibrido_residuales.py</t>
        </is>
      </c>
      <c r="AG250" s="49" t="inlineStr">
        <is>
          <t>Experimentos/runs/E8_v1_clean_20260401_050422</t>
        </is>
      </c>
      <c r="AH250" s="49" t="inlineStr">
        <is>
          <t>Experimentos/runs/E8_v1_clean_20260401_050422/scripts/run_e8_hibrido_residuales.py</t>
        </is>
      </c>
      <c r="AI250" s="49" t="inlineStr">
        <is>
          <t>Experimentos/runs/E8_v1_clean_20260401_050422/parametros_run.json</t>
        </is>
      </c>
      <c r="AJ250" s="49" t="inlineStr">
        <is>
          <t>Experimentos/runs/E8_v1_clean_20260401_050422/metricas_horizonte.json</t>
        </is>
      </c>
      <c r="AK250" s="49" t="inlineStr">
        <is>
          <t>2026-04-01 05:04:22</t>
        </is>
      </c>
      <c r="AL250" s="49" t="inlineStr">
        <is>
          <t>regresion</t>
        </is>
      </c>
      <c r="AM250" s="49" t="n"/>
      <c r="AN250" s="49" t="n"/>
      <c r="AO250" s="49" t="n"/>
      <c r="AP250" s="49" t="n"/>
      <c r="AQ250" s="49" t="n"/>
      <c r="AR250" s="49" t="n"/>
      <c r="AS250" s="49" t="n"/>
      <c r="AT250" s="49" t="n"/>
      <c r="AU250" s="49" t="n"/>
      <c r="AV250" s="49" t="n"/>
      <c r="AW250" s="49" t="n"/>
      <c r="AX250" s="49" t="n"/>
      <c r="AY250" s="49" t="n">
        <v>0.1091173368370671</v>
      </c>
    </row>
    <row r="251" ht="15" customHeight="1" s="27">
      <c r="A251" s="49" t="inlineStr">
        <is>
          <t>2026-04-01 05:04:22</t>
        </is>
      </c>
      <c r="B251" s="49" t="inlineStr">
        <is>
          <t>E8_v1_clean</t>
        </is>
      </c>
      <c r="C251" s="50" t="inlineStr">
        <is>
          <t>E8</t>
        </is>
      </c>
      <c r="D251" s="50" t="inlineStr">
        <is>
          <t>hibrido_residual</t>
        </is>
      </c>
      <c r="E251" s="50" t="inlineStr">
        <is>
          <t>hybrid_residual_ridge_tscv_catboost_regressor</t>
        </is>
      </c>
      <c r="F251" s="50" t="n">
        <v>2</v>
      </c>
      <c r="G251" s="49" t="inlineStr">
        <is>
          <t>nivel</t>
        </is>
      </c>
      <c r="H251" s="50" t="inlineStr">
        <is>
          <t>y_t + lags [1, 2, 3, 4, 5, 6]</t>
        </is>
      </c>
      <c r="I251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251" s="50" t="inlineStr">
        <is>
          <t>hibrido_residual</t>
        </is>
      </c>
      <c r="K251" s="50" t="inlineStr">
        <is>
          <t>base=corr;residual=corr</t>
        </is>
      </c>
      <c r="L251" s="50" t="inlineStr">
        <is>
          <t>walk-forward_expanding</t>
        </is>
      </c>
      <c r="M251" s="49" t="inlineStr">
        <is>
          <t>2024-10-14 a 2026-03-02</t>
        </is>
      </c>
      <c r="N251" s="49" t="inlineStr">
        <is>
          <t>{"feature_candidates": 83, "feature_mode": "corr", "horizon": 2, "initial_train_size": 40, "lags": [1, 2, 3, 4, 5, 6], "model": "hybrid_residual_ridge_tscv_catboost_regressor", "model_params": {"base_feature_mode": "corr", "base_model": "ridge_tscv", "base_params":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"inner_splits": 3, "selection_metric": "mae", "transform_mode": "standard", "winsor_lower_quantile": 0.05, "winsor_upper_quantile": 0.95}, "hybrid_formula": "y_pred_final = y_pred_base + y_pred_residual", "residual_feature_mode": "corr", "residual_inner_splits": 3, "residual_min_oof_rows": 12, "residual_model": "catboost_regressor", "residual_params": {"depth": 5, "iterations": 300, "l2_leaf_reg": 3.0, "learning_rate": 0.05, "random_seed": 42, "subsample": 0.8}, "residual_target_generation": "OOF temporal via TimeSeriesSplit dentro de cada fold externo", "uses_categorical_features": false, "uses_scaling": "mixed"}, "rows_eval": 25, "rows_modeling": 65, "selected_feature_count_avg": 45.92, "target_mode": "nivel", "transform_mode": ""}</t>
        </is>
      </c>
      <c r="O251" s="51" t="n">
        <v>0.35</v>
      </c>
      <c r="P251" s="51" t="n">
        <v>0.25</v>
      </c>
      <c r="Q251" s="51" t="n">
        <v>0.25</v>
      </c>
      <c r="R251" s="51" t="n">
        <v>0.1</v>
      </c>
      <c r="S251" s="52" t="n">
        <v>0.25</v>
      </c>
      <c r="T251" s="53" t="n">
        <v>0.2217249453240422</v>
      </c>
      <c r="U251" s="53" t="n">
        <v>0.4</v>
      </c>
      <c r="V251" s="53" t="n">
        <v>0.4</v>
      </c>
      <c r="W251" s="53" t="n">
        <v>0.88</v>
      </c>
      <c r="X251" s="54" t="n">
        <v>0.0914009327158537</v>
      </c>
      <c r="Y251" s="53" t="n">
        <v>0.1364238262331751</v>
      </c>
      <c r="Z251" s="53" t="n">
        <v>0.1646465546932954</v>
      </c>
      <c r="AA251" s="55" t="n">
        <v>0.6</v>
      </c>
      <c r="AB251" s="55" t="n">
        <v>0.6</v>
      </c>
      <c r="AC251" s="49" t="inlineStr">
        <is>
          <t>corrido</t>
        </is>
      </c>
      <c r="AD251" s="49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</t>
        </is>
      </c>
      <c r="AE251" s="49" t="inlineStr">
        <is>
          <t>run_e8_hibrido_residuales.py</t>
        </is>
      </c>
      <c r="AF251" s="49" t="inlineStr">
        <is>
          <t>Scripts/Modeling/run_e8_hibrido_residuales.py</t>
        </is>
      </c>
      <c r="AG251" s="49" t="inlineStr">
        <is>
          <t>Experimentos/runs/E8_v1_clean_20260401_050422</t>
        </is>
      </c>
      <c r="AH251" s="49" t="inlineStr">
        <is>
          <t>Experimentos/runs/E8_v1_clean_20260401_050422/scripts/run_e8_hibrido_residuales.py</t>
        </is>
      </c>
      <c r="AI251" s="49" t="inlineStr">
        <is>
          <t>Experimentos/runs/E8_v1_clean_20260401_050422/parametros_run.json</t>
        </is>
      </c>
      <c r="AJ251" s="49" t="inlineStr">
        <is>
          <t>Experimentos/runs/E8_v1_clean_20260401_050422/metricas_horizonte.json</t>
        </is>
      </c>
      <c r="AK251" s="49" t="inlineStr">
        <is>
          <t>2026-04-01 05:04:22</t>
        </is>
      </c>
      <c r="AL251" s="49" t="inlineStr">
        <is>
          <t>regresion</t>
        </is>
      </c>
      <c r="AM251" s="49" t="n"/>
      <c r="AN251" s="49" t="n"/>
      <c r="AO251" s="49" t="n"/>
      <c r="AP251" s="49" t="n"/>
      <c r="AQ251" s="49" t="n"/>
      <c r="AR251" s="49" t="n"/>
      <c r="AS251" s="49" t="n"/>
      <c r="AT251" s="49" t="n"/>
      <c r="AU251" s="49" t="n"/>
      <c r="AV251" s="49" t="n"/>
      <c r="AW251" s="49" t="n"/>
      <c r="AX251" s="49" t="n"/>
      <c r="AY251" s="49" t="n">
        <v>0.0914009327158537</v>
      </c>
    </row>
    <row r="252" ht="15" customHeight="1" s="27">
      <c r="A252" s="49" t="inlineStr">
        <is>
          <t>2026-04-01 05:04:22</t>
        </is>
      </c>
      <c r="B252" s="49" t="inlineStr">
        <is>
          <t>E8_v1_clean</t>
        </is>
      </c>
      <c r="C252" s="50" t="inlineStr">
        <is>
          <t>E8</t>
        </is>
      </c>
      <c r="D252" s="50" t="inlineStr">
        <is>
          <t>hibrido_residual</t>
        </is>
      </c>
      <c r="E252" s="50" t="inlineStr">
        <is>
          <t>hybrid_residual_ridge_tscv_catboost_regressor</t>
        </is>
      </c>
      <c r="F252" s="50" t="n">
        <v>3</v>
      </c>
      <c r="G252" s="49" t="inlineStr">
        <is>
          <t>nivel</t>
        </is>
      </c>
      <c r="H252" s="50" t="inlineStr">
        <is>
          <t>y_t + lags [1, 2, 3, 4, 5, 6]</t>
        </is>
      </c>
      <c r="I252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252" s="50" t="inlineStr">
        <is>
          <t>hibrido_residual</t>
        </is>
      </c>
      <c r="K252" s="50" t="inlineStr">
        <is>
          <t>base=corr;residual=corr</t>
        </is>
      </c>
      <c r="L252" s="50" t="inlineStr">
        <is>
          <t>walk-forward_expanding</t>
        </is>
      </c>
      <c r="M252" s="49" t="inlineStr">
        <is>
          <t>2024-10-14 a 2026-03-02</t>
        </is>
      </c>
      <c r="N252" s="49" t="inlineStr">
        <is>
          <t>{"feature_candidates": 83, "feature_mode": "corr", "horizon": 3, "initial_train_size": 40, "lags": [1, 2, 3, 4, 5, 6], "model": "hybrid_residual_ridge_tscv_catboost_regressor", "model_params": {"base_feature_mode": "corr", "base_model": "ridge_tscv", "base_params":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"inner_splits": 3, "selection_metric": "mae", "transform_mode": "standard", "winsor_lower_quantile": 0.05, "winsor_upper_quantile": 0.95}, "hybrid_formula": "y_pred_final = y_pred_base + y_pred_residual", "residual_feature_mode": "corr", "residual_inner_splits": 3, "residual_min_oof_rows": 12, "residual_model": "catboost_regressor", "residual_params": {"depth": 5, "iterations": 300, "l2_leaf_reg": 3.0, "learning_rate": 0.05, "random_seed": 42, "subsample": 0.8}, "residual_target_generation": "OOF temporal via TimeSeriesSplit dentro de cada fold externo", "uses_categorical_features": false, "uses_scaling": "mixed"}, "rows_eval": 24, "rows_modeling": 64, "selected_feature_count_avg": 45.833333333333336, "target_mode": "nivel", "transform_mode": ""}</t>
        </is>
      </c>
      <c r="O252" s="51" t="n">
        <v>0.35</v>
      </c>
      <c r="P252" s="51" t="n">
        <v>0.25</v>
      </c>
      <c r="Q252" s="51" t="n">
        <v>0.25</v>
      </c>
      <c r="R252" s="51" t="n">
        <v>0.1</v>
      </c>
      <c r="S252" s="52" t="n">
        <v>0.3</v>
      </c>
      <c r="T252" s="53" t="n">
        <v>0.2190940292884974</v>
      </c>
      <c r="U252" s="53" t="n">
        <v>0.25</v>
      </c>
      <c r="V252" s="53" t="n">
        <v>0.2727272727272727</v>
      </c>
      <c r="W252" s="53" t="n">
        <v>0.8333333333333334</v>
      </c>
      <c r="X252" s="54" t="n">
        <v>0.08720941852983768</v>
      </c>
      <c r="Y252" s="53" t="n">
        <v>0.1348050655134794</v>
      </c>
      <c r="Z252" s="53" t="n">
        <v>0.1641439909943457</v>
      </c>
      <c r="AA252" s="55" t="n">
        <v>0.75</v>
      </c>
      <c r="AB252" s="55" t="n">
        <v>0.7272727272727273</v>
      </c>
      <c r="AC252" s="49" t="inlineStr">
        <is>
          <t>corrido</t>
        </is>
      </c>
      <c r="AD252" s="49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</t>
        </is>
      </c>
      <c r="AE252" s="49" t="inlineStr">
        <is>
          <t>run_e8_hibrido_residuales.py</t>
        </is>
      </c>
      <c r="AF252" s="49" t="inlineStr">
        <is>
          <t>Scripts/Modeling/run_e8_hibrido_residuales.py</t>
        </is>
      </c>
      <c r="AG252" s="49" t="inlineStr">
        <is>
          <t>Experimentos/runs/E8_v1_clean_20260401_050422</t>
        </is>
      </c>
      <c r="AH252" s="49" t="inlineStr">
        <is>
          <t>Experimentos/runs/E8_v1_clean_20260401_050422/scripts/run_e8_hibrido_residuales.py</t>
        </is>
      </c>
      <c r="AI252" s="49" t="inlineStr">
        <is>
          <t>Experimentos/runs/E8_v1_clean_20260401_050422/parametros_run.json</t>
        </is>
      </c>
      <c r="AJ252" s="49" t="inlineStr">
        <is>
          <t>Experimentos/runs/E8_v1_clean_20260401_050422/metricas_horizonte.json</t>
        </is>
      </c>
      <c r="AK252" s="49" t="inlineStr">
        <is>
          <t>2026-04-01 05:04:22</t>
        </is>
      </c>
      <c r="AL252" s="49" t="inlineStr">
        <is>
          <t>regresion</t>
        </is>
      </c>
      <c r="AM252" s="49" t="n"/>
      <c r="AN252" s="49" t="n"/>
      <c r="AO252" s="49" t="n"/>
      <c r="AP252" s="49" t="n"/>
      <c r="AQ252" s="49" t="n"/>
      <c r="AR252" s="49" t="n"/>
      <c r="AS252" s="49" t="n"/>
      <c r="AT252" s="49" t="n"/>
      <c r="AU252" s="49" t="n"/>
      <c r="AV252" s="49" t="n"/>
      <c r="AW252" s="49" t="n"/>
      <c r="AX252" s="49" t="n"/>
      <c r="AY252" s="49" t="n">
        <v>0.08720941852983768</v>
      </c>
    </row>
    <row r="253" ht="15" customHeight="1" s="27">
      <c r="A253" s="49" t="inlineStr">
        <is>
          <t>2026-04-01 05:04:22</t>
        </is>
      </c>
      <c r="B253" s="49" t="inlineStr">
        <is>
          <t>E8_v1_clean</t>
        </is>
      </c>
      <c r="C253" s="50" t="inlineStr">
        <is>
          <t>E8</t>
        </is>
      </c>
      <c r="D253" s="50" t="inlineStr">
        <is>
          <t>hibrido_residual</t>
        </is>
      </c>
      <c r="E253" s="50" t="inlineStr">
        <is>
          <t>hybrid_residual_ridge_tscv_catboost_regressor</t>
        </is>
      </c>
      <c r="F253" s="50" t="n">
        <v>4</v>
      </c>
      <c r="G253" s="49" t="inlineStr">
        <is>
          <t>nivel</t>
        </is>
      </c>
      <c r="H253" s="50" t="inlineStr">
        <is>
          <t>y_t + lags [1, 2, 3, 4, 5, 6]</t>
        </is>
      </c>
      <c r="I253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253" s="50" t="inlineStr">
        <is>
          <t>hibrido_residual</t>
        </is>
      </c>
      <c r="K253" s="50" t="inlineStr">
        <is>
          <t>base=corr;residual=corr</t>
        </is>
      </c>
      <c r="L253" s="50" t="inlineStr">
        <is>
          <t>walk-forward_expanding</t>
        </is>
      </c>
      <c r="M253" s="49" t="inlineStr">
        <is>
          <t>2024-10-14 a 2026-03-02</t>
        </is>
      </c>
      <c r="N253" s="49" t="inlineStr">
        <is>
          <t>{"feature_candidates": 83, "feature_mode": "corr", "horizon": 4, "initial_train_size": 40, "lags": [1, 2, 3, 4, 5, 6], "model": "hybrid_residual_ridge_tscv_catboost_regressor", "model_params": {"base_feature_mode": "corr", "base_model": "ridge_tscv", "base_params":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"inner_splits": 3, "selection_metric": "mae", "transform_mode": "standard", "winsor_lower_quantile": 0.05, "winsor_upper_quantile": 0.95}, "hybrid_formula": "y_pred_final = y_pred_base + y_pred_residual", "residual_feature_mode": "corr", "residual_inner_splits": 3, "residual_min_oof_rows": 12, "residual_model": "catboost_regressor", "residual_params": {"depth": 5, "iterations": 300, "l2_leaf_reg": 3.0, "learning_rate": 0.05, "random_seed": 42, "subsample": 0.8}, "residual_target_generation": "OOF temporal via TimeSeriesSplit dentro de cada fold externo", "uses_categorical_features": false, "uses_scaling": "mixed"}, "rows_eval": 23, "rows_modeling": 63, "selected_feature_count_avg": 45.869565217391305, "target_mode": "nivel", "transform_mode": ""}</t>
        </is>
      </c>
      <c r="O253" s="51" t="n">
        <v>0.35</v>
      </c>
      <c r="P253" s="51" t="n">
        <v>0.25</v>
      </c>
      <c r="Q253" s="51" t="n">
        <v>0.25</v>
      </c>
      <c r="R253" s="51" t="n">
        <v>0.1</v>
      </c>
      <c r="S253" s="52" t="n">
        <v>0.15</v>
      </c>
      <c r="T253" s="53" t="n">
        <v>0.2185002387518402</v>
      </c>
      <c r="U253" s="53" t="n">
        <v>0.3478260869565217</v>
      </c>
      <c r="V253" s="53" t="n">
        <v>0.3333333333333334</v>
      </c>
      <c r="W253" s="53" t="n">
        <v>0.7826086956521739</v>
      </c>
      <c r="X253" s="54" t="n">
        <v>0.04875387123012379</v>
      </c>
      <c r="Y253" s="53" t="n">
        <v>0.1344397156568205</v>
      </c>
      <c r="Z253" s="53" t="n">
        <v>0.1653205614430033</v>
      </c>
      <c r="AA253" s="55" t="n">
        <v>0.6521739130434783</v>
      </c>
      <c r="AB253" s="55" t="n">
        <v>0.6666666666666666</v>
      </c>
      <c r="AC253" s="49" t="inlineStr">
        <is>
          <t>corrido</t>
        </is>
      </c>
      <c r="AD253" s="49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</t>
        </is>
      </c>
      <c r="AE253" s="49" t="inlineStr">
        <is>
          <t>run_e8_hibrido_residuales.py</t>
        </is>
      </c>
      <c r="AF253" s="49" t="inlineStr">
        <is>
          <t>Scripts/Modeling/run_e8_hibrido_residuales.py</t>
        </is>
      </c>
      <c r="AG253" s="49" t="inlineStr">
        <is>
          <t>Experimentos/runs/E8_v1_clean_20260401_050422</t>
        </is>
      </c>
      <c r="AH253" s="49" t="inlineStr">
        <is>
          <t>Experimentos/runs/E8_v1_clean_20260401_050422/scripts/run_e8_hibrido_residuales.py</t>
        </is>
      </c>
      <c r="AI253" s="49" t="inlineStr">
        <is>
          <t>Experimentos/runs/E8_v1_clean_20260401_050422/parametros_run.json</t>
        </is>
      </c>
      <c r="AJ253" s="49" t="inlineStr">
        <is>
          <t>Experimentos/runs/E8_v1_clean_20260401_050422/metricas_horizonte.json</t>
        </is>
      </c>
      <c r="AK253" s="49" t="inlineStr">
        <is>
          <t>2026-04-01 05:04:22</t>
        </is>
      </c>
      <c r="AL253" s="49" t="inlineStr">
        <is>
          <t>regresion</t>
        </is>
      </c>
      <c r="AM253" s="49" t="n"/>
      <c r="AN253" s="49" t="n"/>
      <c r="AO253" s="49" t="n"/>
      <c r="AP253" s="49" t="n"/>
      <c r="AQ253" s="49" t="n"/>
      <c r="AR253" s="49" t="n"/>
      <c r="AS253" s="49" t="n"/>
      <c r="AT253" s="49" t="n"/>
      <c r="AU253" s="49" t="n"/>
      <c r="AV253" s="49" t="n"/>
      <c r="AW253" s="49" t="n"/>
      <c r="AX253" s="49" t="n"/>
      <c r="AY253" s="49" t="n">
        <v>0.04875387123012379</v>
      </c>
    </row>
    <row r="254" ht="15" customHeight="1" s="27">
      <c r="A254" s="49" t="inlineStr">
        <is>
          <t>2026-04-01 05:07:21</t>
        </is>
      </c>
      <c r="B254" s="49" t="inlineStr">
        <is>
          <t>E8_v2_clean</t>
        </is>
      </c>
      <c r="C254" s="50" t="inlineStr">
        <is>
          <t>E8</t>
        </is>
      </c>
      <c r="D254" s="50" t="inlineStr">
        <is>
          <t>hibrido_residual</t>
        </is>
      </c>
      <c r="E254" s="50" t="inlineStr">
        <is>
          <t>hybrid_residual_catboost_regressor_ridge_tscv</t>
        </is>
      </c>
      <c r="F254" s="50" t="n">
        <v>1</v>
      </c>
      <c r="G254" s="49" t="inlineStr">
        <is>
          <t>nivel</t>
        </is>
      </c>
      <c r="H254" s="50" t="inlineStr">
        <is>
          <t>y_t + lags [1, 2, 3, 4, 5, 6]</t>
        </is>
      </c>
      <c r="I254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254" s="50" t="inlineStr">
        <is>
          <t>hibrido_residual</t>
        </is>
      </c>
      <c r="K254" s="50" t="inlineStr">
        <is>
          <t>base=all;residual=corr</t>
        </is>
      </c>
      <c r="L254" s="50" t="inlineStr">
        <is>
          <t>walk-forward_expanding</t>
        </is>
      </c>
      <c r="M254" s="49" t="inlineStr">
        <is>
          <t>2024-10-14 a 2026-03-02</t>
        </is>
      </c>
      <c r="N254" s="49" t="inlineStr">
        <is>
          <t>{"feature_candidates": 83, "feature_mode": "all", "horizon": 1, "initial_train_size": 40, "lags": [1, 2, 3, 4, 5, 6], "model": "hybrid_residual_catboost_regressor_ridge_tscv", "model_params": {"base_feature_mode": "all", "base_model": "catboost_regressor", "base_params": {"depth": 5, "iterations": 300, "l2_leaf_reg": 3.0, "learning_rate": 0.05, "random_seed": 42, "subsample": 0.8}, "hybrid_formula": "y_pred_final = y_pred_base + y_pred_residual", "residual_feature_mode": "corr", "residual_inner_splits": 3, "residual_min_oof_rows": 12, "residual_model": "ridge_tscv", "residual_params":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"inner_splits": 3, "selection_metric": "mae", "transform_mode": "standard", "winsor_lower_quantile": 0.05, "winsor_upper_quantile": 0.95}, "residual_target_generation": "OOF temporal via TimeSeriesSplit dentro de cada fold externo", "uses_categorical_features": false, "uses_scaling": "mixed"}, "rows_eval": 26, "rows_modeling": 66, "selected_feature_count_avg": 83.0, "target_mode": "nivel", "transform_mode": ""}</t>
        </is>
      </c>
      <c r="O254" s="51" t="n">
        <v>0.35</v>
      </c>
      <c r="P254" s="51" t="n">
        <v>0.25</v>
      </c>
      <c r="Q254" s="51" t="n">
        <v>0.25</v>
      </c>
      <c r="R254" s="51" t="n">
        <v>0.1</v>
      </c>
      <c r="S254" s="52" t="n">
        <v>0.3</v>
      </c>
      <c r="T254" s="53" t="n">
        <v>0.1929818449077332</v>
      </c>
      <c r="U254" s="53" t="n">
        <v>0.2692307692307693</v>
      </c>
      <c r="V254" s="53" t="n">
        <v>0.25</v>
      </c>
      <c r="W254" s="53" t="n">
        <v>0.7307692307692307</v>
      </c>
      <c r="X254" s="54" t="n">
        <v>0.0811284783306966</v>
      </c>
      <c r="Y254" s="53" t="n">
        <v>0.1187386544954326</v>
      </c>
      <c r="Z254" s="53" t="n">
        <v>0.1544121753676367</v>
      </c>
      <c r="AA254" s="55" t="n">
        <v>0.7307692307692307</v>
      </c>
      <c r="AB254" s="55" t="n">
        <v>0.75</v>
      </c>
      <c r="AC254" s="49" t="inlineStr">
        <is>
          <t>corrido</t>
        </is>
      </c>
      <c r="AD254" s="49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</t>
        </is>
      </c>
      <c r="AE254" s="49" t="inlineStr">
        <is>
          <t>run_e8_hibrido_residuales.py</t>
        </is>
      </c>
      <c r="AF254" s="49" t="inlineStr">
        <is>
          <t>Scripts/Modeling/run_e8_hibrido_residuales.py</t>
        </is>
      </c>
      <c r="AG254" s="49" t="inlineStr">
        <is>
          <t>Experimentos/runs/E8_v2_clean_20260401_050721</t>
        </is>
      </c>
      <c r="AH254" s="49" t="inlineStr">
        <is>
          <t>Experimentos/runs/E8_v2_clean_20260401_050721/scripts/run_e8_hibrido_residuales.py</t>
        </is>
      </c>
      <c r="AI254" s="49" t="inlineStr">
        <is>
          <t>Experimentos/runs/E8_v2_clean_20260401_050721/parametros_run.json</t>
        </is>
      </c>
      <c r="AJ254" s="49" t="inlineStr">
        <is>
          <t>Experimentos/runs/E8_v2_clean_20260401_050721/metricas_horizonte.json</t>
        </is>
      </c>
      <c r="AK254" s="49" t="inlineStr">
        <is>
          <t>2026-04-01 05:07:21</t>
        </is>
      </c>
      <c r="AL254" s="49" t="inlineStr">
        <is>
          <t>regresion</t>
        </is>
      </c>
      <c r="AM254" s="49" t="n"/>
      <c r="AN254" s="49" t="n"/>
      <c r="AO254" s="49" t="n"/>
      <c r="AP254" s="49" t="n"/>
      <c r="AQ254" s="49" t="n"/>
      <c r="AR254" s="49" t="n"/>
      <c r="AS254" s="49" t="n"/>
      <c r="AT254" s="49" t="n"/>
      <c r="AU254" s="49" t="n"/>
      <c r="AV254" s="49" t="n"/>
      <c r="AW254" s="49" t="n"/>
      <c r="AX254" s="49" t="n"/>
      <c r="AY254" s="49" t="n">
        <v>0.0811284783306966</v>
      </c>
    </row>
    <row r="255" ht="15" customHeight="1" s="27">
      <c r="A255" s="49" t="inlineStr">
        <is>
          <t>2026-04-01 05:07:21</t>
        </is>
      </c>
      <c r="B255" s="49" t="inlineStr">
        <is>
          <t>E8_v2_clean</t>
        </is>
      </c>
      <c r="C255" s="50" t="inlineStr">
        <is>
          <t>E8</t>
        </is>
      </c>
      <c r="D255" s="50" t="inlineStr">
        <is>
          <t>hibrido_residual</t>
        </is>
      </c>
      <c r="E255" s="50" t="inlineStr">
        <is>
          <t>hybrid_residual_catboost_regressor_ridge_tscv</t>
        </is>
      </c>
      <c r="F255" s="50" t="n">
        <v>2</v>
      </c>
      <c r="G255" s="49" t="inlineStr">
        <is>
          <t>nivel</t>
        </is>
      </c>
      <c r="H255" s="50" t="inlineStr">
        <is>
          <t>y_t + lags [1, 2, 3, 4, 5, 6]</t>
        </is>
      </c>
      <c r="I255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255" s="50" t="inlineStr">
        <is>
          <t>hibrido_residual</t>
        </is>
      </c>
      <c r="K255" s="50" t="inlineStr">
        <is>
          <t>base=all;residual=corr</t>
        </is>
      </c>
      <c r="L255" s="50" t="inlineStr">
        <is>
          <t>walk-forward_expanding</t>
        </is>
      </c>
      <c r="M255" s="49" t="inlineStr">
        <is>
          <t>2024-10-14 a 2026-03-02</t>
        </is>
      </c>
      <c r="N255" s="49" t="inlineStr">
        <is>
          <t>{"feature_candidates": 83, "feature_mode": "all", "horizon": 2, "initial_train_size": 40, "lags": [1, 2, 3, 4, 5, 6], "model": "hybrid_residual_catboost_regressor_ridge_tscv", "model_params": {"base_feature_mode": "all", "base_model": "catboost_regressor", "base_params": {"depth": 5, "iterations": 300, "l2_leaf_reg": 3.0, "learning_rate": 0.05, "random_seed": 42, "subsample": 0.8}, "hybrid_formula": "y_pred_final = y_pred_base + y_pred_residual", "residual_feature_mode": "corr", "residual_inner_splits": 3, "residual_min_oof_rows": 12, "residual_model": "ridge_tscv", "residual_params":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"inner_splits": 3, "selection_metric": "mae", "transform_mode": "standard", "winsor_lower_quantile": 0.05, "winsor_upper_quantile": 0.95}, "residual_target_generation": "OOF temporal via TimeSeriesSplit dentro de cada fold externo", "uses_categorical_features": false, "uses_scaling": "mixed"}, "rows_eval": 25, "rows_modeling": 65, "selected_feature_count_avg": 83.0, "target_mode": "nivel", "transform_mode": ""}</t>
        </is>
      </c>
      <c r="O255" s="51" t="n">
        <v>0.35</v>
      </c>
      <c r="P255" s="51" t="n">
        <v>0.25</v>
      </c>
      <c r="Q255" s="51" t="n">
        <v>0.25</v>
      </c>
      <c r="R255" s="51" t="n">
        <v>0.1</v>
      </c>
      <c r="S255" s="52" t="n">
        <v>0.25</v>
      </c>
      <c r="T255" s="53" t="n">
        <v>0.1882038749150224</v>
      </c>
      <c r="U255" s="53" t="n">
        <v>0.36</v>
      </c>
      <c r="V255" s="53" t="n">
        <v>0.2</v>
      </c>
      <c r="W255" s="53" t="n">
        <v>0.68</v>
      </c>
      <c r="X255" s="54" t="n">
        <v>0.06846783905506446</v>
      </c>
      <c r="Y255" s="53" t="n">
        <v>0.1157988456837525</v>
      </c>
      <c r="Z255" s="53" t="n">
        <v>0.1503886579822718</v>
      </c>
      <c r="AA255" s="55" t="n">
        <v>0.64</v>
      </c>
      <c r="AB255" s="55" t="n">
        <v>0.8</v>
      </c>
      <c r="AC255" s="49" t="inlineStr">
        <is>
          <t>corrido</t>
        </is>
      </c>
      <c r="AD255" s="49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</t>
        </is>
      </c>
      <c r="AE255" s="49" t="inlineStr">
        <is>
          <t>run_e8_hibrido_residuales.py</t>
        </is>
      </c>
      <c r="AF255" s="49" t="inlineStr">
        <is>
          <t>Scripts/Modeling/run_e8_hibrido_residuales.py</t>
        </is>
      </c>
      <c r="AG255" s="49" t="inlineStr">
        <is>
          <t>Experimentos/runs/E8_v2_clean_20260401_050721</t>
        </is>
      </c>
      <c r="AH255" s="49" t="inlineStr">
        <is>
          <t>Experimentos/runs/E8_v2_clean_20260401_050721/scripts/run_e8_hibrido_residuales.py</t>
        </is>
      </c>
      <c r="AI255" s="49" t="inlineStr">
        <is>
          <t>Experimentos/runs/E8_v2_clean_20260401_050721/parametros_run.json</t>
        </is>
      </c>
      <c r="AJ255" s="49" t="inlineStr">
        <is>
          <t>Experimentos/runs/E8_v2_clean_20260401_050721/metricas_horizonte.json</t>
        </is>
      </c>
      <c r="AK255" s="49" t="inlineStr">
        <is>
          <t>2026-04-01 05:07:21</t>
        </is>
      </c>
      <c r="AL255" s="49" t="inlineStr">
        <is>
          <t>regresion</t>
        </is>
      </c>
      <c r="AM255" s="49" t="n"/>
      <c r="AN255" s="49" t="n"/>
      <c r="AO255" s="49" t="n"/>
      <c r="AP255" s="49" t="n"/>
      <c r="AQ255" s="49" t="n"/>
      <c r="AR255" s="49" t="n"/>
      <c r="AS255" s="49" t="n"/>
      <c r="AT255" s="49" t="n"/>
      <c r="AU255" s="49" t="n"/>
      <c r="AV255" s="49" t="n"/>
      <c r="AW255" s="49" t="n"/>
      <c r="AX255" s="49" t="n"/>
      <c r="AY255" s="49" t="n">
        <v>0.06846783905506446</v>
      </c>
    </row>
    <row r="256" ht="15" customHeight="1" s="27">
      <c r="A256" s="49" t="inlineStr">
        <is>
          <t>2026-04-01 05:07:21</t>
        </is>
      </c>
      <c r="B256" s="49" t="inlineStr">
        <is>
          <t>E8_v2_clean</t>
        </is>
      </c>
      <c r="C256" s="50" t="inlineStr">
        <is>
          <t>E8</t>
        </is>
      </c>
      <c r="D256" s="50" t="inlineStr">
        <is>
          <t>hibrido_residual</t>
        </is>
      </c>
      <c r="E256" s="50" t="inlineStr">
        <is>
          <t>hybrid_residual_catboost_regressor_ridge_tscv</t>
        </is>
      </c>
      <c r="F256" s="50" t="n">
        <v>3</v>
      </c>
      <c r="G256" s="49" t="inlineStr">
        <is>
          <t>nivel</t>
        </is>
      </c>
      <c r="H256" s="50" t="inlineStr">
        <is>
          <t>y_t + lags [1, 2, 3, 4, 5, 6]</t>
        </is>
      </c>
      <c r="I256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256" s="50" t="inlineStr">
        <is>
          <t>hibrido_residual</t>
        </is>
      </c>
      <c r="K256" s="50" t="inlineStr">
        <is>
          <t>base=all;residual=corr</t>
        </is>
      </c>
      <c r="L256" s="50" t="inlineStr">
        <is>
          <t>walk-forward_expanding</t>
        </is>
      </c>
      <c r="M256" s="49" t="inlineStr">
        <is>
          <t>2024-10-14 a 2026-03-02</t>
        </is>
      </c>
      <c r="N256" s="49" t="inlineStr">
        <is>
          <t>{"feature_candidates": 83, "feature_mode": "all", "horizon": 3, "initial_train_size": 40, "lags": [1, 2, 3, 4, 5, 6], "model": "hybrid_residual_catboost_regressor_ridge_tscv", "model_params": {"base_feature_mode": "all", "base_model": "catboost_regressor", "base_params": {"depth": 5, "iterations": 300, "l2_leaf_reg": 3.0, "learning_rate": 0.05, "random_seed": 42, "subsample": 0.8}, "hybrid_formula": "y_pred_final = y_pred_base + y_pred_residual", "residual_feature_mode": "corr", "residual_inner_splits": 3, "residual_min_oof_rows": 12, "residual_model": "ridge_tscv", "residual_params":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"inner_splits": 3, "selection_metric": "mae", "transform_mode": "standard", "winsor_lower_quantile": 0.05, "winsor_upper_quantile": 0.95}, "residual_target_generation": "OOF temporal via TimeSeriesSplit dentro de cada fold externo", "uses_categorical_features": false, "uses_scaling": "mixed"}, "rows_eval": 24, "rows_modeling": 64, "selected_feature_count_avg": 83.0, "target_mode": "nivel", "transform_mode": ""}</t>
        </is>
      </c>
      <c r="O256" s="51" t="n">
        <v>0.35</v>
      </c>
      <c r="P256" s="51" t="n">
        <v>0.25</v>
      </c>
      <c r="Q256" s="51" t="n">
        <v>0.25</v>
      </c>
      <c r="R256" s="51" t="n">
        <v>0.1</v>
      </c>
      <c r="S256" s="52" t="n">
        <v>0.3</v>
      </c>
      <c r="T256" s="53" t="n">
        <v>0.218565585451233</v>
      </c>
      <c r="U256" s="53" t="n">
        <v>0.2916666666666666</v>
      </c>
      <c r="V256" s="53" t="n">
        <v>0.2727272727272727</v>
      </c>
      <c r="W256" s="53" t="n">
        <v>0.875</v>
      </c>
      <c r="X256" s="54" t="n">
        <v>0.09152893192692491</v>
      </c>
      <c r="Y256" s="53" t="n">
        <v>0.134479922439823</v>
      </c>
      <c r="Z256" s="53" t="n">
        <v>0.1591031952091425</v>
      </c>
      <c r="AA256" s="55" t="n">
        <v>0.7083333333333334</v>
      </c>
      <c r="AB256" s="55" t="n">
        <v>0.7272727272727273</v>
      </c>
      <c r="AC256" s="49" t="inlineStr">
        <is>
          <t>corrido</t>
        </is>
      </c>
      <c r="AD256" s="49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</t>
        </is>
      </c>
      <c r="AE256" s="49" t="inlineStr">
        <is>
          <t>run_e8_hibrido_residuales.py</t>
        </is>
      </c>
      <c r="AF256" s="49" t="inlineStr">
        <is>
          <t>Scripts/Modeling/run_e8_hibrido_residuales.py</t>
        </is>
      </c>
      <c r="AG256" s="49" t="inlineStr">
        <is>
          <t>Experimentos/runs/E8_v2_clean_20260401_050721</t>
        </is>
      </c>
      <c r="AH256" s="49" t="inlineStr">
        <is>
          <t>Experimentos/runs/E8_v2_clean_20260401_050721/scripts/run_e8_hibrido_residuales.py</t>
        </is>
      </c>
      <c r="AI256" s="49" t="inlineStr">
        <is>
          <t>Experimentos/runs/E8_v2_clean_20260401_050721/parametros_run.json</t>
        </is>
      </c>
      <c r="AJ256" s="49" t="inlineStr">
        <is>
          <t>Experimentos/runs/E8_v2_clean_20260401_050721/metricas_horizonte.json</t>
        </is>
      </c>
      <c r="AK256" s="49" t="inlineStr">
        <is>
          <t>2026-04-01 05:07:21</t>
        </is>
      </c>
      <c r="AL256" s="49" t="inlineStr">
        <is>
          <t>regresion</t>
        </is>
      </c>
      <c r="AM256" s="49" t="n"/>
      <c r="AN256" s="49" t="n"/>
      <c r="AO256" s="49" t="n"/>
      <c r="AP256" s="49" t="n"/>
      <c r="AQ256" s="49" t="n"/>
      <c r="AR256" s="49" t="n"/>
      <c r="AS256" s="49" t="n"/>
      <c r="AT256" s="49" t="n"/>
      <c r="AU256" s="49" t="n"/>
      <c r="AV256" s="49" t="n"/>
      <c r="AW256" s="49" t="n"/>
      <c r="AX256" s="49" t="n"/>
      <c r="AY256" s="49" t="n">
        <v>0.09152893192692491</v>
      </c>
    </row>
    <row r="257" ht="15" customHeight="1" s="27">
      <c r="A257" s="49" t="inlineStr">
        <is>
          <t>2026-04-01 05:07:21</t>
        </is>
      </c>
      <c r="B257" s="49" t="inlineStr">
        <is>
          <t>E8_v2_clean</t>
        </is>
      </c>
      <c r="C257" s="50" t="inlineStr">
        <is>
          <t>E8</t>
        </is>
      </c>
      <c r="D257" s="50" t="inlineStr">
        <is>
          <t>hibrido_residual</t>
        </is>
      </c>
      <c r="E257" s="50" t="inlineStr">
        <is>
          <t>hybrid_residual_catboost_regressor_ridge_tscv</t>
        </is>
      </c>
      <c r="F257" s="50" t="n">
        <v>4</v>
      </c>
      <c r="G257" s="49" t="inlineStr">
        <is>
          <t>nivel</t>
        </is>
      </c>
      <c r="H257" s="50" t="inlineStr">
        <is>
          <t>y_t + lags [1, 2, 3, 4, 5, 6]</t>
        </is>
      </c>
      <c r="I257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257" s="50" t="inlineStr">
        <is>
          <t>hibrido_residual</t>
        </is>
      </c>
      <c r="K257" s="50" t="inlineStr">
        <is>
          <t>base=all;residual=corr</t>
        </is>
      </c>
      <c r="L257" s="50" t="inlineStr">
        <is>
          <t>walk-forward_expanding</t>
        </is>
      </c>
      <c r="M257" s="49" t="inlineStr">
        <is>
          <t>2024-10-14 a 2026-03-02</t>
        </is>
      </c>
      <c r="N257" s="49" t="inlineStr">
        <is>
          <t>{"feature_candidates": 83, "feature_mode": "all", "horizon": 4, "initial_train_size": 40, "lags": [1, 2, 3, 4, 5, 6], "model": "hybrid_residual_catboost_regressor_ridge_tscv", "model_params": {"base_feature_mode": "all", "base_model": "catboost_regressor", "base_params": {"depth": 5, "iterations": 300, "l2_leaf_reg": 3.0, "learning_rate": 0.05, "random_seed": 42, "subsample": 0.8}, "hybrid_formula": "y_pred_final = y_pred_base + y_pred_residual", "residual_feature_mode": "corr", "residual_inner_splits": 3, "residual_min_oof_rows": 12, "residual_model": "ridge_tscv", "residual_params": {"alpha_grid": [0.0001, 0.0001603718743751331, 0.00025719138090593444, 0.0004124626382901352, 0.0006614740641230146, 0.0010608183551394483, 0.0017012542798525892, 0.0027283333764867696, 0.004375479375074184, 0.007017038286703823, 0.011253355826007646, 0.018047217668271703, 0.028942661247167517, 0.046415888336127774, 0.07443803013251689, 0.11937766417144358, 0.19144819761699575, 0.30702906297578497, 0.49238826317067363, 0.7896522868499725, 1.266380173467402, 2.030917620904735, 3.257020655659783, 5.2233450742668435, 8.376776400682925, 13.433993325988988, 21.54434690031882, 34.55107294592218, 55.41020330009492, 88.86238162743408, 142.51026703029962, 228.54638641349882, 366.5241237079626, 587.8016072274912, 942.6684551178854, 1511.77507061566, 2424.462017082326, 3888.155180308085, 6235.507341273912, 10000.0], "inner_splits": 3, "selection_metric": "mae", "transform_mode": "standard", "winsor_lower_quantile": 0.05, "winsor_upper_quantile": 0.95}, "residual_target_generation": "OOF temporal via TimeSeriesSplit dentro de cada fold externo", "uses_categorical_features": false, "uses_scaling": "mixed"}, "rows_eval": 23, "rows_modeling": 63, "selected_feature_count_avg": 83.0, "target_mode": "nivel", "transform_mode": ""}</t>
        </is>
      </c>
      <c r="O257" s="51" t="n">
        <v>0.35</v>
      </c>
      <c r="P257" s="51" t="n">
        <v>0.25</v>
      </c>
      <c r="Q257" s="51" t="n">
        <v>0.25</v>
      </c>
      <c r="R257" s="51" t="n">
        <v>0.1</v>
      </c>
      <c r="S257" s="52" t="n">
        <v>0.15</v>
      </c>
      <c r="T257" s="53" t="n">
        <v>0.2076188371495152</v>
      </c>
      <c r="U257" s="53" t="n">
        <v>0.3043478260869565</v>
      </c>
      <c r="V257" s="53" t="n">
        <v>0.3333333333333334</v>
      </c>
      <c r="W257" s="53" t="n">
        <v>0.6521739130434783</v>
      </c>
      <c r="X257" s="54" t="n">
        <v>0.04459564112426258</v>
      </c>
      <c r="Y257" s="53" t="n">
        <v>0.1277445626184492</v>
      </c>
      <c r="Z257" s="53" t="n">
        <v>0.1700634320730589</v>
      </c>
      <c r="AA257" s="55" t="n">
        <v>0.6956521739130435</v>
      </c>
      <c r="AB257" s="55" t="n">
        <v>0.6666666666666666</v>
      </c>
      <c r="AC257" s="49" t="inlineStr">
        <is>
          <t>corrido</t>
        </is>
      </c>
      <c r="AD257" s="49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</t>
        </is>
      </c>
      <c r="AE257" s="49" t="inlineStr">
        <is>
          <t>run_e8_hibrido_residuales.py</t>
        </is>
      </c>
      <c r="AF257" s="49" t="inlineStr">
        <is>
          <t>Scripts/Modeling/run_e8_hibrido_residuales.py</t>
        </is>
      </c>
      <c r="AG257" s="49" t="inlineStr">
        <is>
          <t>Experimentos/runs/E8_v2_clean_20260401_050721</t>
        </is>
      </c>
      <c r="AH257" s="49" t="inlineStr">
        <is>
          <t>Experimentos/runs/E8_v2_clean_20260401_050721/scripts/run_e8_hibrido_residuales.py</t>
        </is>
      </c>
      <c r="AI257" s="49" t="inlineStr">
        <is>
          <t>Experimentos/runs/E8_v2_clean_20260401_050721/parametros_run.json</t>
        </is>
      </c>
      <c r="AJ257" s="49" t="inlineStr">
        <is>
          <t>Experimentos/runs/E8_v2_clean_20260401_050721/metricas_horizonte.json</t>
        </is>
      </c>
      <c r="AK257" s="49" t="inlineStr">
        <is>
          <t>2026-04-01 05:07:21</t>
        </is>
      </c>
      <c r="AL257" s="49" t="inlineStr">
        <is>
          <t>regresion</t>
        </is>
      </c>
      <c r="AM257" s="49" t="n"/>
      <c r="AN257" s="49" t="n"/>
      <c r="AO257" s="49" t="n"/>
      <c r="AP257" s="49" t="n"/>
      <c r="AQ257" s="49" t="n"/>
      <c r="AR257" s="49" t="n"/>
      <c r="AS257" s="49" t="n"/>
      <c r="AT257" s="49" t="n"/>
      <c r="AU257" s="49" t="n"/>
      <c r="AV257" s="49" t="n"/>
      <c r="AW257" s="49" t="n"/>
      <c r="AX257" s="49" t="n"/>
      <c r="AY257" s="49" t="n">
        <v>0.04459564112426258</v>
      </c>
    </row>
    <row r="258" ht="15" customHeight="1" s="27">
      <c r="A258" s="49" t="inlineStr">
        <is>
          <t>2026-04-01 05:09:27</t>
        </is>
      </c>
      <c r="B258" s="49" t="inlineStr">
        <is>
          <t>E8_v3_clean</t>
        </is>
      </c>
      <c r="C258" s="50" t="inlineStr">
        <is>
          <t>E8</t>
        </is>
      </c>
      <c r="D258" s="50" t="inlineStr">
        <is>
          <t>hibrido_residual</t>
        </is>
      </c>
      <c r="E258" s="50" t="inlineStr">
        <is>
          <t>hybrid_residual_catboost_regressor_prophet_exogenous_regressor</t>
        </is>
      </c>
      <c r="F258" s="50" t="n">
        <v>1</v>
      </c>
      <c r="G258" s="49" t="inlineStr">
        <is>
          <t>nivel</t>
        </is>
      </c>
      <c r="H258" s="50" t="inlineStr">
        <is>
          <t>y_t + lags [1, 2, 3, 4, 5, 6]</t>
        </is>
      </c>
      <c r="I258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258" s="50" t="inlineStr">
        <is>
          <t>hibrido_residual</t>
        </is>
      </c>
      <c r="K258" s="50" t="inlineStr">
        <is>
          <t>base=all;residual=corr</t>
        </is>
      </c>
      <c r="L258" s="50" t="inlineStr">
        <is>
          <t>walk-forward_expanding</t>
        </is>
      </c>
      <c r="M258" s="49" t="inlineStr">
        <is>
          <t>2024-10-14 a 2026-03-02</t>
        </is>
      </c>
      <c r="N258" s="49" t="inlineStr">
        <is>
          <t>{"feature_candidates": 83, "feature_mode": "all", "horizon": 1, "initial_train_size": 40, "lags": [1, 2, 3, 4, 5, 6], "model": "hybrid_residual_catboost_regressor_prophet_exogenous_regressor", "model_params": {"base_feature_mode": "all", "base_model": "catboost_regressor", "base_params": {"depth": 5, "iterations": 300, "l2_leaf_reg": 3.0, "learning_rate": 0.05, "random_seed": 42, "subsample": 0.8}, "hybrid_formula": "y_pred_final = y_pred_base + y_pred_residual", "residual_feature_mode": "corr", "residual_inner_splits": 3, "residual_min_oof_rows": 12, "residual_model": "prophet_exogenous_regressor", "residual_params": {"changepoint_prior_scale": 0.2, "daily_seasonality": false, "seasonality_mode": "additive", "weekly_seasonality": false, "yearly_seasonality": false}, "residual_target_generation": "OOF temporal via TimeSeriesSplit dentro de cada fold externo", "uses_categorical_features": false, "uses_scaling": false}, "rows_eval": 26, "rows_modeling": 66, "selected_feature_count_avg": 83.0, "target_mode": "nivel", "transform_mode": ""}</t>
        </is>
      </c>
      <c r="O258" s="51" t="n">
        <v>0.35</v>
      </c>
      <c r="P258" s="51" t="n">
        <v>0.25</v>
      </c>
      <c r="Q258" s="51" t="n">
        <v>0.25</v>
      </c>
      <c r="R258" s="51" t="n">
        <v>0.1</v>
      </c>
      <c r="S258" s="52" t="n">
        <v>0.3</v>
      </c>
      <c r="T258" s="53" t="n">
        <v>0.9434991240915885</v>
      </c>
      <c r="U258" s="53" t="n">
        <v>0.5384615384615384</v>
      </c>
      <c r="V258" s="53" t="n">
        <v>0.5</v>
      </c>
      <c r="W258" s="53" t="n">
        <v>1</v>
      </c>
      <c r="X258" s="54" t="n">
        <v>0.2069520234142322</v>
      </c>
      <c r="Y258" s="53" t="n">
        <v>0.5805199787877308</v>
      </c>
      <c r="Z258" s="53" t="n">
        <v>1.052060883309281</v>
      </c>
      <c r="AA258" s="55" t="n">
        <v>0.4615384615384616</v>
      </c>
      <c r="AB258" s="55" t="n">
        <v>0.5</v>
      </c>
      <c r="AC258" s="49" t="inlineStr">
        <is>
          <t>corrido</t>
        </is>
      </c>
      <c r="AD258" s="49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</t>
        </is>
      </c>
      <c r="AE258" s="49" t="inlineStr">
        <is>
          <t>run_e8_hibrido_residuales.py</t>
        </is>
      </c>
      <c r="AF258" s="49" t="inlineStr">
        <is>
          <t>Scripts/Modeling/run_e8_hibrido_residuales.py</t>
        </is>
      </c>
      <c r="AG258" s="49" t="inlineStr">
        <is>
          <t>Experimentos/runs/E8_v3_clean_20260401_050927</t>
        </is>
      </c>
      <c r="AH258" s="49" t="inlineStr">
        <is>
          <t>Experimentos/runs/E8_v3_clean_20260401_050927/scripts/run_e8_hibrido_residuales.py</t>
        </is>
      </c>
      <c r="AI258" s="49" t="inlineStr">
        <is>
          <t>Experimentos/runs/E8_v3_clean_20260401_050927/parametros_run.json</t>
        </is>
      </c>
      <c r="AJ258" s="49" t="inlineStr">
        <is>
          <t>Experimentos/runs/E8_v3_clean_20260401_050927/metricas_horizonte.json</t>
        </is>
      </c>
      <c r="AK258" s="49" t="inlineStr">
        <is>
          <t>2026-04-01 05:09:27</t>
        </is>
      </c>
      <c r="AL258" s="49" t="inlineStr">
        <is>
          <t>regresion</t>
        </is>
      </c>
      <c r="AM258" s="49" t="n"/>
      <c r="AN258" s="49" t="n"/>
      <c r="AO258" s="49" t="n"/>
      <c r="AP258" s="49" t="n"/>
      <c r="AQ258" s="49" t="n"/>
      <c r="AR258" s="49" t="n"/>
      <c r="AS258" s="49" t="n"/>
      <c r="AT258" s="49" t="n"/>
      <c r="AU258" s="49" t="n"/>
      <c r="AV258" s="49" t="n"/>
      <c r="AW258" s="49" t="n"/>
      <c r="AX258" s="49" t="n"/>
      <c r="AY258" s="49" t="n">
        <v>0.2069520234142322</v>
      </c>
    </row>
    <row r="259" ht="15" customHeight="1" s="27">
      <c r="A259" s="49" t="inlineStr">
        <is>
          <t>2026-04-01 05:09:27</t>
        </is>
      </c>
      <c r="B259" s="49" t="inlineStr">
        <is>
          <t>E8_v3_clean</t>
        </is>
      </c>
      <c r="C259" s="50" t="inlineStr">
        <is>
          <t>E8</t>
        </is>
      </c>
      <c r="D259" s="50" t="inlineStr">
        <is>
          <t>hibrido_residual</t>
        </is>
      </c>
      <c r="E259" s="50" t="inlineStr">
        <is>
          <t>hybrid_residual_catboost_regressor_prophet_exogenous_regressor</t>
        </is>
      </c>
      <c r="F259" s="50" t="n">
        <v>2</v>
      </c>
      <c r="G259" s="49" t="inlineStr">
        <is>
          <t>nivel</t>
        </is>
      </c>
      <c r="H259" s="50" t="inlineStr">
        <is>
          <t>y_t + lags [1, 2, 3, 4, 5, 6]</t>
        </is>
      </c>
      <c r="I259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259" s="50" t="inlineStr">
        <is>
          <t>hibrido_residual</t>
        </is>
      </c>
      <c r="K259" s="50" t="inlineStr">
        <is>
          <t>base=all;residual=corr</t>
        </is>
      </c>
      <c r="L259" s="50" t="inlineStr">
        <is>
          <t>walk-forward_expanding</t>
        </is>
      </c>
      <c r="M259" s="49" t="inlineStr">
        <is>
          <t>2024-10-14 a 2026-03-02</t>
        </is>
      </c>
      <c r="N259" s="49" t="inlineStr">
        <is>
          <t>{"feature_candidates": 83, "feature_mode": "all", "horizon": 2, "initial_train_size": 40, "lags": [1, 2, 3, 4, 5, 6], "model": "hybrid_residual_catboost_regressor_prophet_exogenous_regressor", "model_params": {"base_feature_mode": "all", "base_model": "catboost_regressor", "base_params": {"depth": 5, "iterations": 300, "l2_leaf_reg": 3.0, "learning_rate": 0.05, "random_seed": 42, "subsample": 0.8}, "hybrid_formula": "y_pred_final = y_pred_base + y_pred_residual", "residual_feature_mode": "corr", "residual_inner_splits": 3, "residual_min_oof_rows": 12, "residual_model": "prophet_exogenous_regressor", "residual_params": {"changepoint_prior_scale": 0.2, "daily_seasonality": false, "seasonality_mode": "additive", "weekly_seasonality": false, "yearly_seasonality": false}, "residual_target_generation": "OOF temporal via TimeSeriesSplit dentro de cada fold externo", "uses_categorical_features": false, "uses_scaling": false}, "rows_eval": 25, "rows_modeling": 65, "selected_feature_count_avg": 83.0, "target_mode": "nivel", "transform_mode": ""}</t>
        </is>
      </c>
      <c r="O259" s="51" t="n">
        <v>0.35</v>
      </c>
      <c r="P259" s="51" t="n">
        <v>0.25</v>
      </c>
      <c r="Q259" s="51" t="n">
        <v>0.25</v>
      </c>
      <c r="R259" s="51" t="n">
        <v>0.1</v>
      </c>
      <c r="S259" s="52" t="n">
        <v>0.25</v>
      </c>
      <c r="T259" s="53" t="n">
        <v>0.501655887168325</v>
      </c>
      <c r="U259" s="53" t="n">
        <v>0.48</v>
      </c>
      <c r="V259" s="53" t="n">
        <v>0.6</v>
      </c>
      <c r="W259" s="53" t="n">
        <v>0.96</v>
      </c>
      <c r="X259" s="54" t="n">
        <v>0.1353948901272284</v>
      </c>
      <c r="Y259" s="53" t="n">
        <v>0.3086608747603103</v>
      </c>
      <c r="Z259" s="53" t="n">
        <v>0.4101249543182546</v>
      </c>
      <c r="AA259" s="55" t="n">
        <v>0.52</v>
      </c>
      <c r="AB259" s="55" t="n">
        <v>0.4</v>
      </c>
      <c r="AC259" s="49" t="inlineStr">
        <is>
          <t>corrido</t>
        </is>
      </c>
      <c r="AD259" s="49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</t>
        </is>
      </c>
      <c r="AE259" s="49" t="inlineStr">
        <is>
          <t>run_e8_hibrido_residuales.py</t>
        </is>
      </c>
      <c r="AF259" s="49" t="inlineStr">
        <is>
          <t>Scripts/Modeling/run_e8_hibrido_residuales.py</t>
        </is>
      </c>
      <c r="AG259" s="49" t="inlineStr">
        <is>
          <t>Experimentos/runs/E8_v3_clean_20260401_050927</t>
        </is>
      </c>
      <c r="AH259" s="49" t="inlineStr">
        <is>
          <t>Experimentos/runs/E8_v3_clean_20260401_050927/scripts/run_e8_hibrido_residuales.py</t>
        </is>
      </c>
      <c r="AI259" s="49" t="inlineStr">
        <is>
          <t>Experimentos/runs/E8_v3_clean_20260401_050927/parametros_run.json</t>
        </is>
      </c>
      <c r="AJ259" s="49" t="inlineStr">
        <is>
          <t>Experimentos/runs/E8_v3_clean_20260401_050927/metricas_horizonte.json</t>
        </is>
      </c>
      <c r="AK259" s="49" t="inlineStr">
        <is>
          <t>2026-04-01 05:09:27</t>
        </is>
      </c>
      <c r="AL259" s="49" t="inlineStr">
        <is>
          <t>regresion</t>
        </is>
      </c>
      <c r="AM259" s="49" t="n"/>
      <c r="AN259" s="49" t="n"/>
      <c r="AO259" s="49" t="n"/>
      <c r="AP259" s="49" t="n"/>
      <c r="AQ259" s="49" t="n"/>
      <c r="AR259" s="49" t="n"/>
      <c r="AS259" s="49" t="n"/>
      <c r="AT259" s="49" t="n"/>
      <c r="AU259" s="49" t="n"/>
      <c r="AV259" s="49" t="n"/>
      <c r="AW259" s="49" t="n"/>
      <c r="AX259" s="49" t="n"/>
      <c r="AY259" s="49" t="n">
        <v>0.1353948901272284</v>
      </c>
    </row>
    <row r="260" ht="15" customHeight="1" s="27">
      <c r="A260" s="49" t="inlineStr">
        <is>
          <t>2026-04-01 05:09:27</t>
        </is>
      </c>
      <c r="B260" s="49" t="inlineStr">
        <is>
          <t>E8_v3_clean</t>
        </is>
      </c>
      <c r="C260" s="50" t="inlineStr">
        <is>
          <t>E8</t>
        </is>
      </c>
      <c r="D260" s="50" t="inlineStr">
        <is>
          <t>hibrido_residual</t>
        </is>
      </c>
      <c r="E260" s="50" t="inlineStr">
        <is>
          <t>hybrid_residual_catboost_regressor_prophet_exogenous_regressor</t>
        </is>
      </c>
      <c r="F260" s="50" t="n">
        <v>3</v>
      </c>
      <c r="G260" s="49" t="inlineStr">
        <is>
          <t>nivel</t>
        </is>
      </c>
      <c r="H260" s="50" t="inlineStr">
        <is>
          <t>y_t + lags [1, 2, 3, 4, 5, 6]</t>
        </is>
      </c>
      <c r="I260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260" s="50" t="inlineStr">
        <is>
          <t>hibrido_residual</t>
        </is>
      </c>
      <c r="K260" s="50" t="inlineStr">
        <is>
          <t>base=all;residual=corr</t>
        </is>
      </c>
      <c r="L260" s="50" t="inlineStr">
        <is>
          <t>walk-forward_expanding</t>
        </is>
      </c>
      <c r="M260" s="49" t="inlineStr">
        <is>
          <t>2024-10-14 a 2026-03-02</t>
        </is>
      </c>
      <c r="N260" s="49" t="inlineStr">
        <is>
          <t>{"feature_candidates": 83, "feature_mode": "all", "horizon": 3, "initial_train_size": 40, "lags": [1, 2, 3, 4, 5, 6], "model": "hybrid_residual_catboost_regressor_prophet_exogenous_regressor", "model_params": {"base_feature_mode": "all", "base_model": "catboost_regressor", "base_params": {"depth": 5, "iterations": 300, "l2_leaf_reg": 3.0, "learning_rate": 0.05, "random_seed": 42, "subsample": 0.8}, "hybrid_formula": "y_pred_final = y_pred_base + y_pred_residual", "residual_feature_mode": "corr", "residual_inner_splits": 3, "residual_min_oof_rows": 12, "residual_model": "prophet_exogenous_regressor", "residual_params": {"changepoint_prior_scale": 0.2, "daily_seasonality": false, "seasonality_mode": "additive", "weekly_seasonality": false, "yearly_seasonality": false}, "residual_target_generation": "OOF temporal via TimeSeriesSplit dentro de cada fold externo", "uses_categorical_features": false, "uses_scaling": false}, "rows_eval": 24, "rows_modeling": 64, "selected_feature_count_avg": 83.0, "target_mode": "nivel", "transform_mode": ""}</t>
        </is>
      </c>
      <c r="O260" s="51" t="n">
        <v>0.35</v>
      </c>
      <c r="P260" s="51" t="n">
        <v>0.25</v>
      </c>
      <c r="Q260" s="51" t="n">
        <v>0.25</v>
      </c>
      <c r="R260" s="51" t="n">
        <v>0.1</v>
      </c>
      <c r="S260" s="52" t="n">
        <v>0.3</v>
      </c>
      <c r="T260" s="53" t="n">
        <v>0.9502159414177906</v>
      </c>
      <c r="U260" s="53" t="n">
        <v>0.5</v>
      </c>
      <c r="V260" s="53" t="n">
        <v>0.2727272727272727</v>
      </c>
      <c r="W260" s="53" t="n">
        <v>0.8333333333333334</v>
      </c>
      <c r="X260" s="54" t="n">
        <v>0.1827272193034135</v>
      </c>
      <c r="Y260" s="53" t="n">
        <v>0.5846527294730928</v>
      </c>
      <c r="Z260" s="53" t="n">
        <v>1.09747627204529</v>
      </c>
      <c r="AA260" s="55" t="n">
        <v>0.5</v>
      </c>
      <c r="AB260" s="55" t="n">
        <v>0.7272727272727273</v>
      </c>
      <c r="AC260" s="49" t="inlineStr">
        <is>
          <t>corrido</t>
        </is>
      </c>
      <c r="AD260" s="49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</t>
        </is>
      </c>
      <c r="AE260" s="49" t="inlineStr">
        <is>
          <t>run_e8_hibrido_residuales.py</t>
        </is>
      </c>
      <c r="AF260" s="49" t="inlineStr">
        <is>
          <t>Scripts/Modeling/run_e8_hibrido_residuales.py</t>
        </is>
      </c>
      <c r="AG260" s="49" t="inlineStr">
        <is>
          <t>Experimentos/runs/E8_v3_clean_20260401_050927</t>
        </is>
      </c>
      <c r="AH260" s="49" t="inlineStr">
        <is>
          <t>Experimentos/runs/E8_v3_clean_20260401_050927/scripts/run_e8_hibrido_residuales.py</t>
        </is>
      </c>
      <c r="AI260" s="49" t="inlineStr">
        <is>
          <t>Experimentos/runs/E8_v3_clean_20260401_050927/parametros_run.json</t>
        </is>
      </c>
      <c r="AJ260" s="49" t="inlineStr">
        <is>
          <t>Experimentos/runs/E8_v3_clean_20260401_050927/metricas_horizonte.json</t>
        </is>
      </c>
      <c r="AK260" s="49" t="inlineStr">
        <is>
          <t>2026-04-01 05:09:27</t>
        </is>
      </c>
      <c r="AL260" s="49" t="inlineStr">
        <is>
          <t>regresion</t>
        </is>
      </c>
      <c r="AM260" s="49" t="n"/>
      <c r="AN260" s="49" t="n"/>
      <c r="AO260" s="49" t="n"/>
      <c r="AP260" s="49" t="n"/>
      <c r="AQ260" s="49" t="n"/>
      <c r="AR260" s="49" t="n"/>
      <c r="AS260" s="49" t="n"/>
      <c r="AT260" s="49" t="n"/>
      <c r="AU260" s="49" t="n"/>
      <c r="AV260" s="49" t="n"/>
      <c r="AW260" s="49" t="n"/>
      <c r="AX260" s="49" t="n"/>
      <c r="AY260" s="49" t="n">
        <v>0.1827272193034135</v>
      </c>
    </row>
    <row r="261" ht="15" customHeight="1" s="27">
      <c r="A261" s="49" t="inlineStr">
        <is>
          <t>2026-04-01 05:09:27</t>
        </is>
      </c>
      <c r="B261" s="49" t="inlineStr">
        <is>
          <t>E8_v3_clean</t>
        </is>
      </c>
      <c r="C261" s="50" t="inlineStr">
        <is>
          <t>E8</t>
        </is>
      </c>
      <c r="D261" s="50" t="inlineStr">
        <is>
          <t>hibrido_residual</t>
        </is>
      </c>
      <c r="E261" s="50" t="inlineStr">
        <is>
          <t>hybrid_residual_catboost_regressor_prophet_exogenous_regressor</t>
        </is>
      </c>
      <c r="F261" s="50" t="n">
        <v>4</v>
      </c>
      <c r="G261" s="49" t="inlineStr">
        <is>
          <t>nivel</t>
        </is>
      </c>
      <c r="H261" s="50" t="inlineStr">
        <is>
          <t>y_t + lags [1, 2, 3, 4, 5, 6]</t>
        </is>
      </c>
      <c r="I261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261" s="50" t="inlineStr">
        <is>
          <t>hibrido_residual</t>
        </is>
      </c>
      <c r="K261" s="50" t="inlineStr">
        <is>
          <t>base=all;residual=corr</t>
        </is>
      </c>
      <c r="L261" s="50" t="inlineStr">
        <is>
          <t>walk-forward_expanding</t>
        </is>
      </c>
      <c r="M261" s="49" t="inlineStr">
        <is>
          <t>2024-10-14 a 2026-03-02</t>
        </is>
      </c>
      <c r="N261" s="49" t="inlineStr">
        <is>
          <t>{"feature_candidates": 83, "feature_mode": "all", "horizon": 4, "initial_train_size": 40, "lags": [1, 2, 3, 4, 5, 6], "model": "hybrid_residual_catboost_regressor_prophet_exogenous_regressor", "model_params": {"base_feature_mode": "all", "base_model": "catboost_regressor", "base_params": {"depth": 5, "iterations": 300, "l2_leaf_reg": 3.0, "learning_rate": 0.05, "random_seed": 42, "subsample": 0.8}, "hybrid_formula": "y_pred_final = y_pred_base + y_pred_residual", "residual_feature_mode": "corr", "residual_inner_splits": 3, "residual_min_oof_rows": 12, "residual_model": "prophet_exogenous_regressor", "residual_params": {"changepoint_prior_scale": 0.2, "daily_seasonality": false, "seasonality_mode": "additive", "weekly_seasonality": false, "yearly_seasonality": false}, "residual_target_generation": "OOF temporal via TimeSeriesSplit dentro de cada fold externo", "uses_categorical_features": false, "uses_scaling": false}, "rows_eval": 23, "rows_modeling": 63, "selected_feature_count_avg": 83.0, "target_mode": "nivel", "transform_mode": ""}</t>
        </is>
      </c>
      <c r="O261" s="51" t="n">
        <v>0.35</v>
      </c>
      <c r="P261" s="51" t="n">
        <v>0.25</v>
      </c>
      <c r="Q261" s="51" t="n">
        <v>0.25</v>
      </c>
      <c r="R261" s="51" t="n">
        <v>0.1</v>
      </c>
      <c r="S261" s="52" t="n">
        <v>0.15</v>
      </c>
      <c r="T261" s="53" t="n">
        <v>1</v>
      </c>
      <c r="U261" s="53" t="n">
        <v>0.4347826086956522</v>
      </c>
      <c r="V261" s="53" t="n">
        <v>0.5555555555555556</v>
      </c>
      <c r="W261" s="53" t="n">
        <v>0.8695652173913043</v>
      </c>
      <c r="X261" s="54" t="n">
        <v>0.1026811594202899</v>
      </c>
      <c r="Y261" s="53" t="n">
        <v>0.6503209000146216</v>
      </c>
      <c r="Z261" s="53" t="n">
        <v>1.09049648350806</v>
      </c>
      <c r="AA261" s="55" t="n">
        <v>0.5652173913043478</v>
      </c>
      <c r="AB261" s="55" t="n">
        <v>0.4444444444444444</v>
      </c>
      <c r="AC261" s="49" t="inlineStr">
        <is>
          <t>corrido</t>
        </is>
      </c>
      <c r="AD261" s="49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</t>
        </is>
      </c>
      <c r="AE261" s="49" t="inlineStr">
        <is>
          <t>run_e8_hibrido_residuales.py</t>
        </is>
      </c>
      <c r="AF261" s="49" t="inlineStr">
        <is>
          <t>Scripts/Modeling/run_e8_hibrido_residuales.py</t>
        </is>
      </c>
      <c r="AG261" s="49" t="inlineStr">
        <is>
          <t>Experimentos/runs/E8_v3_clean_20260401_050927</t>
        </is>
      </c>
      <c r="AH261" s="49" t="inlineStr">
        <is>
          <t>Experimentos/runs/E8_v3_clean_20260401_050927/scripts/run_e8_hibrido_residuales.py</t>
        </is>
      </c>
      <c r="AI261" s="49" t="inlineStr">
        <is>
          <t>Experimentos/runs/E8_v3_clean_20260401_050927/parametros_run.json</t>
        </is>
      </c>
      <c r="AJ261" s="49" t="inlineStr">
        <is>
          <t>Experimentos/runs/E8_v3_clean_20260401_050927/metricas_horizonte.json</t>
        </is>
      </c>
      <c r="AK261" s="49" t="inlineStr">
        <is>
          <t>2026-04-01 05:09:27</t>
        </is>
      </c>
      <c r="AL261" s="49" t="inlineStr">
        <is>
          <t>regresion</t>
        </is>
      </c>
      <c r="AM261" s="49" t="n"/>
      <c r="AN261" s="49" t="n"/>
      <c r="AO261" s="49" t="n"/>
      <c r="AP261" s="49" t="n"/>
      <c r="AQ261" s="49" t="n"/>
      <c r="AR261" s="49" t="n"/>
      <c r="AS261" s="49" t="n"/>
      <c r="AT261" s="49" t="n"/>
      <c r="AU261" s="49" t="n"/>
      <c r="AV261" s="49" t="n"/>
      <c r="AW261" s="49" t="n"/>
      <c r="AX261" s="49" t="n"/>
      <c r="AY261" s="49" t="n">
        <v>0.1026811594202899</v>
      </c>
    </row>
    <row r="262" ht="15" customHeight="1" s="27">
      <c r="A262" s="49" t="inlineStr">
        <is>
          <t>2026-04-01 06:56:44</t>
        </is>
      </c>
      <c r="B262" s="49" t="inlineStr">
        <is>
          <t>E9_smoke_tmp</t>
        </is>
      </c>
      <c r="C262" s="50" t="inlineStr">
        <is>
          <t>E9</t>
        </is>
      </c>
      <c r="D262" s="50" t="inlineStr">
        <is>
          <t>stacking_controlado</t>
        </is>
      </c>
      <c r="E262" s="50" t="inlineStr">
        <is>
          <t>stacking_ridge_curado_por_horizonte</t>
        </is>
      </c>
      <c r="F262" s="50" t="n">
        <v>1</v>
      </c>
      <c r="G262" s="49" t="inlineStr">
        <is>
          <t>nivel</t>
        </is>
      </c>
      <c r="H262" s="50" t="inlineStr">
        <is>
          <t>predicciones_oof_modelos_base_por_horizonte</t>
        </is>
      </c>
      <c r="I262" s="50" t="inlineStr">
        <is>
          <t>E1_v5_clean, E5_v4_clean, E3_v2_clean, E2_v3_clean</t>
        </is>
      </c>
      <c r="J262" s="50" t="inlineStr">
        <is>
          <t>standard_scaler_meta</t>
        </is>
      </c>
      <c r="K262" s="50" t="inlineStr">
        <is>
          <t>tabla_curada_e9_fila_completa</t>
        </is>
      </c>
      <c r="L262" s="50" t="inlineStr">
        <is>
          <t>walk-forward_expanding_sobre_base_curada</t>
        </is>
      </c>
      <c r="M262" s="49" t="inlineStr">
        <is>
          <t>2025-11-24 a 2026-02-23</t>
        </is>
      </c>
      <c r="N262" s="49" t="inlineStr">
        <is>
          <t>{"alpha_grid_size": 8, "alpha_selection_metric": "mae", "feature_columns": ["E1_v5_clean", "E5_v4_clean", "E3_v2_clean", "E2_v3_clean"], "initial_train_size": 12, "inner_splits": 2, "meta_model": "ridge", "rows_disponibles": 26, "rows_eval": 14, "sheet_name": "E9_base_h1", "table_path": "/home/emilio/Documentos/RAdAR/Experimentos/tabla_maestra_experimentos_radar_e9_curada.xlsx", "use_only_complete_rows": true}</t>
        </is>
      </c>
      <c r="O262" s="51" t="n">
        <v>0.35</v>
      </c>
      <c r="P262" s="51" t="n">
        <v>0.25</v>
      </c>
      <c r="Q262" s="51" t="n">
        <v>0.25</v>
      </c>
      <c r="R262" s="51" t="n">
        <v>0.1</v>
      </c>
      <c r="S262" s="52" t="n">
        <v>0.3</v>
      </c>
      <c r="T262" s="53" t="n">
        <v>0.2352267519700852</v>
      </c>
      <c r="U262" s="53" t="n">
        <v>0.2142857142857143</v>
      </c>
      <c r="V262" s="53" t="n">
        <v>0.1428571428571429</v>
      </c>
      <c r="W262" s="53" t="n">
        <v>0.9285714285714286</v>
      </c>
      <c r="X262" s="54" t="n">
        <v>0.07934166609971609</v>
      </c>
      <c r="Y262" s="53" t="n">
        <v>0.1419496069642681</v>
      </c>
      <c r="Z262" s="53" t="n">
        <v>0.1771121423681828</v>
      </c>
      <c r="AA262" s="55" t="n">
        <v>0.7857142857142857</v>
      </c>
      <c r="AB262" s="55" t="n">
        <v>0.8571428571428571</v>
      </c>
      <c r="AC262" s="49" t="inlineStr">
        <is>
          <t>corrido</t>
        </is>
      </c>
      <c r="AD262" s="49" t="inlineStr">
        <is>
          <t>smoke_test_e9</t>
        </is>
      </c>
      <c r="AE262" s="49" t="inlineStr">
        <is>
          <t>run_e9_stacking.py</t>
        </is>
      </c>
      <c r="AF262" s="49" t="inlineStr">
        <is>
          <t>Scripts/Modeling/run_e9_stacking.py</t>
        </is>
      </c>
      <c r="AG262" s="49" t="inlineStr">
        <is>
          <t>Experimentos/runs/E9_smoke_tmp_20260401_065645</t>
        </is>
      </c>
      <c r="AH262" s="49" t="inlineStr">
        <is>
          <t>Experimentos/runs/E9_smoke_tmp_20260401_065645/scripts/run_e9_stacking.py</t>
        </is>
      </c>
      <c r="AI262" s="49" t="inlineStr">
        <is>
          <t>Experimentos/runs/E9_smoke_tmp_20260401_065645/parametros_run.json</t>
        </is>
      </c>
      <c r="AJ262" s="49" t="inlineStr">
        <is>
          <t>Experimentos/runs/E9_smoke_tmp_20260401_065645/metricas_horizonte.json</t>
        </is>
      </c>
      <c r="AK262" s="49" t="inlineStr">
        <is>
          <t>2026-04-01 06:56:44</t>
        </is>
      </c>
      <c r="AL262" s="49" t="inlineStr">
        <is>
          <t>regresion</t>
        </is>
      </c>
      <c r="AM262" s="49" t="n"/>
      <c r="AN262" s="49" t="n"/>
      <c r="AO262" s="49" t="n"/>
      <c r="AP262" s="49" t="n"/>
      <c r="AQ262" s="49" t="n"/>
      <c r="AR262" s="49" t="n"/>
      <c r="AS262" s="49" t="n"/>
      <c r="AT262" s="49" t="n"/>
      <c r="AU262" s="49" t="n"/>
      <c r="AV262" s="49" t="n"/>
      <c r="AW262" s="49" t="n"/>
      <c r="AX262" s="49" t="n"/>
      <c r="AY262" s="49" t="n">
        <v>0.07934166609971609</v>
      </c>
    </row>
    <row r="263" ht="15" customHeight="1" s="27">
      <c r="A263" s="49" t="inlineStr">
        <is>
          <t>2026-04-01 06:57:43</t>
        </is>
      </c>
      <c r="B263" s="49" t="inlineStr">
        <is>
          <t>E9_v1_clean</t>
        </is>
      </c>
      <c r="C263" s="50" t="inlineStr">
        <is>
          <t>E9</t>
        </is>
      </c>
      <c r="D263" s="50" t="inlineStr">
        <is>
          <t>stacking_controlado</t>
        </is>
      </c>
      <c r="E263" s="50" t="inlineStr">
        <is>
          <t>stacking_ridge_curado_por_horizonte</t>
        </is>
      </c>
      <c r="F263" s="50" t="n">
        <v>1</v>
      </c>
      <c r="G263" s="49" t="inlineStr">
        <is>
          <t>nivel</t>
        </is>
      </c>
      <c r="H263" s="50" t="inlineStr">
        <is>
          <t>predicciones_oof_modelos_base_por_horizonte</t>
        </is>
      </c>
      <c r="I263" s="50" t="inlineStr">
        <is>
          <t>E1_v5_clean, E5_v4_clean, E3_v2_clean, E2_v3_clean</t>
        </is>
      </c>
      <c r="J263" s="50" t="inlineStr">
        <is>
          <t>standard_scaler_meta</t>
        </is>
      </c>
      <c r="K263" s="50" t="inlineStr">
        <is>
          <t>tabla_curada_e9_fila_completa</t>
        </is>
      </c>
      <c r="L263" s="50" t="inlineStr">
        <is>
          <t>walk-forward_expanding_sobre_base_curada</t>
        </is>
      </c>
      <c r="M263" s="49" t="inlineStr">
        <is>
          <t>2025-11-24 a 2026-02-23</t>
        </is>
      </c>
      <c r="N263" s="49" t="inlineStr">
        <is>
          <t>{"alpha_grid_size": 40, "alpha_selection_metric": "mae", "feature_columns": ["E1_v5_clean", "E5_v4_clean", "E3_v2_clean", "E2_v3_clean"], "initial_train_size": 12, "inner_splits": 3, "meta_model": "ridge", "rows_disponibles": 26, "rows_eval": 14, "sheet_name": "E9_base_h1", "table_path": "/home/emilio/Documentos/RAdAR/Experimentos/tabla_maestra_experimentos_radar_e9_curada.xlsx", "use_only_complete_rows": true}</t>
        </is>
      </c>
      <c r="O263" s="51" t="n">
        <v>0.35</v>
      </c>
      <c r="P263" s="51" t="n">
        <v>0.25</v>
      </c>
      <c r="Q263" s="51" t="n">
        <v>0.25</v>
      </c>
      <c r="R263" s="51" t="n">
        <v>0.1</v>
      </c>
      <c r="S263" s="52" t="n">
        <v>0.3</v>
      </c>
      <c r="T263" s="53" t="n">
        <v>0.2266204872451206</v>
      </c>
      <c r="U263" s="53" t="n">
        <v>0.2857142857142857</v>
      </c>
      <c r="V263" s="53" t="n">
        <v>0.2857142857142857</v>
      </c>
      <c r="W263" s="53" t="n">
        <v>0.8571428571428571</v>
      </c>
      <c r="X263" s="54" t="n">
        <v>0.09236657973216623</v>
      </c>
      <c r="Y263" s="53" t="n">
        <v>0.1367560824824331</v>
      </c>
      <c r="Z263" s="53" t="n">
        <v>0.1715007749218895</v>
      </c>
      <c r="AA263" s="55" t="n">
        <v>0.7142857142857143</v>
      </c>
      <c r="AB263" s="55" t="n">
        <v>0.7142857142857143</v>
      </c>
      <c r="AC263" s="49" t="inlineStr">
        <is>
          <t>corrido</t>
        </is>
      </c>
      <c r="AD263" s="49" t="inlineStr">
        <is>
          <t>stacking_clasico_controlado_ridge</t>
        </is>
      </c>
      <c r="AE263" s="49" t="inlineStr">
        <is>
          <t>run_e9_stacking.py</t>
        </is>
      </c>
      <c r="AF263" s="49" t="inlineStr">
        <is>
          <t>Scripts/Modeling/run_e9_stacking.py</t>
        </is>
      </c>
      <c r="AG263" s="49" t="inlineStr">
        <is>
          <t>Experimentos/runs/E9_v1_clean_20260401_065743</t>
        </is>
      </c>
      <c r="AH263" s="49" t="inlineStr">
        <is>
          <t>Experimentos/runs/E9_v1_clean_20260401_065743/scripts/run_e9_stacking.py</t>
        </is>
      </c>
      <c r="AI263" s="49" t="inlineStr">
        <is>
          <t>Experimentos/runs/E9_v1_clean_20260401_065743/parametros_run.json</t>
        </is>
      </c>
      <c r="AJ263" s="49" t="inlineStr">
        <is>
          <t>Experimentos/runs/E9_v1_clean_20260401_065743/metricas_horizonte.json</t>
        </is>
      </c>
      <c r="AK263" s="49" t="inlineStr">
        <is>
          <t>2026-04-01 06:57:43</t>
        </is>
      </c>
      <c r="AL263" s="49" t="inlineStr">
        <is>
          <t>regresion</t>
        </is>
      </c>
      <c r="AM263" s="49" t="n"/>
      <c r="AN263" s="49" t="n"/>
      <c r="AO263" s="49" t="n"/>
      <c r="AP263" s="49" t="n"/>
      <c r="AQ263" s="49" t="n"/>
      <c r="AR263" s="49" t="n"/>
      <c r="AS263" s="49" t="n"/>
      <c r="AT263" s="49" t="n"/>
      <c r="AU263" s="49" t="n"/>
      <c r="AV263" s="49" t="n"/>
      <c r="AW263" s="49" t="n"/>
      <c r="AX263" s="49" t="n"/>
      <c r="AY263" s="49" t="n">
        <v>0.09236657973216623</v>
      </c>
    </row>
    <row r="264" ht="15" customHeight="1" s="27">
      <c r="A264" s="49" t="inlineStr">
        <is>
          <t>2026-04-01 06:57:43</t>
        </is>
      </c>
      <c r="B264" s="49" t="inlineStr">
        <is>
          <t>E9_v1_clean</t>
        </is>
      </c>
      <c r="C264" s="50" t="inlineStr">
        <is>
          <t>E9</t>
        </is>
      </c>
      <c r="D264" s="50" t="inlineStr">
        <is>
          <t>stacking_controlado</t>
        </is>
      </c>
      <c r="E264" s="50" t="inlineStr">
        <is>
          <t>stacking_ridge_curado_por_horizonte</t>
        </is>
      </c>
      <c r="F264" s="50" t="n">
        <v>2</v>
      </c>
      <c r="G264" s="49" t="inlineStr">
        <is>
          <t>nivel</t>
        </is>
      </c>
      <c r="H264" s="50" t="inlineStr">
        <is>
          <t>predicciones_oof_modelos_base_por_horizonte</t>
        </is>
      </c>
      <c r="I264" s="50" t="inlineStr">
        <is>
          <t>E1_v5_clean, E5_v4_clean, E2_v3_clean, E7_v3_clean</t>
        </is>
      </c>
      <c r="J264" s="50" t="inlineStr">
        <is>
          <t>standard_scaler_meta</t>
        </is>
      </c>
      <c r="K264" s="50" t="inlineStr">
        <is>
          <t>tabla_curada_e9_fila_completa</t>
        </is>
      </c>
      <c r="L264" s="50" t="inlineStr">
        <is>
          <t>walk-forward_expanding_sobre_base_curada</t>
        </is>
      </c>
      <c r="M264" s="49" t="inlineStr">
        <is>
          <t>2025-11-24 a 2026-02-16</t>
        </is>
      </c>
      <c r="N264" s="49" t="inlineStr">
        <is>
          <t>{"alpha_grid_size": 40, "alpha_selection_metric": "mae", "feature_columns": ["E1_v5_clean", "E5_v4_clean", "E2_v3_clean", "E7_v3_clean"], "initial_train_size": 12, "inner_splits": 3, "meta_model": "ridge", "rows_disponibles": 25, "rows_eval": 13, "sheet_name": "E9_base_h2", "table_path": "/home/emilio/Documentos/RAdAR/Experimentos/tabla_maestra_experimentos_radar_e9_curada.xlsx", "use_only_complete_rows": true}</t>
        </is>
      </c>
      <c r="O264" s="51" t="n">
        <v>0.35</v>
      </c>
      <c r="P264" s="51" t="n">
        <v>0.25</v>
      </c>
      <c r="Q264" s="51" t="n">
        <v>0.25</v>
      </c>
      <c r="R264" s="51" t="n">
        <v>0.1</v>
      </c>
      <c r="S264" s="52" t="n">
        <v>0.25</v>
      </c>
      <c r="T264" s="53" t="n">
        <v>0.1838680365759985</v>
      </c>
      <c r="U264" s="53" t="n">
        <v>0.3076923076923077</v>
      </c>
      <c r="V264" s="53" t="n">
        <v>0.3333333333333334</v>
      </c>
      <c r="W264" s="53" t="n">
        <v>0.6153846153846154</v>
      </c>
      <c r="X264" s="54" t="n">
        <v>0.07153717114911783</v>
      </c>
      <c r="Y264" s="53" t="n">
        <v>0.1109567483573208</v>
      </c>
      <c r="Z264" s="53" t="n">
        <v>0.1592127092569173</v>
      </c>
      <c r="AA264" s="55" t="n">
        <v>0.6923076923076923</v>
      </c>
      <c r="AB264" s="55" t="n">
        <v>0.6666666666666666</v>
      </c>
      <c r="AC264" s="49" t="inlineStr">
        <is>
          <t>corrido</t>
        </is>
      </c>
      <c r="AD264" s="49" t="inlineStr">
        <is>
          <t>stacking_clasico_controlado_ridge</t>
        </is>
      </c>
      <c r="AE264" s="49" t="inlineStr">
        <is>
          <t>run_e9_stacking.py</t>
        </is>
      </c>
      <c r="AF264" s="49" t="inlineStr">
        <is>
          <t>Scripts/Modeling/run_e9_stacking.py</t>
        </is>
      </c>
      <c r="AG264" s="49" t="inlineStr">
        <is>
          <t>Experimentos/runs/E9_v1_clean_20260401_065743</t>
        </is>
      </c>
      <c r="AH264" s="49" t="inlineStr">
        <is>
          <t>Experimentos/runs/E9_v1_clean_20260401_065743/scripts/run_e9_stacking.py</t>
        </is>
      </c>
      <c r="AI264" s="49" t="inlineStr">
        <is>
          <t>Experimentos/runs/E9_v1_clean_20260401_065743/parametros_run.json</t>
        </is>
      </c>
      <c r="AJ264" s="49" t="inlineStr">
        <is>
          <t>Experimentos/runs/E9_v1_clean_20260401_065743/metricas_horizonte.json</t>
        </is>
      </c>
      <c r="AK264" s="49" t="inlineStr">
        <is>
          <t>2026-04-01 06:57:43</t>
        </is>
      </c>
      <c r="AL264" s="49" t="inlineStr">
        <is>
          <t>regresion</t>
        </is>
      </c>
      <c r="AM264" s="49" t="n"/>
      <c r="AN264" s="49" t="n"/>
      <c r="AO264" s="49" t="n"/>
      <c r="AP264" s="49" t="n"/>
      <c r="AQ264" s="49" t="n"/>
      <c r="AR264" s="49" t="n"/>
      <c r="AS264" s="49" t="n"/>
      <c r="AT264" s="49" t="n"/>
      <c r="AU264" s="49" t="n"/>
      <c r="AV264" s="49" t="n"/>
      <c r="AW264" s="49" t="n"/>
      <c r="AX264" s="49" t="n"/>
      <c r="AY264" s="49" t="n">
        <v>0.07153717114911783</v>
      </c>
    </row>
    <row r="265" ht="15" customHeight="1" s="27">
      <c r="A265" s="49" t="inlineStr">
        <is>
          <t>2026-04-01 06:57:43</t>
        </is>
      </c>
      <c r="B265" s="49" t="inlineStr">
        <is>
          <t>E9_v1_clean</t>
        </is>
      </c>
      <c r="C265" s="50" t="inlineStr">
        <is>
          <t>E9</t>
        </is>
      </c>
      <c r="D265" s="50" t="inlineStr">
        <is>
          <t>stacking_controlado</t>
        </is>
      </c>
      <c r="E265" s="50" t="inlineStr">
        <is>
          <t>stacking_ridge_curado_por_horizonte</t>
        </is>
      </c>
      <c r="F265" s="50" t="n">
        <v>3</v>
      </c>
      <c r="G265" s="49" t="inlineStr">
        <is>
          <t>nivel</t>
        </is>
      </c>
      <c r="H265" s="50" t="inlineStr">
        <is>
          <t>predicciones_oof_modelos_base_por_horizonte</t>
        </is>
      </c>
      <c r="I265" s="50" t="inlineStr">
        <is>
          <t>E1_v5_clean, E5_v4_clean, E3_v2_clean, E7_v3_clean</t>
        </is>
      </c>
      <c r="J265" s="50" t="inlineStr">
        <is>
          <t>standard_scaler_meta</t>
        </is>
      </c>
      <c r="K265" s="50" t="inlineStr">
        <is>
          <t>tabla_curada_e9_fila_completa</t>
        </is>
      </c>
      <c r="L265" s="50" t="inlineStr">
        <is>
          <t>walk-forward_expanding_sobre_base_curada</t>
        </is>
      </c>
      <c r="M265" s="49" t="inlineStr">
        <is>
          <t>2025-11-24 a 2026-02-09</t>
        </is>
      </c>
      <c r="N265" s="49" t="inlineStr">
        <is>
          <t>{"alpha_grid_size": 40, "alpha_selection_metric": "mae", "feature_columns": ["E1_v5_clean", "E5_v4_clean", "E3_v2_clean", "E7_v3_clean"], "initial_train_size": 12, "inner_splits": 3, "meta_model": "ridge", "rows_disponibles": 24, "rows_eval": 12, "sheet_name": "E9_base_h3", "table_path": "/home/emilio/Documentos/RAdAR/Experimentos/tabla_maestra_experimentos_radar_e9_curada.xlsx", "use_only_complete_rows": true}</t>
        </is>
      </c>
      <c r="O265" s="51" t="n">
        <v>0.35</v>
      </c>
      <c r="P265" s="51" t="n">
        <v>0.25</v>
      </c>
      <c r="Q265" s="51" t="n">
        <v>0.25</v>
      </c>
      <c r="R265" s="51" t="n">
        <v>0.1</v>
      </c>
      <c r="S265" s="52" t="n">
        <v>0.3</v>
      </c>
      <c r="T265" s="53" t="n">
        <v>0.2058136468647109</v>
      </c>
      <c r="U265" s="53" t="n">
        <v>0.1666666666666666</v>
      </c>
      <c r="V265" s="53" t="n">
        <v>0</v>
      </c>
      <c r="W265" s="53" t="n">
        <v>0.6666666666666666</v>
      </c>
      <c r="X265" s="54" t="n">
        <v>0.05411043292079463</v>
      </c>
      <c r="Y265" s="53" t="n">
        <v>0.1242000156684721</v>
      </c>
      <c r="Z265" s="53" t="n">
        <v>0.1651758955638798</v>
      </c>
      <c r="AA265" s="55" t="n">
        <v>0.8333333333333334</v>
      </c>
      <c r="AB265" s="55" t="n">
        <v>1</v>
      </c>
      <c r="AC265" s="49" t="inlineStr">
        <is>
          <t>corrido</t>
        </is>
      </c>
      <c r="AD265" s="49" t="inlineStr">
        <is>
          <t>stacking_clasico_controlado_ridge</t>
        </is>
      </c>
      <c r="AE265" s="49" t="inlineStr">
        <is>
          <t>run_e9_stacking.py</t>
        </is>
      </c>
      <c r="AF265" s="49" t="inlineStr">
        <is>
          <t>Scripts/Modeling/run_e9_stacking.py</t>
        </is>
      </c>
      <c r="AG265" s="49" t="inlineStr">
        <is>
          <t>Experimentos/runs/E9_v1_clean_20260401_065743</t>
        </is>
      </c>
      <c r="AH265" s="49" t="inlineStr">
        <is>
          <t>Experimentos/runs/E9_v1_clean_20260401_065743/scripts/run_e9_stacking.py</t>
        </is>
      </c>
      <c r="AI265" s="49" t="inlineStr">
        <is>
          <t>Experimentos/runs/E9_v1_clean_20260401_065743/parametros_run.json</t>
        </is>
      </c>
      <c r="AJ265" s="49" t="inlineStr">
        <is>
          <t>Experimentos/runs/E9_v1_clean_20260401_065743/metricas_horizonte.json</t>
        </is>
      </c>
      <c r="AK265" s="49" t="inlineStr">
        <is>
          <t>2026-04-01 06:57:43</t>
        </is>
      </c>
      <c r="AL265" s="49" t="inlineStr">
        <is>
          <t>regresion</t>
        </is>
      </c>
      <c r="AM265" s="49" t="n"/>
      <c r="AN265" s="49" t="n"/>
      <c r="AO265" s="49" t="n"/>
      <c r="AP265" s="49" t="n"/>
      <c r="AQ265" s="49" t="n"/>
      <c r="AR265" s="49" t="n"/>
      <c r="AS265" s="49" t="n"/>
      <c r="AT265" s="49" t="n"/>
      <c r="AU265" s="49" t="n"/>
      <c r="AV265" s="49" t="n"/>
      <c r="AW265" s="49" t="n"/>
      <c r="AX265" s="49" t="n"/>
      <c r="AY265" s="49" t="n">
        <v>0.05411043292079463</v>
      </c>
    </row>
    <row r="266" ht="15" customHeight="1" s="27">
      <c r="A266" s="49" t="inlineStr">
        <is>
          <t>2026-04-01 06:57:43</t>
        </is>
      </c>
      <c r="B266" s="49" t="inlineStr">
        <is>
          <t>E9_v1_clean</t>
        </is>
      </c>
      <c r="C266" s="50" t="inlineStr">
        <is>
          <t>E9</t>
        </is>
      </c>
      <c r="D266" s="50" t="inlineStr">
        <is>
          <t>stacking_controlado</t>
        </is>
      </c>
      <c r="E266" s="50" t="inlineStr">
        <is>
          <t>stacking_ridge_curado_por_horizonte</t>
        </is>
      </c>
      <c r="F266" s="50" t="n">
        <v>4</v>
      </c>
      <c r="G266" s="49" t="inlineStr">
        <is>
          <t>nivel</t>
        </is>
      </c>
      <c r="H266" s="50" t="inlineStr">
        <is>
          <t>predicciones_oof_modelos_base_por_horizonte</t>
        </is>
      </c>
      <c r="I266" s="50" t="inlineStr">
        <is>
          <t>E1_v5_clean, E5_v4_clean, E3_v2_clean, E2_v3_clean</t>
        </is>
      </c>
      <c r="J266" s="50" t="inlineStr">
        <is>
          <t>standard_scaler_meta</t>
        </is>
      </c>
      <c r="K266" s="50" t="inlineStr">
        <is>
          <t>tabla_curada_e9_fila_completa</t>
        </is>
      </c>
      <c r="L266" s="50" t="inlineStr">
        <is>
          <t>walk-forward_expanding_sobre_base_curada</t>
        </is>
      </c>
      <c r="M266" s="49" t="inlineStr">
        <is>
          <t>2025-11-24 a 2026-02-02</t>
        </is>
      </c>
      <c r="N266" s="49" t="inlineStr">
        <is>
          <t>{"alpha_grid_size": 40, "alpha_selection_metric": "mae", "feature_columns": ["E1_v5_clean", "E5_v4_clean", "E3_v2_clean", "E2_v3_clean"], "initial_train_size": 12, "inner_splits": 3, "meta_model": "ridge", "rows_disponibles": 23, "rows_eval": 11, "sheet_name": "E9_base_h4", "table_path": "/home/emilio/Documentos/RAdAR/Experimentos/tabla_maestra_experimentos_radar_e9_curada.xlsx", "use_only_complete_rows": true}</t>
        </is>
      </c>
      <c r="O266" s="51" t="n">
        <v>0.35</v>
      </c>
      <c r="P266" s="51" t="n">
        <v>0.25</v>
      </c>
      <c r="Q266" s="51" t="n">
        <v>0.25</v>
      </c>
      <c r="R266" s="51" t="n">
        <v>0.1</v>
      </c>
      <c r="S266" s="52" t="n">
        <v>0.15</v>
      </c>
      <c r="T266" s="53" t="n">
        <v>0.2035742892895235</v>
      </c>
      <c r="U266" s="53" t="n">
        <v>0.3636363636363636</v>
      </c>
      <c r="V266" s="53" t="n">
        <v>0.3333333333333334</v>
      </c>
      <c r="W266" s="53" t="n">
        <v>0.9090909090909091</v>
      </c>
      <c r="X266" s="54" t="n">
        <v>0.05046037746042725</v>
      </c>
      <c r="Y266" s="53" t="n">
        <v>0.1228486560761297</v>
      </c>
      <c r="Z266" s="53" t="n">
        <v>0.169382552941009</v>
      </c>
      <c r="AA266" s="55" t="n">
        <v>0.6363636363636364</v>
      </c>
      <c r="AB266" s="55" t="n">
        <v>0.6666666666666666</v>
      </c>
      <c r="AC266" s="49" t="inlineStr">
        <is>
          <t>corrido</t>
        </is>
      </c>
      <c r="AD266" s="49" t="inlineStr">
        <is>
          <t>stacking_clasico_controlado_ridge</t>
        </is>
      </c>
      <c r="AE266" s="49" t="inlineStr">
        <is>
          <t>run_e9_stacking.py</t>
        </is>
      </c>
      <c r="AF266" s="49" t="inlineStr">
        <is>
          <t>Scripts/Modeling/run_e9_stacking.py</t>
        </is>
      </c>
      <c r="AG266" s="49" t="inlineStr">
        <is>
          <t>Experimentos/runs/E9_v1_clean_20260401_065743</t>
        </is>
      </c>
      <c r="AH266" s="49" t="inlineStr">
        <is>
          <t>Experimentos/runs/E9_v1_clean_20260401_065743/scripts/run_e9_stacking.py</t>
        </is>
      </c>
      <c r="AI266" s="49" t="inlineStr">
        <is>
          <t>Experimentos/runs/E9_v1_clean_20260401_065743/parametros_run.json</t>
        </is>
      </c>
      <c r="AJ266" s="49" t="inlineStr">
        <is>
          <t>Experimentos/runs/E9_v1_clean_20260401_065743/metricas_horizonte.json</t>
        </is>
      </c>
      <c r="AK266" s="49" t="inlineStr">
        <is>
          <t>2026-04-01 06:57:43</t>
        </is>
      </c>
      <c r="AL266" s="49" t="inlineStr">
        <is>
          <t>regresion</t>
        </is>
      </c>
      <c r="AM266" s="49" t="n"/>
      <c r="AN266" s="49" t="n"/>
      <c r="AO266" s="49" t="n"/>
      <c r="AP266" s="49" t="n"/>
      <c r="AQ266" s="49" t="n"/>
      <c r="AR266" s="49" t="n"/>
      <c r="AS266" s="49" t="n"/>
      <c r="AT266" s="49" t="n"/>
      <c r="AU266" s="49" t="n"/>
      <c r="AV266" s="49" t="n"/>
      <c r="AW266" s="49" t="n"/>
      <c r="AX266" s="49" t="n"/>
      <c r="AY266" s="49" t="n">
        <v>0.05046037746042725</v>
      </c>
    </row>
    <row r="267" ht="15" customHeight="1" s="27">
      <c r="A267" s="49" t="inlineStr">
        <is>
          <t>2026-04-01 07:04:31</t>
        </is>
      </c>
      <c r="B267" s="49" t="inlineStr">
        <is>
          <t>E9_v2_clean</t>
        </is>
      </c>
      <c r="C267" s="50" t="inlineStr">
        <is>
          <t>E9</t>
        </is>
      </c>
      <c r="D267" s="50" t="inlineStr">
        <is>
          <t>stacking_controlado</t>
        </is>
      </c>
      <c r="E267" s="50" t="inlineStr">
        <is>
          <t>stacking_huber_curado_por_horizonte</t>
        </is>
      </c>
      <c r="F267" s="50" t="n">
        <v>1</v>
      </c>
      <c r="G267" s="49" t="inlineStr">
        <is>
          <t>nivel</t>
        </is>
      </c>
      <c r="H267" s="50" t="inlineStr">
        <is>
          <t>predicciones_oof_modelos_base_por_horizonte</t>
        </is>
      </c>
      <c r="I267" s="50" t="inlineStr">
        <is>
          <t>E1_v5_clean, E5_v4_clean, E3_v2_clean, E2_v3_clean</t>
        </is>
      </c>
      <c r="J267" s="50" t="inlineStr">
        <is>
          <t>standard_scaler_meta</t>
        </is>
      </c>
      <c r="K267" s="50" t="inlineStr">
        <is>
          <t>tabla_curada_e9_fila_completa</t>
        </is>
      </c>
      <c r="L267" s="50" t="inlineStr">
        <is>
          <t>walk-forward_expanding_sobre_base_curada</t>
        </is>
      </c>
      <c r="M267" s="49" t="inlineStr">
        <is>
          <t>2025-11-24 a 2026-02-23</t>
        </is>
      </c>
      <c r="N267" s="49" t="inlineStr">
        <is>
          <t>{"alpha_grid_size": null, "alpha_selection_metric": null, "feature_columns": ["E1_v5_clean", "E5_v4_clean", "E3_v2_clean", "E2_v3_clean"], "initial_train_size": 12, "inner_splits": null, "meta_model": "huber", "rows_disponibles": 26, "rows_eval": 14, "sheet_name": "E9_base_h1", "table_path": "/home/emilio/Documentos/RAdAR/Experimentos/tabla_maestra_experimentos_radar_e9_curada.xlsx", "use_only_complete_rows": true}</t>
        </is>
      </c>
      <c r="O267" s="51" t="n">
        <v>0.35</v>
      </c>
      <c r="P267" s="51" t="n">
        <v>0.25</v>
      </c>
      <c r="Q267" s="51" t="n">
        <v>0.25</v>
      </c>
      <c r="R267" s="51" t="n">
        <v>0.1</v>
      </c>
      <c r="S267" s="52" t="n">
        <v>0.3</v>
      </c>
      <c r="T267" s="53" t="n">
        <v>0.2053059280801175</v>
      </c>
      <c r="U267" s="53" t="n">
        <v>0.1428571428571429</v>
      </c>
      <c r="V267" s="53" t="n">
        <v>0</v>
      </c>
      <c r="W267" s="53" t="n">
        <v>0.6428571428571429</v>
      </c>
      <c r="X267" s="54" t="n">
        <v>0.05155712244841234</v>
      </c>
      <c r="Y267" s="53" t="n">
        <v>0.1238936284003667</v>
      </c>
      <c r="Z267" s="53" t="n">
        <v>0.16687812023759</v>
      </c>
      <c r="AA267" s="55" t="n">
        <v>0.8571428571428571</v>
      </c>
      <c r="AB267" s="55" t="n">
        <v>1</v>
      </c>
      <c r="AC267" s="49" t="inlineStr">
        <is>
          <t>corrido</t>
        </is>
      </c>
      <c r="AD267" s="49" t="inlineStr">
        <is>
          <t>stacking_clasico_controlado_huber</t>
        </is>
      </c>
      <c r="AE267" s="49" t="inlineStr">
        <is>
          <t>run_e9_stacking.py</t>
        </is>
      </c>
      <c r="AF267" s="49" t="inlineStr">
        <is>
          <t>Scripts/Modeling/run_e9_stacking.py</t>
        </is>
      </c>
      <c r="AG267" s="49" t="inlineStr">
        <is>
          <t>Experimentos/runs/E9_v2_clean_20260401_070431</t>
        </is>
      </c>
      <c r="AH267" s="49" t="inlineStr">
        <is>
          <t>Experimentos/runs/E9_v2_clean_20260401_070431/scripts/run_e9_stacking.py</t>
        </is>
      </c>
      <c r="AI267" s="49" t="inlineStr">
        <is>
          <t>Experimentos/runs/E9_v2_clean_20260401_070431/parametros_run.json</t>
        </is>
      </c>
      <c r="AJ267" s="49" t="inlineStr">
        <is>
          <t>Experimentos/runs/E9_v2_clean_20260401_070431/metricas_horizonte.json</t>
        </is>
      </c>
      <c r="AK267" s="49" t="inlineStr">
        <is>
          <t>2026-04-01 07:04:31</t>
        </is>
      </c>
      <c r="AL267" s="49" t="inlineStr">
        <is>
          <t>regresion</t>
        </is>
      </c>
      <c r="AM267" s="49" t="n"/>
      <c r="AN267" s="49" t="n"/>
      <c r="AO267" s="49" t="n"/>
      <c r="AP267" s="49" t="n"/>
      <c r="AQ267" s="49" t="n"/>
      <c r="AR267" s="49" t="n"/>
      <c r="AS267" s="49" t="n"/>
      <c r="AT267" s="49" t="n"/>
      <c r="AU267" s="49" t="n"/>
      <c r="AV267" s="49" t="n"/>
      <c r="AW267" s="49" t="n"/>
      <c r="AX267" s="49" t="n"/>
      <c r="AY267" s="49" t="n">
        <v>0.05155712244841234</v>
      </c>
    </row>
    <row r="268" ht="15" customHeight="1" s="27">
      <c r="A268" s="49" t="inlineStr">
        <is>
          <t>2026-04-01 07:04:31</t>
        </is>
      </c>
      <c r="B268" s="49" t="inlineStr">
        <is>
          <t>E9_v2_clean</t>
        </is>
      </c>
      <c r="C268" s="50" t="inlineStr">
        <is>
          <t>E9</t>
        </is>
      </c>
      <c r="D268" s="50" t="inlineStr">
        <is>
          <t>stacking_controlado</t>
        </is>
      </c>
      <c r="E268" s="50" t="inlineStr">
        <is>
          <t>stacking_huber_curado_por_horizonte</t>
        </is>
      </c>
      <c r="F268" s="50" t="n">
        <v>2</v>
      </c>
      <c r="G268" s="49" t="inlineStr">
        <is>
          <t>nivel</t>
        </is>
      </c>
      <c r="H268" s="50" t="inlineStr">
        <is>
          <t>predicciones_oof_modelos_base_por_horizonte</t>
        </is>
      </c>
      <c r="I268" s="50" t="inlineStr">
        <is>
          <t>E1_v5_clean, E5_v4_clean, E2_v3_clean, E7_v3_clean</t>
        </is>
      </c>
      <c r="J268" s="50" t="inlineStr">
        <is>
          <t>standard_scaler_meta</t>
        </is>
      </c>
      <c r="K268" s="50" t="inlineStr">
        <is>
          <t>tabla_curada_e9_fila_completa</t>
        </is>
      </c>
      <c r="L268" s="50" t="inlineStr">
        <is>
          <t>walk-forward_expanding_sobre_base_curada</t>
        </is>
      </c>
      <c r="M268" s="49" t="inlineStr">
        <is>
          <t>2025-11-24 a 2026-02-16</t>
        </is>
      </c>
      <c r="N268" s="49" t="inlineStr">
        <is>
          <t>{"alpha_grid_size": null, "alpha_selection_metric": null, "feature_columns": ["E1_v5_clean", "E5_v4_clean", "E2_v3_clean", "E7_v3_clean"], "initial_train_size": 12, "inner_splits": null, "meta_model": "huber", "rows_disponibles": 25, "rows_eval": 13, "sheet_name": "E9_base_h2", "table_path": "/home/emilio/Documentos/RAdAR/Experimentos/tabla_maestra_experimentos_radar_e9_curada.xlsx", "use_only_complete_rows": true}</t>
        </is>
      </c>
      <c r="O268" s="51" t="n">
        <v>0.35</v>
      </c>
      <c r="P268" s="51" t="n">
        <v>0.25</v>
      </c>
      <c r="Q268" s="51" t="n">
        <v>0.25</v>
      </c>
      <c r="R268" s="51" t="n">
        <v>0.1</v>
      </c>
      <c r="S268" s="52" t="n">
        <v>0.25</v>
      </c>
      <c r="T268" s="53" t="n">
        <v>0.1880023122106572</v>
      </c>
      <c r="U268" s="53" t="n">
        <v>0.3076923076923077</v>
      </c>
      <c r="V268" s="53" t="n">
        <v>0.1666666666666666</v>
      </c>
      <c r="W268" s="53" t="n">
        <v>0.6923076923076923</v>
      </c>
      <c r="X268" s="54" t="n">
        <v>0.0634053305235607</v>
      </c>
      <c r="Y268" s="53" t="n">
        <v>0.1134516125532792</v>
      </c>
      <c r="Z268" s="53" t="n">
        <v>0.1458496449259018</v>
      </c>
      <c r="AA268" s="55" t="n">
        <v>0.6923076923076923</v>
      </c>
      <c r="AB268" s="55" t="n">
        <v>0.8333333333333334</v>
      </c>
      <c r="AC268" s="49" t="inlineStr">
        <is>
          <t>corrido</t>
        </is>
      </c>
      <c r="AD268" s="49" t="inlineStr">
        <is>
          <t>stacking_clasico_controlado_huber</t>
        </is>
      </c>
      <c r="AE268" s="49" t="inlineStr">
        <is>
          <t>run_e9_stacking.py</t>
        </is>
      </c>
      <c r="AF268" s="49" t="inlineStr">
        <is>
          <t>Scripts/Modeling/run_e9_stacking.py</t>
        </is>
      </c>
      <c r="AG268" s="49" t="inlineStr">
        <is>
          <t>Experimentos/runs/E9_v2_clean_20260401_070431</t>
        </is>
      </c>
      <c r="AH268" s="49" t="inlineStr">
        <is>
          <t>Experimentos/runs/E9_v2_clean_20260401_070431/scripts/run_e9_stacking.py</t>
        </is>
      </c>
      <c r="AI268" s="49" t="inlineStr">
        <is>
          <t>Experimentos/runs/E9_v2_clean_20260401_070431/parametros_run.json</t>
        </is>
      </c>
      <c r="AJ268" s="49" t="inlineStr">
        <is>
          <t>Experimentos/runs/E9_v2_clean_20260401_070431/metricas_horizonte.json</t>
        </is>
      </c>
      <c r="AK268" s="49" t="inlineStr">
        <is>
          <t>2026-04-01 07:04:31</t>
        </is>
      </c>
      <c r="AL268" s="49" t="inlineStr">
        <is>
          <t>regresion</t>
        </is>
      </c>
      <c r="AM268" s="49" t="n"/>
      <c r="AN268" s="49" t="n"/>
      <c r="AO268" s="49" t="n"/>
      <c r="AP268" s="49" t="n"/>
      <c r="AQ268" s="49" t="n"/>
      <c r="AR268" s="49" t="n"/>
      <c r="AS268" s="49" t="n"/>
      <c r="AT268" s="49" t="n"/>
      <c r="AU268" s="49" t="n"/>
      <c r="AV268" s="49" t="n"/>
      <c r="AW268" s="49" t="n"/>
      <c r="AX268" s="49" t="n"/>
      <c r="AY268" s="49" t="n">
        <v>0.0634053305235607</v>
      </c>
    </row>
    <row r="269" ht="15" customHeight="1" s="27">
      <c r="A269" s="49" t="inlineStr">
        <is>
          <t>2026-04-01 07:04:31</t>
        </is>
      </c>
      <c r="B269" s="49" t="inlineStr">
        <is>
          <t>E9_v2_clean</t>
        </is>
      </c>
      <c r="C269" s="50" t="inlineStr">
        <is>
          <t>E9</t>
        </is>
      </c>
      <c r="D269" s="50" t="inlineStr">
        <is>
          <t>stacking_controlado</t>
        </is>
      </c>
      <c r="E269" s="50" t="inlineStr">
        <is>
          <t>stacking_huber_curado_por_horizonte</t>
        </is>
      </c>
      <c r="F269" s="50" t="n">
        <v>3</v>
      </c>
      <c r="G269" s="49" t="inlineStr">
        <is>
          <t>nivel</t>
        </is>
      </c>
      <c r="H269" s="50" t="inlineStr">
        <is>
          <t>predicciones_oof_modelos_base_por_horizonte</t>
        </is>
      </c>
      <c r="I269" s="50" t="inlineStr">
        <is>
          <t>E1_v5_clean, E5_v4_clean, E3_v2_clean, E7_v3_clean</t>
        </is>
      </c>
      <c r="J269" s="50" t="inlineStr">
        <is>
          <t>standard_scaler_meta</t>
        </is>
      </c>
      <c r="K269" s="50" t="inlineStr">
        <is>
          <t>tabla_curada_e9_fila_completa</t>
        </is>
      </c>
      <c r="L269" s="50" t="inlineStr">
        <is>
          <t>walk-forward_expanding_sobre_base_curada</t>
        </is>
      </c>
      <c r="M269" s="49" t="inlineStr">
        <is>
          <t>2025-11-24 a 2026-02-09</t>
        </is>
      </c>
      <c r="N269" s="49" t="inlineStr">
        <is>
          <t>{"alpha_grid_size": null, "alpha_selection_metric": null, "feature_columns": ["E1_v5_clean", "E5_v4_clean", "E3_v2_clean", "E7_v3_clean"], "initial_train_size": 12, "inner_splits": null, "meta_model": "huber", "rows_disponibles": 24, "rows_eval": 12, "sheet_name": "E9_base_h3", "table_path": "/home/emilio/Documentos/RAdAR/Experimentos/tabla_maestra_experimentos_radar_e9_curada.xlsx", "use_only_complete_rows": true}</t>
        </is>
      </c>
      <c r="O269" s="51" t="n">
        <v>0.35</v>
      </c>
      <c r="P269" s="51" t="n">
        <v>0.25</v>
      </c>
      <c r="Q269" s="51" t="n">
        <v>0.25</v>
      </c>
      <c r="R269" s="51" t="n">
        <v>0.1</v>
      </c>
      <c r="S269" s="52" t="n">
        <v>0.3</v>
      </c>
      <c r="T269" s="53" t="n">
        <v>0.2251523610104069</v>
      </c>
      <c r="U269" s="53" t="n">
        <v>0.3333333333333334</v>
      </c>
      <c r="V269" s="53" t="n">
        <v>0</v>
      </c>
      <c r="W269" s="53" t="n">
        <v>0.8333333333333334</v>
      </c>
      <c r="X269" s="54" t="n">
        <v>0.07364099790609273</v>
      </c>
      <c r="Y269" s="53" t="n">
        <v>0.1358701290768526</v>
      </c>
      <c r="Z269" s="53" t="n">
        <v>0.1754001138499917</v>
      </c>
      <c r="AA269" s="55" t="n">
        <v>0.6666666666666666</v>
      </c>
      <c r="AB269" s="55" t="n">
        <v>1</v>
      </c>
      <c r="AC269" s="49" t="inlineStr">
        <is>
          <t>corrido</t>
        </is>
      </c>
      <c r="AD269" s="49" t="inlineStr">
        <is>
          <t>stacking_clasico_controlado_huber</t>
        </is>
      </c>
      <c r="AE269" s="49" t="inlineStr">
        <is>
          <t>run_e9_stacking.py</t>
        </is>
      </c>
      <c r="AF269" s="49" t="inlineStr">
        <is>
          <t>Scripts/Modeling/run_e9_stacking.py</t>
        </is>
      </c>
      <c r="AG269" s="49" t="inlineStr">
        <is>
          <t>Experimentos/runs/E9_v2_clean_20260401_070431</t>
        </is>
      </c>
      <c r="AH269" s="49" t="inlineStr">
        <is>
          <t>Experimentos/runs/E9_v2_clean_20260401_070431/scripts/run_e9_stacking.py</t>
        </is>
      </c>
      <c r="AI269" s="49" t="inlineStr">
        <is>
          <t>Experimentos/runs/E9_v2_clean_20260401_070431/parametros_run.json</t>
        </is>
      </c>
      <c r="AJ269" s="49" t="inlineStr">
        <is>
          <t>Experimentos/runs/E9_v2_clean_20260401_070431/metricas_horizonte.json</t>
        </is>
      </c>
      <c r="AK269" s="49" t="inlineStr">
        <is>
          <t>2026-04-01 07:04:31</t>
        </is>
      </c>
      <c r="AL269" s="49" t="inlineStr">
        <is>
          <t>regresion</t>
        </is>
      </c>
      <c r="AM269" s="49" t="n"/>
      <c r="AN269" s="49" t="n"/>
      <c r="AO269" s="49" t="n"/>
      <c r="AP269" s="49" t="n"/>
      <c r="AQ269" s="49" t="n"/>
      <c r="AR269" s="49" t="n"/>
      <c r="AS269" s="49" t="n"/>
      <c r="AT269" s="49" t="n"/>
      <c r="AU269" s="49" t="n"/>
      <c r="AV269" s="49" t="n"/>
      <c r="AW269" s="49" t="n"/>
      <c r="AX269" s="49" t="n"/>
      <c r="AY269" s="49" t="n">
        <v>0.07364099790609273</v>
      </c>
    </row>
    <row r="270" ht="15" customHeight="1" s="27">
      <c r="A270" s="49" t="inlineStr">
        <is>
          <t>2026-04-01 07:04:31</t>
        </is>
      </c>
      <c r="B270" s="49" t="inlineStr">
        <is>
          <t>E9_v2_clean</t>
        </is>
      </c>
      <c r="C270" s="50" t="inlineStr">
        <is>
          <t>E9</t>
        </is>
      </c>
      <c r="D270" s="50" t="inlineStr">
        <is>
          <t>stacking_controlado</t>
        </is>
      </c>
      <c r="E270" s="50" t="inlineStr">
        <is>
          <t>stacking_huber_curado_por_horizonte</t>
        </is>
      </c>
      <c r="F270" s="50" t="n">
        <v>4</v>
      </c>
      <c r="G270" s="49" t="inlineStr">
        <is>
          <t>nivel</t>
        </is>
      </c>
      <c r="H270" s="50" t="inlineStr">
        <is>
          <t>predicciones_oof_modelos_base_por_horizonte</t>
        </is>
      </c>
      <c r="I270" s="50" t="inlineStr">
        <is>
          <t>E1_v5_clean, E5_v4_clean, E3_v2_clean, E2_v3_clean</t>
        </is>
      </c>
      <c r="J270" s="50" t="inlineStr">
        <is>
          <t>standard_scaler_meta</t>
        </is>
      </c>
      <c r="K270" s="50" t="inlineStr">
        <is>
          <t>tabla_curada_e9_fila_completa</t>
        </is>
      </c>
      <c r="L270" s="50" t="inlineStr">
        <is>
          <t>walk-forward_expanding_sobre_base_curada</t>
        </is>
      </c>
      <c r="M270" s="49" t="inlineStr">
        <is>
          <t>2025-11-24 a 2026-02-02</t>
        </is>
      </c>
      <c r="N270" s="49" t="inlineStr">
        <is>
          <t>{"alpha_grid_size": null, "alpha_selection_metric": null, "feature_columns": ["E1_v5_clean", "E5_v4_clean", "E3_v2_clean", "E2_v3_clean"], "initial_train_size": 12, "inner_splits": null, "meta_model": "huber", "rows_disponibles": 23, "rows_eval": 11, "sheet_name": "E9_base_h4", "table_path": "/home/emilio/Documentos/RAdAR/Experimentos/tabla_maestra_experimentos_radar_e9_curada.xlsx", "use_only_complete_rows": true}</t>
        </is>
      </c>
      <c r="O270" s="51" t="n">
        <v>0.35</v>
      </c>
      <c r="P270" s="51" t="n">
        <v>0.25</v>
      </c>
      <c r="Q270" s="51" t="n">
        <v>0.25</v>
      </c>
      <c r="R270" s="51" t="n">
        <v>0.1</v>
      </c>
      <c r="S270" s="52" t="n">
        <v>0.15</v>
      </c>
      <c r="T270" s="53" t="n">
        <v>0.2194248696989381</v>
      </c>
      <c r="U270" s="53" t="n">
        <v>0.2727272727272727</v>
      </c>
      <c r="V270" s="53" t="n">
        <v>0.1666666666666666</v>
      </c>
      <c r="W270" s="53" t="n">
        <v>0.7272727272727273</v>
      </c>
      <c r="X270" s="54" t="n">
        <v>0.03890616929555788</v>
      </c>
      <c r="Y270" s="53" t="n">
        <v>0.1324138251754253</v>
      </c>
      <c r="Z270" s="53" t="n">
        <v>0.1862892319849855</v>
      </c>
      <c r="AA270" s="55" t="n">
        <v>0.7272727272727273</v>
      </c>
      <c r="AB270" s="55" t="n">
        <v>0.8333333333333334</v>
      </c>
      <c r="AC270" s="49" t="inlineStr">
        <is>
          <t>corrido</t>
        </is>
      </c>
      <c r="AD270" s="49" t="inlineStr">
        <is>
          <t>stacking_clasico_controlado_huber</t>
        </is>
      </c>
      <c r="AE270" s="49" t="inlineStr">
        <is>
          <t>run_e9_stacking.py</t>
        </is>
      </c>
      <c r="AF270" s="49" t="inlineStr">
        <is>
          <t>Scripts/Modeling/run_e9_stacking.py</t>
        </is>
      </c>
      <c r="AG270" s="49" t="inlineStr">
        <is>
          <t>Experimentos/runs/E9_v2_clean_20260401_070431</t>
        </is>
      </c>
      <c r="AH270" s="49" t="inlineStr">
        <is>
          <t>Experimentos/runs/E9_v2_clean_20260401_070431/scripts/run_e9_stacking.py</t>
        </is>
      </c>
      <c r="AI270" s="49" t="inlineStr">
        <is>
          <t>Experimentos/runs/E9_v2_clean_20260401_070431/parametros_run.json</t>
        </is>
      </c>
      <c r="AJ270" s="49" t="inlineStr">
        <is>
          <t>Experimentos/runs/E9_v2_clean_20260401_070431/metricas_horizonte.json</t>
        </is>
      </c>
      <c r="AK270" s="49" t="inlineStr">
        <is>
          <t>2026-04-01 07:04:31</t>
        </is>
      </c>
      <c r="AL270" s="49" t="inlineStr">
        <is>
          <t>regresion</t>
        </is>
      </c>
      <c r="AM270" s="49" t="n"/>
      <c r="AN270" s="49" t="n"/>
      <c r="AO270" s="49" t="n"/>
      <c r="AP270" s="49" t="n"/>
      <c r="AQ270" s="49" t="n"/>
      <c r="AR270" s="49" t="n"/>
      <c r="AS270" s="49" t="n"/>
      <c r="AT270" s="49" t="n"/>
      <c r="AU270" s="49" t="n"/>
      <c r="AV270" s="49" t="n"/>
      <c r="AW270" s="49" t="n"/>
      <c r="AX270" s="49" t="n"/>
      <c r="AY270" s="49" t="n">
        <v>0.03890616929555788</v>
      </c>
    </row>
    <row r="271" ht="15" customHeight="1" s="27">
      <c r="A271" s="49" t="inlineStr">
        <is>
          <t>2026-04-01 09:04:39</t>
        </is>
      </c>
      <c r="B271" s="49" t="inlineStr">
        <is>
          <t>E10_v1_clean</t>
        </is>
      </c>
      <c r="C271" s="50" t="inlineStr">
        <is>
          <t>E10</t>
        </is>
      </c>
      <c r="D271" s="50" t="inlineStr">
        <is>
          <t>gating_contextual</t>
        </is>
      </c>
      <c r="E271" s="50" t="inlineStr">
        <is>
          <t>meta_selector_hard_logistic_regression</t>
        </is>
      </c>
      <c r="F271" s="50" t="n">
        <v>1</v>
      </c>
      <c r="G271" s="49" t="inlineStr">
        <is>
          <t>nivel</t>
        </is>
      </c>
      <c r="H271" s="50" t="inlineStr">
        <is>
          <t>predicciones_base_contexto_disagreement_e10</t>
        </is>
      </c>
      <c r="I271" s="50" t="inlineStr">
        <is>
          <t>E1_v5_clean, E2_v3_clean, E3_v2_clean, E5_v4_clean, E7_v3_clean, E9_v2_clean</t>
        </is>
      </c>
      <c r="J271" s="50" t="inlineStr">
        <is>
          <t>imputer_median_plus_scaler_in_pipeline</t>
        </is>
      </c>
      <c r="K271" s="50" t="inlineStr">
        <is>
          <t>solo_feature_candidate_desde_inventario_e10</t>
        </is>
      </c>
      <c r="L271" s="50" t="inlineStr">
        <is>
          <t>walk-forward_expanding_meta_selector_duro</t>
        </is>
      </c>
      <c r="M271" s="49" t="inlineStr">
        <is>
          <t>2025-11-10 a 2026-02-23</t>
        </is>
      </c>
      <c r="N271" s="49" t="inlineStr">
        <is>
          <t>{"class_weight": "balanced", "feature_candidates_total": 82, "feature_columns_used_union": ["caida_pred_E1_v5_clean", "caida_pred_E2_v3_clean", "caida_pred_E3_v2_clean", "caida_pred_E5_v4_clean", "caida_pred_E7_v3_clean", "caida_pred_E9_v2_clean", "cobertura_modelos_fila", "consenso_direccion", "ctx_abs_delta_1w", "ctx_delta_1w", "ctx_delta_2w", "ctx_mean_delta_4w", "ctx_negative_delta_ratio_4w", "ctx_positive_delta_ratio_4w", "ctx_recent_fall_flag", "ctx_rolling_mean_4w", "ctx_rolling_std_4w", "ctx_sentimiento_medios", "ctx_trend_vs_ma4", "ctx_v5_dispersion_neta", "ctx_v5_promedio_neto", "ctx_y_lag1", "ctx_y_lag2", "ctx_y_lag4", "desacuerdo_direccion", "desviacion_predicciones", "direccion_pred_E1_v5_clean", "direccion_pred_E2_v3_clean", "direccion_pred_E3_v2_clean", "direccion_pred_E5_v4_clean", "direccion_pred_E7_v3_clean", "direccion_pred_E9_v2_clean", "dispersion_direccion", "fila_completa_modelos_incluidos", "hist_abs_error_mean4_E1_v5_clean", "hist_abs_error_mean4_E2_v3_clean", "hist_abs_error_mean4_E3_v2_clean", "hist_abs_error_mean4_E5_v4_clean", "hist_abs_error_mean4_E7_v3_clean", "hist_abs_error_mean4_E9_v2_clean", "hist_caida_hit_mean4_E1_v5_clean", "hist_caida_hit_mean4_E2_v3_clean", "hist_caida_hit_mean4_E3_v2_clean", "hist_caida_hit_mean4_E5_v4_clean", "hist_caida_hit_mean4_E7_v3_clean", "hist_dir_acc_mean4_E1_v5_clean", "hist_dir_acc_mean4_E2_v3_clean", "hist_dir_acc_mean4_E3_v2_clean", "hist_dir_acc_mean4_E5_v4_clean", "hist_dir_acc_mean4_E7_v3_clean", "hist_dir_acc_mean4_E9_v2_clean", "hist_loss_local_mean4_E1_v5_clean", "hist_loss_local_mean4_E2_v3_clean", "hist_loss_local_mean4_E3_v2_clean", "hist_loss_local_mean4_E5_v4_clean", "hist_loss_local_mean4_E7_v3_clean", "hist_loss_local_mean4_E9_v2_clean", "max_diff_predicciones", "max_predicciones", "mediana_predicciones", "min_predicciones", "n_direcciones_distintas", "n_modelos_disponibles", "numero_modelos_predicen_caida", "pred_E1_v5_clean", "pred_E2_v3_clean", "pred_E3_v2_clean", "pred_E5_v4_clean", "pred_E7_v3_clean", "pred_E9_v2_clean", "pred_disponible_E1_v5_clean", "pred_disponible_E3_v2_clean", "pred_disponible_E5_v4_clean", "pred_disponible_E7_v3_clean", "pred_disponible_E9_v2_clean", "promedio_predicciones", "rango_predicciones", "share_modelos_predicen_caida", "y_current"], "initial_train_size": 12, "max_iter": 5000, "meta_model": "logistic_regression", "rows_eval": 16, "rows_total_horizonte": 28, "selector_c": 0.1, "solver": "lbfgs", "target_column": "mejor_modelo_loss_radar_local", "target_vs_operativo_same_share_horizon": 1.0, "use_only_complete_rows": false}</t>
        </is>
      </c>
      <c r="O271" s="51" t="n">
        <v>0.35</v>
      </c>
      <c r="P271" s="51" t="n">
        <v>0.25</v>
      </c>
      <c r="Q271" s="51" t="n">
        <v>0.25</v>
      </c>
      <c r="R271" s="51" t="n">
        <v>0.1</v>
      </c>
      <c r="S271" s="52" t="n">
        <v>0.3</v>
      </c>
      <c r="T271" s="53" t="n">
        <v>0.2053135548090132</v>
      </c>
      <c r="U271" s="53" t="n">
        <v>0.4375</v>
      </c>
      <c r="V271" s="53" t="n">
        <v>0.375</v>
      </c>
      <c r="W271" s="53" t="n">
        <v>0.5625</v>
      </c>
      <c r="X271" s="54" t="n">
        <v>0.09937042325494638</v>
      </c>
      <c r="Y271" s="53" t="n">
        <v>0.1238982308155261</v>
      </c>
      <c r="Z271" s="53" t="n">
        <v>0.1591587151970103</v>
      </c>
      <c r="AA271" s="55" t="n">
        <v>0.5625</v>
      </c>
      <c r="AB271" s="55" t="n">
        <v>0.625</v>
      </c>
      <c r="AC271" s="49" t="inlineStr">
        <is>
          <t>corrido</t>
        </is>
      </c>
      <c r="AD271" s="49" t="inlineStr">
        <is>
          <t>meta_selector_duro_logistico_loss_local</t>
        </is>
      </c>
      <c r="AE271" s="49" t="inlineStr">
        <is>
          <t>run_e10_meta_selector.py</t>
        </is>
      </c>
      <c r="AF271" s="49" t="inlineStr">
        <is>
          <t>Scripts/Modeling/run_e10_meta_selector.py</t>
        </is>
      </c>
      <c r="AG271" s="49" t="inlineStr">
        <is>
          <t>Experimentos/runs/E10_v1_clean_20260401_090439</t>
        </is>
      </c>
      <c r="AH271" s="49" t="inlineStr">
        <is>
          <t>Experimentos/runs/E10_v1_clean_20260401_090439/scripts/run_e10_meta_selector.py</t>
        </is>
      </c>
      <c r="AI271" s="49" t="inlineStr">
        <is>
          <t>Experimentos/runs/E10_v1_clean_20260401_090439/parametros_run.json</t>
        </is>
      </c>
      <c r="AJ271" s="49" t="inlineStr">
        <is>
          <t>Experimentos/runs/E10_v1_clean_20260401_090439/metricas_horizonte.json</t>
        </is>
      </c>
      <c r="AK271" s="49" t="inlineStr">
        <is>
          <t>2026-04-01 09:04:39</t>
        </is>
      </c>
      <c r="AL271" s="49" t="inlineStr">
        <is>
          <t>regresion</t>
        </is>
      </c>
      <c r="AM271" s="49" t="n"/>
      <c r="AN271" s="49" t="n"/>
      <c r="AO271" s="49" t="n"/>
      <c r="AP271" s="49" t="n"/>
      <c r="AQ271" s="49" t="n"/>
      <c r="AR271" s="49" t="n"/>
      <c r="AS271" s="49" t="n"/>
      <c r="AT271" s="49" t="n"/>
      <c r="AU271" s="49" t="n"/>
      <c r="AV271" s="49" t="n"/>
      <c r="AW271" s="49" t="n"/>
      <c r="AX271" s="49" t="n"/>
      <c r="AY271" s="49" t="n">
        <v>0.09937042325494638</v>
      </c>
    </row>
    <row r="272" ht="15" customHeight="1" s="27">
      <c r="A272" s="49" t="inlineStr">
        <is>
          <t>2026-04-01 09:04:39</t>
        </is>
      </c>
      <c r="B272" s="49" t="inlineStr">
        <is>
          <t>E10_v1_clean</t>
        </is>
      </c>
      <c r="C272" s="50" t="inlineStr">
        <is>
          <t>E10</t>
        </is>
      </c>
      <c r="D272" s="50" t="inlineStr">
        <is>
          <t>gating_contextual</t>
        </is>
      </c>
      <c r="E272" s="50" t="inlineStr">
        <is>
          <t>meta_selector_hard_logistic_regression</t>
        </is>
      </c>
      <c r="F272" s="50" t="n">
        <v>2</v>
      </c>
      <c r="G272" s="49" t="inlineStr">
        <is>
          <t>nivel</t>
        </is>
      </c>
      <c r="H272" s="50" t="inlineStr">
        <is>
          <t>predicciones_base_contexto_disagreement_e10</t>
        </is>
      </c>
      <c r="I272" s="50" t="inlineStr">
        <is>
          <t>E1_v5_clean, E2_v3_clean, E3_v2_clean, E5_v4_clean, E7_v3_clean, E9_v2_clean</t>
        </is>
      </c>
      <c r="J272" s="50" t="inlineStr">
        <is>
          <t>imputer_median_plus_scaler_in_pipeline</t>
        </is>
      </c>
      <c r="K272" s="50" t="inlineStr">
        <is>
          <t>solo_feature_candidate_desde_inventario_e10</t>
        </is>
      </c>
      <c r="L272" s="50" t="inlineStr">
        <is>
          <t>walk-forward_expanding_meta_selector_duro</t>
        </is>
      </c>
      <c r="M272" s="49" t="inlineStr">
        <is>
          <t>2025-11-10 a 2026-02-16</t>
        </is>
      </c>
      <c r="N272" s="49" t="inlineStr">
        <is>
          <t>{"class_weight": "balanced", "feature_candidates_total": 82, "feature_columns_used_union": ["caida_pred_E1_v5_clean", "caida_pred_E2_v3_clean", "caida_pred_E3_v2_clean", "caida_pred_E5_v4_clean", "caida_pred_E7_v3_clean", "caida_pred_E9_v2_clean", "cobertura_modelos_fila", "consenso_direccion", "ctx_abs_delta_1w", "ctx_delta_1w", "ctx_delta_2w", "ctx_mean_delta_4w", "ctx_negative_delta_ratio_4w", "ctx_positive_delta_ratio_4w", "ctx_recent_fall_flag", "ctx_rolling_mean_4w", "ctx_rolling_std_4w", "ctx_sentimiento_medios", "ctx_trend_vs_ma4", "ctx_v5_dispersion_neta", "ctx_v5_promedio_neto", "ctx_y_lag1", "ctx_y_lag2", "ctx_y_lag4", "desacuerdo_direccion", "desviacion_predicciones", "direccion_pred_E1_v5_clean", "direccion_pred_E2_v3_clean", "direccion_pred_E3_v2_clean", "direccion_pred_E5_v4_clean", "direccion_pred_E7_v3_clean", "direccion_pred_E9_v2_clean", "dispersion_direccion", "fila_completa_modelos_incluidos", "hist_abs_error_mean4_E1_v5_clean", "hist_abs_error_mean4_E2_v3_clean", "hist_abs_error_mean4_E3_v2_clean", "hist_abs_error_mean4_E5_v4_clean", "hist_abs_error_mean4_E7_v3_clean", "hist_abs_error_mean4_E9_v2_clean", "hist_caida_hit_mean4_E1_v5_clean", "hist_caida_hit_mean4_E2_v3_clean", "hist_caida_hit_mean4_E3_v2_clean", "hist_caida_hit_mean4_E5_v4_clean", "hist_caida_hit_mean4_E7_v3_clean", "hist_caida_hit_mean4_E9_v2_clean", "hist_dir_acc_mean4_E1_v5_clean", "hist_dir_acc_mean4_E2_v3_clean", "hist_dir_acc_mean4_E3_v2_clean", "hist_dir_acc_mean4_E5_v4_clean", "hist_dir_acc_mean4_E7_v3_clean", "hist_dir_acc_mean4_E9_v2_clean", "hist_loss_local_mean4_E1_v5_clean", "hist_loss_local_mean4_E2_v3_clean", "hist_loss_local_mean4_E3_v2_clean", "hist_loss_local_mean4_E5_v4_clean", "hist_loss_local_mean4_E7_v3_clean", "hist_loss_local_mean4_E9_v2_clean", "max_diff_predicciones", "max_predicciones", "mediana_predicciones", "min_predicciones", "n_direcciones_distintas", "n_modelos_disponibles", "numero_modelos_predicen_caida", "pred_E1_v5_clean", "pred_E2_v3_clean", "pred_E3_v2_clean", "pred_E5_v4_clean", "pred_E7_v3_clean", "pred_E9_v2_clean", "pred_disponible_E1_v5_clean", "pred_disponible_E3_v2_clean", "pred_disponible_E5_v4_clean", "pred_disponible_E7_v3_clean", "pred_disponible_E9_v2_clean", "promedio_predicciones", "rango_predicciones", "share_modelos_predicen_caida", "y_current"], "initial_train_size": 12, "max_iter": 5000, "meta_model": "logistic_regression", "rows_eval": 15, "rows_total_horizonte": 27, "selector_c": 0.1, "solver": "lbfgs", "target_column": "mejor_modelo_loss_radar_local", "target_vs_operativo_same_share_horizon": 1.0, "use_only_complete_rows": false}</t>
        </is>
      </c>
      <c r="O272" s="51" t="n">
        <v>0.35</v>
      </c>
      <c r="P272" s="51" t="n">
        <v>0.25</v>
      </c>
      <c r="Q272" s="51" t="n">
        <v>0.25</v>
      </c>
      <c r="R272" s="51" t="n">
        <v>0.1</v>
      </c>
      <c r="S272" s="52" t="n">
        <v>0.25</v>
      </c>
      <c r="T272" s="53" t="n">
        <v>0.201999729692944</v>
      </c>
      <c r="U272" s="53" t="n">
        <v>0.4</v>
      </c>
      <c r="V272" s="53" t="n">
        <v>0.1666666666666666</v>
      </c>
      <c r="W272" s="53" t="n">
        <v>0.8666666666666667</v>
      </c>
      <c r="X272" s="54" t="n">
        <v>0.07475830968146593</v>
      </c>
      <c r="Y272" s="53" t="n">
        <v>0.121898474542761</v>
      </c>
      <c r="Z272" s="53" t="n">
        <v>0.1467484018179299</v>
      </c>
      <c r="AA272" s="55" t="n">
        <v>0.6</v>
      </c>
      <c r="AB272" s="55" t="n">
        <v>0.8333333333333334</v>
      </c>
      <c r="AC272" s="49" t="inlineStr">
        <is>
          <t>corrido</t>
        </is>
      </c>
      <c r="AD272" s="49" t="inlineStr">
        <is>
          <t>meta_selector_duro_logistico_loss_local</t>
        </is>
      </c>
      <c r="AE272" s="49" t="inlineStr">
        <is>
          <t>run_e10_meta_selector.py</t>
        </is>
      </c>
      <c r="AF272" s="49" t="inlineStr">
        <is>
          <t>Scripts/Modeling/run_e10_meta_selector.py</t>
        </is>
      </c>
      <c r="AG272" s="49" t="inlineStr">
        <is>
          <t>Experimentos/runs/E10_v1_clean_20260401_090439</t>
        </is>
      </c>
      <c r="AH272" s="49" t="inlineStr">
        <is>
          <t>Experimentos/runs/E10_v1_clean_20260401_090439/scripts/run_e10_meta_selector.py</t>
        </is>
      </c>
      <c r="AI272" s="49" t="inlineStr">
        <is>
          <t>Experimentos/runs/E10_v1_clean_20260401_090439/parametros_run.json</t>
        </is>
      </c>
      <c r="AJ272" s="49" t="inlineStr">
        <is>
          <t>Experimentos/runs/E10_v1_clean_20260401_090439/metricas_horizonte.json</t>
        </is>
      </c>
      <c r="AK272" s="49" t="inlineStr">
        <is>
          <t>2026-04-01 09:04:39</t>
        </is>
      </c>
      <c r="AL272" s="49" t="inlineStr">
        <is>
          <t>regresion</t>
        </is>
      </c>
      <c r="AM272" s="49" t="n"/>
      <c r="AN272" s="49" t="n"/>
      <c r="AO272" s="49" t="n"/>
      <c r="AP272" s="49" t="n"/>
      <c r="AQ272" s="49" t="n"/>
      <c r="AR272" s="49" t="n"/>
      <c r="AS272" s="49" t="n"/>
      <c r="AT272" s="49" t="n"/>
      <c r="AU272" s="49" t="n"/>
      <c r="AV272" s="49" t="n"/>
      <c r="AW272" s="49" t="n"/>
      <c r="AX272" s="49" t="n"/>
      <c r="AY272" s="49" t="n">
        <v>0.07475830968146593</v>
      </c>
    </row>
    <row r="273" ht="15" customHeight="1" s="27">
      <c r="A273" s="49" t="inlineStr">
        <is>
          <t>2026-04-01 09:04:39</t>
        </is>
      </c>
      <c r="B273" s="49" t="inlineStr">
        <is>
          <t>E10_v1_clean</t>
        </is>
      </c>
      <c r="C273" s="50" t="inlineStr">
        <is>
          <t>E10</t>
        </is>
      </c>
      <c r="D273" s="50" t="inlineStr">
        <is>
          <t>gating_contextual</t>
        </is>
      </c>
      <c r="E273" s="50" t="inlineStr">
        <is>
          <t>meta_selector_hard_logistic_regression</t>
        </is>
      </c>
      <c r="F273" s="50" t="n">
        <v>3</v>
      </c>
      <c r="G273" s="49" t="inlineStr">
        <is>
          <t>nivel</t>
        </is>
      </c>
      <c r="H273" s="50" t="inlineStr">
        <is>
          <t>predicciones_base_contexto_disagreement_e10</t>
        </is>
      </c>
      <c r="I273" s="50" t="inlineStr">
        <is>
          <t>E1_v5_clean, E2_v3_clean, E3_v2_clean, E5_v4_clean, E7_v3_clean, E9_v2_clean</t>
        </is>
      </c>
      <c r="J273" s="50" t="inlineStr">
        <is>
          <t>imputer_median_plus_scaler_in_pipeline</t>
        </is>
      </c>
      <c r="K273" s="50" t="inlineStr">
        <is>
          <t>solo_feature_candidate_desde_inventario_e10</t>
        </is>
      </c>
      <c r="L273" s="50" t="inlineStr">
        <is>
          <t>walk-forward_expanding_meta_selector_duro</t>
        </is>
      </c>
      <c r="M273" s="49" t="inlineStr">
        <is>
          <t>2025-11-10 a 2026-02-09</t>
        </is>
      </c>
      <c r="N273" s="49" t="inlineStr">
        <is>
          <t>{"class_weight": "balanced", "feature_candidates_total": 82, "feature_columns_used_union": ["caida_pred_E1_v5_clean", "caida_pred_E2_v3_clean", "caida_pred_E3_v2_clean", "caida_pred_E5_v4_clean", "caida_pred_E7_v3_clean", "caida_pred_E9_v2_clean", "cobertura_modelos_fila", "consenso_direccion", "ctx_abs_delta_1w", "ctx_delta_1w", "ctx_delta_2w", "ctx_mean_delta_4w", "ctx_negative_delta_ratio_4w", "ctx_positive_delta_ratio_4w", "ctx_recent_fall_flag", "ctx_rolling_mean_4w", "ctx_rolling_std_4w", "ctx_sentimiento_medios", "ctx_trend_vs_ma4", "ctx_v5_dispersion_neta", "ctx_v5_promedio_neto", "ctx_y_lag1", "ctx_y_lag2", "ctx_y_lag4", "desacuerdo_direccion", "desviacion_predicciones", "direccion_pred_E1_v5_clean", "direccion_pred_E2_v3_clean", "direccion_pred_E3_v2_clean", "direccion_pred_E5_v4_clean", "direccion_pred_E7_v3_clean", "direccion_pred_E9_v2_clean", "dispersion_direccion", "fila_completa_modelos_incluidos", "hist_abs_error_mean4_E1_v5_clean", "hist_abs_error_mean4_E2_v3_clean", "hist_abs_error_mean4_E3_v2_clean", "hist_abs_error_mean4_E5_v4_clean", "hist_abs_error_mean4_E7_v3_clean", "hist_abs_error_mean4_E9_v2_clean", "hist_caida_hit_mean4_E1_v5_clean", "hist_caida_hit_mean4_E2_v3_clean", "hist_caida_hit_mean4_E3_v2_clean", "hist_caida_hit_mean4_E5_v4_clean", "hist_caida_hit_mean4_E7_v3_clean", "hist_dir_acc_mean4_E1_v5_clean", "hist_dir_acc_mean4_E2_v3_clean", "hist_dir_acc_mean4_E3_v2_clean", "hist_dir_acc_mean4_E5_v4_clean", "hist_dir_acc_mean4_E7_v3_clean", "hist_dir_acc_mean4_E9_v2_clean", "hist_loss_local_mean4_E1_v5_clean", "hist_loss_local_mean4_E2_v3_clean", "hist_loss_local_mean4_E3_v2_clean", "hist_loss_local_mean4_E5_v4_clean", "hist_loss_local_mean4_E7_v3_clean", "hist_loss_local_mean4_E9_v2_clean", "max_diff_predicciones", "max_predicciones", "mediana_predicciones", "min_predicciones", "n_direcciones_distintas", "n_modelos_disponibles", "numero_modelos_predicen_caida", "pred_E1_v5_clean", "pred_E2_v3_clean", "pred_E3_v2_clean", "pred_E5_v4_clean", "pred_E7_v3_clean", "pred_E9_v2_clean", "pred_disponible_E1_v5_clean", "pred_disponible_E3_v2_clean", "pred_disponible_E5_v4_clean", "pred_disponible_E7_v3_clean", "pred_disponible_E9_v2_clean", "promedio_predicciones", "rango_predicciones", "share_modelos_predicen_caida", "y_current"], "initial_train_size": 12, "max_iter": 5000, "meta_model": "logistic_regression", "rows_eval": 14, "rows_total_horizonte": 26, "selector_c": 0.1, "solver": "lbfgs", "target_column": "mejor_modelo_loss_radar_local", "target_vs_operativo_same_share_horizon": 1.0, "use_only_complete_rows": false}</t>
        </is>
      </c>
      <c r="O273" s="51" t="n">
        <v>0.35</v>
      </c>
      <c r="P273" s="51" t="n">
        <v>0.25</v>
      </c>
      <c r="Q273" s="51" t="n">
        <v>0.25</v>
      </c>
      <c r="R273" s="51" t="n">
        <v>0.1</v>
      </c>
      <c r="S273" s="52" t="n">
        <v>0.3</v>
      </c>
      <c r="T273" s="53" t="n">
        <v>0.2342705703378846</v>
      </c>
      <c r="U273" s="53" t="n">
        <v>0.1428571428571429</v>
      </c>
      <c r="V273" s="53" t="n">
        <v>0</v>
      </c>
      <c r="W273" s="53" t="n">
        <v>0.7857142857142857</v>
      </c>
      <c r="X273" s="54" t="n">
        <v>0.05888412417119218</v>
      </c>
      <c r="Y273" s="53" t="n">
        <v>0.1413725909329683</v>
      </c>
      <c r="Z273" s="53" t="n">
        <v>0.1716232368460483</v>
      </c>
      <c r="AA273" s="55" t="n">
        <v>0.8571428571428571</v>
      </c>
      <c r="AB273" s="55" t="n">
        <v>1</v>
      </c>
      <c r="AC273" s="49" t="inlineStr">
        <is>
          <t>corrido</t>
        </is>
      </c>
      <c r="AD273" s="49" t="inlineStr">
        <is>
          <t>meta_selector_duro_logistico_loss_local</t>
        </is>
      </c>
      <c r="AE273" s="49" t="inlineStr">
        <is>
          <t>run_e10_meta_selector.py</t>
        </is>
      </c>
      <c r="AF273" s="49" t="inlineStr">
        <is>
          <t>Scripts/Modeling/run_e10_meta_selector.py</t>
        </is>
      </c>
      <c r="AG273" s="49" t="inlineStr">
        <is>
          <t>Experimentos/runs/E10_v1_clean_20260401_090439</t>
        </is>
      </c>
      <c r="AH273" s="49" t="inlineStr">
        <is>
          <t>Experimentos/runs/E10_v1_clean_20260401_090439/scripts/run_e10_meta_selector.py</t>
        </is>
      </c>
      <c r="AI273" s="49" t="inlineStr">
        <is>
          <t>Experimentos/runs/E10_v1_clean_20260401_090439/parametros_run.json</t>
        </is>
      </c>
      <c r="AJ273" s="49" t="inlineStr">
        <is>
          <t>Experimentos/runs/E10_v1_clean_20260401_090439/metricas_horizonte.json</t>
        </is>
      </c>
      <c r="AK273" s="49" t="inlineStr">
        <is>
          <t>2026-04-01 09:04:39</t>
        </is>
      </c>
      <c r="AL273" s="49" t="inlineStr">
        <is>
          <t>regresion</t>
        </is>
      </c>
      <c r="AM273" s="49" t="n"/>
      <c r="AN273" s="49" t="n"/>
      <c r="AO273" s="49" t="n"/>
      <c r="AP273" s="49" t="n"/>
      <c r="AQ273" s="49" t="n"/>
      <c r="AR273" s="49" t="n"/>
      <c r="AS273" s="49" t="n"/>
      <c r="AT273" s="49" t="n"/>
      <c r="AU273" s="49" t="n"/>
      <c r="AV273" s="49" t="n"/>
      <c r="AW273" s="49" t="n"/>
      <c r="AX273" s="49" t="n"/>
      <c r="AY273" s="49" t="n">
        <v>0.05888412417119218</v>
      </c>
    </row>
    <row r="274" ht="15" customHeight="1" s="27">
      <c r="A274" s="49" t="inlineStr">
        <is>
          <t>2026-04-01 09:04:39</t>
        </is>
      </c>
      <c r="B274" s="49" t="inlineStr">
        <is>
          <t>E10_v1_clean</t>
        </is>
      </c>
      <c r="C274" s="50" t="inlineStr">
        <is>
          <t>E10</t>
        </is>
      </c>
      <c r="D274" s="50" t="inlineStr">
        <is>
          <t>gating_contextual</t>
        </is>
      </c>
      <c r="E274" s="50" t="inlineStr">
        <is>
          <t>meta_selector_hard_logistic_regression</t>
        </is>
      </c>
      <c r="F274" s="50" t="n">
        <v>4</v>
      </c>
      <c r="G274" s="49" t="inlineStr">
        <is>
          <t>nivel</t>
        </is>
      </c>
      <c r="H274" s="50" t="inlineStr">
        <is>
          <t>predicciones_base_contexto_disagreement_e10</t>
        </is>
      </c>
      <c r="I274" s="50" t="inlineStr">
        <is>
          <t>E1_v5_clean, E2_v3_clean, E3_v2_clean, E5_v4_clean, E7_v3_clean, E9_v2_clean</t>
        </is>
      </c>
      <c r="J274" s="50" t="inlineStr">
        <is>
          <t>imputer_median_plus_scaler_in_pipeline</t>
        </is>
      </c>
      <c r="K274" s="50" t="inlineStr">
        <is>
          <t>solo_feature_candidate_desde_inventario_e10</t>
        </is>
      </c>
      <c r="L274" s="50" t="inlineStr">
        <is>
          <t>walk-forward_expanding_meta_selector_duro</t>
        </is>
      </c>
      <c r="M274" s="49" t="inlineStr">
        <is>
          <t>2025-11-10 a 2026-02-02</t>
        </is>
      </c>
      <c r="N274" s="49" t="inlineStr">
        <is>
          <t>{"class_weight": "balanced", "feature_candidates_total": 82, "feature_columns_used_union": ["caida_pred_E1_v5_clean", "caida_pred_E2_v3_clean", "caida_pred_E3_v2_clean", "caida_pred_E5_v4_clean", "caida_pred_E7_v3_clean", "caida_pred_E9_v2_clean", "cobertura_modelos_fila", "consenso_direccion", "ctx_abs_delta_1w", "ctx_delta_1w", "ctx_delta_2w", "ctx_mean_delta_4w", "ctx_negative_delta_ratio_4w", "ctx_positive_delta_ratio_4w", "ctx_recent_fall_flag", "ctx_rolling_mean_4w", "ctx_rolling_std_4w", "ctx_sentimiento_medios", "ctx_trend_vs_ma4", "ctx_v5_dispersion_neta", "ctx_v5_promedio_neto", "ctx_y_lag1", "ctx_y_lag2", "ctx_y_lag4", "desacuerdo_direccion", "desviacion_predicciones", "direccion_pred_E1_v5_clean", "direccion_pred_E2_v3_clean", "direccion_pred_E3_v2_clean", "direccion_pred_E5_v4_clean", "direccion_pred_E7_v3_clean", "direccion_pred_E9_v2_clean", "dispersion_direccion", "fila_completa_modelos_incluidos", "hist_abs_error_mean4_E1_v5_clean", "hist_abs_error_mean4_E2_v3_clean", "hist_abs_error_mean4_E3_v2_clean", "hist_abs_error_mean4_E5_v4_clean", "hist_abs_error_mean4_E7_v3_clean", "hist_abs_error_mean4_E9_v2_clean", "hist_caida_hit_mean4_E1_v5_clean", "hist_caida_hit_mean4_E2_v3_clean", "hist_caida_hit_mean4_E3_v2_clean", "hist_caida_hit_mean4_E5_v4_clean", "hist_caida_hit_mean4_E7_v3_clean", "hist_caida_hit_mean4_E9_v2_clean", "hist_dir_acc_mean4_E1_v5_clean", "hist_dir_acc_mean4_E2_v3_clean", "hist_dir_acc_mean4_E3_v2_clean", "hist_dir_acc_mean4_E5_v4_clean", "hist_dir_acc_mean4_E7_v3_clean", "hist_dir_acc_mean4_E9_v2_clean", "hist_loss_local_mean4_E1_v5_clean", "hist_loss_local_mean4_E2_v3_clean", "hist_loss_local_mean4_E3_v2_clean", "hist_loss_local_mean4_E5_v4_clean", "hist_loss_local_mean4_E7_v3_clean", "hist_loss_local_mean4_E9_v2_clean", "max_diff_predicciones", "max_predicciones", "mediana_predicciones", "min_predicciones", "n_direcciones_distintas", "n_modelos_disponibles", "numero_modelos_predicen_caida", "pred_E1_v5_clean", "pred_E2_v3_clean", "pred_E3_v2_clean", "pred_E5_v4_clean", "pred_E7_v3_clean", "pred_E9_v2_clean", "pred_disponible_E1_v5_clean", "pred_disponible_E3_v2_clean", "pred_disponible_E5_v4_clean", "pred_disponible_E7_v3_clean", "pred_disponible_E9_v2_clean", "promedio_predicciones", "rango_predicciones", "share_modelos_predicen_caida", "y_current"], "initial_train_size": 12, "max_iter": 5000, "meta_model": "logistic_regression", "rows_eval": 13, "rows_total_horizonte": 25, "selector_c": 0.1, "solver": "lbfgs", "target_column": "mejor_modelo_loss_radar_local", "target_vs_operativo_same_share_horizon": 1.0, "use_only_complete_rows": false}</t>
        </is>
      </c>
      <c r="O274" s="51" t="n">
        <v>0.35</v>
      </c>
      <c r="P274" s="51" t="n">
        <v>0.25</v>
      </c>
      <c r="Q274" s="51" t="n">
        <v>0.25</v>
      </c>
      <c r="R274" s="51" t="n">
        <v>0.1</v>
      </c>
      <c r="S274" s="52" t="n">
        <v>0.15</v>
      </c>
      <c r="T274" s="53" t="n">
        <v>0.2460746030720494</v>
      </c>
      <c r="U274" s="53" t="n">
        <v>0.2307692307692307</v>
      </c>
      <c r="V274" s="53" t="n">
        <v>0.1666666666666666</v>
      </c>
      <c r="W274" s="53" t="n">
        <v>0.6923076923076923</v>
      </c>
      <c r="X274" s="54" t="n">
        <v>0.03820737819974413</v>
      </c>
      <c r="Y274" s="53" t="n">
        <v>0.1484958360280718</v>
      </c>
      <c r="Z274" s="53" t="n">
        <v>0.2062273168222073</v>
      </c>
      <c r="AA274" s="55" t="n">
        <v>0.7692307692307693</v>
      </c>
      <c r="AB274" s="55" t="n">
        <v>0.8333333333333334</v>
      </c>
      <c r="AC274" s="49" t="inlineStr">
        <is>
          <t>corrido</t>
        </is>
      </c>
      <c r="AD274" s="49" t="inlineStr">
        <is>
          <t>meta_selector_duro_logistico_loss_local</t>
        </is>
      </c>
      <c r="AE274" s="49" t="inlineStr">
        <is>
          <t>run_e10_meta_selector.py</t>
        </is>
      </c>
      <c r="AF274" s="49" t="inlineStr">
        <is>
          <t>Scripts/Modeling/run_e10_meta_selector.py</t>
        </is>
      </c>
      <c r="AG274" s="49" t="inlineStr">
        <is>
          <t>Experimentos/runs/E10_v1_clean_20260401_090439</t>
        </is>
      </c>
      <c r="AH274" s="49" t="inlineStr">
        <is>
          <t>Experimentos/runs/E10_v1_clean_20260401_090439/scripts/run_e10_meta_selector.py</t>
        </is>
      </c>
      <c r="AI274" s="49" t="inlineStr">
        <is>
          <t>Experimentos/runs/E10_v1_clean_20260401_090439/parametros_run.json</t>
        </is>
      </c>
      <c r="AJ274" s="49" t="inlineStr">
        <is>
          <t>Experimentos/runs/E10_v1_clean_20260401_090439/metricas_horizonte.json</t>
        </is>
      </c>
      <c r="AK274" s="49" t="inlineStr">
        <is>
          <t>2026-04-01 09:04:39</t>
        </is>
      </c>
      <c r="AL274" s="49" t="inlineStr">
        <is>
          <t>regresion</t>
        </is>
      </c>
      <c r="AM274" s="49" t="n"/>
      <c r="AN274" s="49" t="n"/>
      <c r="AO274" s="49" t="n"/>
      <c r="AP274" s="49" t="n"/>
      <c r="AQ274" s="49" t="n"/>
      <c r="AR274" s="49" t="n"/>
      <c r="AS274" s="49" t="n"/>
      <c r="AT274" s="49" t="n"/>
      <c r="AU274" s="49" t="n"/>
      <c r="AV274" s="49" t="n"/>
      <c r="AW274" s="49" t="n"/>
      <c r="AX274" s="49" t="n"/>
      <c r="AY274" s="49" t="n">
        <v>0.03820737819974413</v>
      </c>
    </row>
    <row r="275" ht="15" customHeight="1" s="27">
      <c r="A275" s="49" t="inlineStr">
        <is>
          <t>2026-04-02 06:37:14</t>
        </is>
      </c>
      <c r="B275" s="49" t="inlineStr">
        <is>
          <t>E1_1_v1_bayesian_base</t>
        </is>
      </c>
      <c r="C275" s="50" t="inlineStr">
        <is>
          <t>E1</t>
        </is>
      </c>
      <c r="D275" s="50" t="inlineStr">
        <is>
          <t>lineal_regularizado</t>
        </is>
      </c>
      <c r="E275" s="50" t="inlineStr">
        <is>
          <t>bayesian_ridge</t>
        </is>
      </c>
      <c r="F275" s="50" t="n">
        <v>1</v>
      </c>
      <c r="G275" s="49" t="inlineStr">
        <is>
          <t>nivel</t>
        </is>
      </c>
      <c r="H275" s="50" t="inlineStr">
        <is>
          <t>y_t + lags [1, 2, 3, 4, 5, 6]</t>
        </is>
      </c>
      <c r="I275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275" s="50" t="inlineStr">
        <is>
          <t>standard_scaler</t>
        </is>
      </c>
      <c r="K275" s="50" t="inlineStr">
        <is>
          <t>corr</t>
        </is>
      </c>
      <c r="L275" s="50" t="inlineStr">
        <is>
          <t>walk-forward_expanding</t>
        </is>
      </c>
      <c r="M275" s="49" t="inlineStr">
        <is>
          <t>2024-10-14 a 2026-03-02</t>
        </is>
      </c>
      <c r="N275" s="49" t="inlineStr">
        <is>
          <t>{"feature_candidates": 83, "feature_mode": "corr", "horizon": 1, "initial_train_size": 40, "lags": [1, 2, 3, 4, 5, 6], "model": "bayesian_ridge", "model_params": {"alpha_1": 1e-06, "alpha_2": 1e-06, "alpha_init": null, "compute_score": false, "copy_X": true, "fit_intercept": true, "lambda_1": 1e-06, "lambda_2": 1e-06, "lambda_init": null, "max_iter": 300, "tol": 0.001, "transform_mode": "standard", "tuning_strategy": "sin_tuning_externo_micro_rama_controlada", "uses_scaling": true, "verbose": false}, "rows_eval": 26, "rows_modeling": 66, "selected_feature_count_avg": 30.0, "target_mode": "nivel", "transform_mode": "standard"}</t>
        </is>
      </c>
      <c r="O275" s="51" t="n">
        <v>0.35</v>
      </c>
      <c r="P275" s="51" t="n">
        <v>0.25</v>
      </c>
      <c r="Q275" s="51" t="n">
        <v>0.25</v>
      </c>
      <c r="R275" s="51" t="n">
        <v>0.1</v>
      </c>
      <c r="S275" s="52" t="n">
        <v>0.3</v>
      </c>
      <c r="T275" s="53" t="n">
        <v>0.1814286626714672</v>
      </c>
      <c r="U275" s="53" t="n">
        <v>0.2307692307692307</v>
      </c>
      <c r="V275" s="53" t="n">
        <v>0.3333333333333334</v>
      </c>
      <c r="W275" s="53" t="n">
        <v>0.8076923076923077</v>
      </c>
      <c r="X275" s="54" t="n">
        <v>0.08558847111896559</v>
      </c>
      <c r="Y275" s="53" t="n">
        <v>0.1116301655361182</v>
      </c>
      <c r="Z275" s="53" t="n">
        <v>0.1363887532163384</v>
      </c>
      <c r="AA275" s="55" t="n">
        <v>0.7692307692307693</v>
      </c>
      <c r="AB275" s="55" t="n">
        <v>0.6666666666666666</v>
      </c>
      <c r="AC275" s="49" t="inlineStr">
        <is>
          <t>corrido</t>
        </is>
      </c>
      <c r="AD275" s="49" t="inlineStr">
        <is>
          <t>Micro-rama tactica BayesianRidge sin tuning amplio | comparacion limpia contra Ridge cerrado</t>
        </is>
      </c>
      <c r="AE275" s="49" t="inlineStr">
        <is>
          <t>run_e1_bayesian_ridge.py</t>
        </is>
      </c>
      <c r="AF275" s="49" t="inlineStr">
        <is>
          <t>Scripts/Modeling/run_e1_bayesian_ridge.py</t>
        </is>
      </c>
      <c r="AG275" s="49" t="inlineStr">
        <is>
          <t>Experimentos/runs/E1_1_v1_bayesian_base_20260402_063714</t>
        </is>
      </c>
      <c r="AH275" s="49" t="inlineStr">
        <is>
          <t>Experimentos/runs/E1_1_v1_bayesian_base_20260402_063714/scripts/run_e1_bayesian_ridge.py</t>
        </is>
      </c>
      <c r="AI275" s="49" t="inlineStr">
        <is>
          <t>Experimentos/runs/E1_1_v1_bayesian_base_20260402_063714/parametros_run.json</t>
        </is>
      </c>
      <c r="AJ275" s="49" t="inlineStr">
        <is>
          <t>Experimentos/runs/E1_1_v1_bayesian_base_20260402_063714/metricas_horizonte.json</t>
        </is>
      </c>
      <c r="AK275" s="49" t="inlineStr">
        <is>
          <t>2026-04-02 06:37:14</t>
        </is>
      </c>
      <c r="AL275" s="49" t="inlineStr">
        <is>
          <t>regresion</t>
        </is>
      </c>
      <c r="AM275" s="49" t="n"/>
      <c r="AN275" s="49" t="n"/>
      <c r="AO275" s="49" t="n"/>
      <c r="AP275" s="49" t="n"/>
      <c r="AQ275" s="49" t="n"/>
      <c r="AR275" s="49" t="n"/>
      <c r="AS275" s="49" t="n"/>
      <c r="AT275" s="49" t="n"/>
      <c r="AU275" s="49" t="n"/>
      <c r="AV275" s="49" t="n"/>
      <c r="AW275" s="49" t="n"/>
      <c r="AX275" s="49" t="n"/>
      <c r="AY275" s="49" t="n">
        <v>0.08558847111896559</v>
      </c>
    </row>
    <row r="276" ht="15" customHeight="1" s="27">
      <c r="A276" s="49" t="inlineStr">
        <is>
          <t>2026-04-02 06:37:14</t>
        </is>
      </c>
      <c r="B276" s="49" t="inlineStr">
        <is>
          <t>E1_1_v1_bayesian_base</t>
        </is>
      </c>
      <c r="C276" s="50" t="inlineStr">
        <is>
          <t>E1</t>
        </is>
      </c>
      <c r="D276" s="50" t="inlineStr">
        <is>
          <t>lineal_regularizado</t>
        </is>
      </c>
      <c r="E276" s="50" t="inlineStr">
        <is>
          <t>bayesian_ridge</t>
        </is>
      </c>
      <c r="F276" s="50" t="n">
        <v>2</v>
      </c>
      <c r="G276" s="49" t="inlineStr">
        <is>
          <t>nivel</t>
        </is>
      </c>
      <c r="H276" s="50" t="inlineStr">
        <is>
          <t>y_t + lags [1, 2, 3, 4, 5, 6]</t>
        </is>
      </c>
      <c r="I276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276" s="50" t="inlineStr">
        <is>
          <t>standard_scaler</t>
        </is>
      </c>
      <c r="K276" s="50" t="inlineStr">
        <is>
          <t>corr</t>
        </is>
      </c>
      <c r="L276" s="50" t="inlineStr">
        <is>
          <t>walk-forward_expanding</t>
        </is>
      </c>
      <c r="M276" s="49" t="inlineStr">
        <is>
          <t>2024-10-14 a 2026-03-02</t>
        </is>
      </c>
      <c r="N276" s="49" t="inlineStr">
        <is>
          <t>{"feature_candidates": 83, "feature_mode": "corr", "horizon": 2, "initial_train_size": 40, "lags": [1, 2, 3, 4, 5, 6], "model": "bayesian_ridge", "model_params": {"alpha_1": 1e-06, "alpha_2": 1e-06, "alpha_init": null, "compute_score": false, "copy_X": true, "fit_intercept": true, "lambda_1": 1e-06, "lambda_2": 1e-06, "lambda_init": null, "max_iter": 300, "tol": 0.001, "transform_mode": "standard", "tuning_strategy": "sin_tuning_externo_micro_rama_controlada", "uses_scaling": true, "verbose": false}, "rows_eval": 25, "rows_modeling": 65, "selected_feature_count_avg": 30.0, "target_mode": "nivel", "transform_mode": "standard"}</t>
        </is>
      </c>
      <c r="O276" s="51" t="n">
        <v>0.35</v>
      </c>
      <c r="P276" s="51" t="n">
        <v>0.25</v>
      </c>
      <c r="Q276" s="51" t="n">
        <v>0.25</v>
      </c>
      <c r="R276" s="51" t="n">
        <v>0.1</v>
      </c>
      <c r="S276" s="52" t="n">
        <v>0.25</v>
      </c>
      <c r="T276" s="53" t="n">
        <v>0.179930718069597</v>
      </c>
      <c r="U276" s="53" t="n">
        <v>0.4</v>
      </c>
      <c r="V276" s="53" t="n">
        <v>0.3</v>
      </c>
      <c r="W276" s="53" t="n">
        <v>0.68</v>
      </c>
      <c r="X276" s="54" t="n">
        <v>0.07649393783108974</v>
      </c>
      <c r="Y276" s="53" t="n">
        <v>0.1107085040885358</v>
      </c>
      <c r="Z276" s="53" t="n">
        <v>0.1405113085623909</v>
      </c>
      <c r="AA276" s="55" t="n">
        <v>0.6</v>
      </c>
      <c r="AB276" s="55" t="n">
        <v>0.7</v>
      </c>
      <c r="AC276" s="49" t="inlineStr">
        <is>
          <t>corrido</t>
        </is>
      </c>
      <c r="AD276" s="49" t="inlineStr">
        <is>
          <t>Micro-rama tactica BayesianRidge sin tuning amplio | comparacion limpia contra Ridge cerrado</t>
        </is>
      </c>
      <c r="AE276" s="49" t="inlineStr">
        <is>
          <t>run_e1_bayesian_ridge.py</t>
        </is>
      </c>
      <c r="AF276" s="49" t="inlineStr">
        <is>
          <t>Scripts/Modeling/run_e1_bayesian_ridge.py</t>
        </is>
      </c>
      <c r="AG276" s="49" t="inlineStr">
        <is>
          <t>Experimentos/runs/E1_1_v1_bayesian_base_20260402_063714</t>
        </is>
      </c>
      <c r="AH276" s="49" t="inlineStr">
        <is>
          <t>Experimentos/runs/E1_1_v1_bayesian_base_20260402_063714/scripts/run_e1_bayesian_ridge.py</t>
        </is>
      </c>
      <c r="AI276" s="49" t="inlineStr">
        <is>
          <t>Experimentos/runs/E1_1_v1_bayesian_base_20260402_063714/parametros_run.json</t>
        </is>
      </c>
      <c r="AJ276" s="49" t="inlineStr">
        <is>
          <t>Experimentos/runs/E1_1_v1_bayesian_base_20260402_063714/metricas_horizonte.json</t>
        </is>
      </c>
      <c r="AK276" s="49" t="inlineStr">
        <is>
          <t>2026-04-02 06:37:14</t>
        </is>
      </c>
      <c r="AL276" s="49" t="inlineStr">
        <is>
          <t>regresion</t>
        </is>
      </c>
      <c r="AM276" s="49" t="n"/>
      <c r="AN276" s="49" t="n"/>
      <c r="AO276" s="49" t="n"/>
      <c r="AP276" s="49" t="n"/>
      <c r="AQ276" s="49" t="n"/>
      <c r="AR276" s="49" t="n"/>
      <c r="AS276" s="49" t="n"/>
      <c r="AT276" s="49" t="n"/>
      <c r="AU276" s="49" t="n"/>
      <c r="AV276" s="49" t="n"/>
      <c r="AW276" s="49" t="n"/>
      <c r="AX276" s="49" t="n"/>
      <c r="AY276" s="49" t="n">
        <v>0.07649393783108974</v>
      </c>
    </row>
    <row r="277" ht="15" customHeight="1" s="27">
      <c r="A277" s="49" t="inlineStr">
        <is>
          <t>2026-04-02 06:37:14</t>
        </is>
      </c>
      <c r="B277" s="49" t="inlineStr">
        <is>
          <t>E1_1_v1_bayesian_base</t>
        </is>
      </c>
      <c r="C277" s="50" t="inlineStr">
        <is>
          <t>E1</t>
        </is>
      </c>
      <c r="D277" s="50" t="inlineStr">
        <is>
          <t>lineal_regularizado</t>
        </is>
      </c>
      <c r="E277" s="50" t="inlineStr">
        <is>
          <t>bayesian_ridge</t>
        </is>
      </c>
      <c r="F277" s="50" t="n">
        <v>3</v>
      </c>
      <c r="G277" s="49" t="inlineStr">
        <is>
          <t>nivel</t>
        </is>
      </c>
      <c r="H277" s="50" t="inlineStr">
        <is>
          <t>y_t + lags [1, 2, 3, 4, 5, 6]</t>
        </is>
      </c>
      <c r="I277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277" s="50" t="inlineStr">
        <is>
          <t>standard_scaler</t>
        </is>
      </c>
      <c r="K277" s="50" t="inlineStr">
        <is>
          <t>corr</t>
        </is>
      </c>
      <c r="L277" s="50" t="inlineStr">
        <is>
          <t>walk-forward_expanding</t>
        </is>
      </c>
      <c r="M277" s="49" t="inlineStr">
        <is>
          <t>2024-10-14 a 2026-03-02</t>
        </is>
      </c>
      <c r="N277" s="49" t="inlineStr">
        <is>
          <t>{"feature_candidates": 83, "feature_mode": "corr", "horizon": 3, "initial_train_size": 40, "lags": [1, 2, 3, 4, 5, 6], "model": "bayesian_ridge", "model_params": {"alpha_1": 1e-06, "alpha_2": 1e-06, "alpha_init": null, "compute_score": false, "copy_X": true, "fit_intercept": true, "lambda_1": 1e-06, "lambda_2": 1e-06, "lambda_init": null, "max_iter": 300, "tol": 0.001, "transform_mode": "standard", "tuning_strategy": "sin_tuning_externo_micro_rama_controlada", "uses_scaling": true, "verbose": false}, "rows_eval": 24, "rows_modeling": 64, "selected_feature_count_avg": 30.0, "target_mode": "nivel", "transform_mode": "standard"}</t>
        </is>
      </c>
      <c r="O277" s="51" t="n">
        <v>0.35</v>
      </c>
      <c r="P277" s="51" t="n">
        <v>0.25</v>
      </c>
      <c r="Q277" s="51" t="n">
        <v>0.25</v>
      </c>
      <c r="R277" s="51" t="n">
        <v>0.1</v>
      </c>
      <c r="S277" s="52" t="n">
        <v>0.3</v>
      </c>
      <c r="T277" s="53" t="n">
        <v>0.1875937316593526</v>
      </c>
      <c r="U277" s="53" t="n">
        <v>0.125</v>
      </c>
      <c r="V277" s="53" t="n">
        <v>0.1818181818181818</v>
      </c>
      <c r="W277" s="53" t="n">
        <v>0.7083333333333334</v>
      </c>
      <c r="X277" s="54" t="n">
        <v>0.06395870546059566</v>
      </c>
      <c r="Y277" s="53" t="n">
        <v>0.1154234342596244</v>
      </c>
      <c r="Z277" s="53" t="n">
        <v>0.1507317243837629</v>
      </c>
      <c r="AA277" s="55" t="n">
        <v>0.875</v>
      </c>
      <c r="AB277" s="55" t="n">
        <v>0.8181818181818182</v>
      </c>
      <c r="AC277" s="49" t="inlineStr">
        <is>
          <t>corrido</t>
        </is>
      </c>
      <c r="AD277" s="49" t="inlineStr">
        <is>
          <t>Micro-rama tactica BayesianRidge sin tuning amplio | comparacion limpia contra Ridge cerrado</t>
        </is>
      </c>
      <c r="AE277" s="49" t="inlineStr">
        <is>
          <t>run_e1_bayesian_ridge.py</t>
        </is>
      </c>
      <c r="AF277" s="49" t="inlineStr">
        <is>
          <t>Scripts/Modeling/run_e1_bayesian_ridge.py</t>
        </is>
      </c>
      <c r="AG277" s="49" t="inlineStr">
        <is>
          <t>Experimentos/runs/E1_1_v1_bayesian_base_20260402_063714</t>
        </is>
      </c>
      <c r="AH277" s="49" t="inlineStr">
        <is>
          <t>Experimentos/runs/E1_1_v1_bayesian_base_20260402_063714/scripts/run_e1_bayesian_ridge.py</t>
        </is>
      </c>
      <c r="AI277" s="49" t="inlineStr">
        <is>
          <t>Experimentos/runs/E1_1_v1_bayesian_base_20260402_063714/parametros_run.json</t>
        </is>
      </c>
      <c r="AJ277" s="49" t="inlineStr">
        <is>
          <t>Experimentos/runs/E1_1_v1_bayesian_base_20260402_063714/metricas_horizonte.json</t>
        </is>
      </c>
      <c r="AK277" s="49" t="inlineStr">
        <is>
          <t>2026-04-02 06:37:14</t>
        </is>
      </c>
      <c r="AL277" s="49" t="inlineStr">
        <is>
          <t>regresion</t>
        </is>
      </c>
      <c r="AM277" s="49" t="n"/>
      <c r="AN277" s="49" t="n"/>
      <c r="AO277" s="49" t="n"/>
      <c r="AP277" s="49" t="n"/>
      <c r="AQ277" s="49" t="n"/>
      <c r="AR277" s="49" t="n"/>
      <c r="AS277" s="49" t="n"/>
      <c r="AT277" s="49" t="n"/>
      <c r="AU277" s="49" t="n"/>
      <c r="AV277" s="49" t="n"/>
      <c r="AW277" s="49" t="n"/>
      <c r="AX277" s="49" t="n"/>
      <c r="AY277" s="49" t="n">
        <v>0.06395870546059566</v>
      </c>
    </row>
    <row r="278" ht="15" customHeight="1" s="27">
      <c r="A278" s="49" t="inlineStr">
        <is>
          <t>2026-04-02 06:37:14</t>
        </is>
      </c>
      <c r="B278" s="49" t="inlineStr">
        <is>
          <t>E1_1_v1_bayesian_base</t>
        </is>
      </c>
      <c r="C278" s="50" t="inlineStr">
        <is>
          <t>E1</t>
        </is>
      </c>
      <c r="D278" s="50" t="inlineStr">
        <is>
          <t>lineal_regularizado</t>
        </is>
      </c>
      <c r="E278" s="50" t="inlineStr">
        <is>
          <t>bayesian_ridge</t>
        </is>
      </c>
      <c r="F278" s="50" t="n">
        <v>4</v>
      </c>
      <c r="G278" s="49" t="inlineStr">
        <is>
          <t>nivel</t>
        </is>
      </c>
      <c r="H278" s="50" t="inlineStr">
        <is>
          <t>y_t + lags [1, 2, 3, 4, 5, 6]</t>
        </is>
      </c>
      <c r="I278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278" s="50" t="inlineStr">
        <is>
          <t>standard_scaler</t>
        </is>
      </c>
      <c r="K278" s="50" t="inlineStr">
        <is>
          <t>corr</t>
        </is>
      </c>
      <c r="L278" s="50" t="inlineStr">
        <is>
          <t>walk-forward_expanding</t>
        </is>
      </c>
      <c r="M278" s="49" t="inlineStr">
        <is>
          <t>2024-10-14 a 2026-03-02</t>
        </is>
      </c>
      <c r="N278" s="49" t="inlineStr">
        <is>
          <t>{"feature_candidates": 83, "feature_mode": "corr", "horizon": 4, "initial_train_size": 40, "lags": [1, 2, 3, 4, 5, 6], "model": "bayesian_ridge", "model_params": {"alpha_1": 1e-06, "alpha_2": 1e-06, "alpha_init": null, "compute_score": false, "copy_X": true, "fit_intercept": true, "lambda_1": 1e-06, "lambda_2": 1e-06, "lambda_init": null, "max_iter": 300, "tol": 0.001, "transform_mode": "standard", "tuning_strategy": "sin_tuning_externo_micro_rama_controlada", "uses_scaling": true, "verbose": false}, "rows_eval": 23, "rows_modeling": 63, "selected_feature_count_avg": 30.0, "target_mode": "nivel", "transform_mode": "standard"}</t>
        </is>
      </c>
      <c r="O278" s="51" t="n">
        <v>0.35</v>
      </c>
      <c r="P278" s="51" t="n">
        <v>0.25</v>
      </c>
      <c r="Q278" s="51" t="n">
        <v>0.25</v>
      </c>
      <c r="R278" s="51" t="n">
        <v>0.1</v>
      </c>
      <c r="S278" s="52" t="n">
        <v>0.15</v>
      </c>
      <c r="T278" s="53" t="n">
        <v>0.1785796857259538</v>
      </c>
      <c r="U278" s="53" t="n">
        <v>0.3043478260869565</v>
      </c>
      <c r="V278" s="53" t="n">
        <v>0.2222222222222222</v>
      </c>
      <c r="W278" s="53" t="n">
        <v>0.6521739130434783</v>
      </c>
      <c r="X278" s="54" t="n">
        <v>0.03890441900785895</v>
      </c>
      <c r="Y278" s="53" t="n">
        <v>0.1098772354127663</v>
      </c>
      <c r="Z278" s="53" t="n">
        <v>0.1537100947745793</v>
      </c>
      <c r="AA278" s="55" t="n">
        <v>0.6956521739130435</v>
      </c>
      <c r="AB278" s="55" t="n">
        <v>0.7777777777777778</v>
      </c>
      <c r="AC278" s="49" t="inlineStr">
        <is>
          <t>corrido</t>
        </is>
      </c>
      <c r="AD278" s="49" t="inlineStr">
        <is>
          <t>Micro-rama tactica BayesianRidge sin tuning amplio | comparacion limpia contra Ridge cerrado</t>
        </is>
      </c>
      <c r="AE278" s="49" t="inlineStr">
        <is>
          <t>run_e1_bayesian_ridge.py</t>
        </is>
      </c>
      <c r="AF278" s="49" t="inlineStr">
        <is>
          <t>Scripts/Modeling/run_e1_bayesian_ridge.py</t>
        </is>
      </c>
      <c r="AG278" s="49" t="inlineStr">
        <is>
          <t>Experimentos/runs/E1_1_v1_bayesian_base_20260402_063714</t>
        </is>
      </c>
      <c r="AH278" s="49" t="inlineStr">
        <is>
          <t>Experimentos/runs/E1_1_v1_bayesian_base_20260402_063714/scripts/run_e1_bayesian_ridge.py</t>
        </is>
      </c>
      <c r="AI278" s="49" t="inlineStr">
        <is>
          <t>Experimentos/runs/E1_1_v1_bayesian_base_20260402_063714/parametros_run.json</t>
        </is>
      </c>
      <c r="AJ278" s="49" t="inlineStr">
        <is>
          <t>Experimentos/runs/E1_1_v1_bayesian_base_20260402_063714/metricas_horizonte.json</t>
        </is>
      </c>
      <c r="AK278" s="49" t="inlineStr">
        <is>
          <t>2026-04-02 06:37:14</t>
        </is>
      </c>
      <c r="AL278" s="49" t="inlineStr">
        <is>
          <t>regresion</t>
        </is>
      </c>
      <c r="AM278" s="49" t="n"/>
      <c r="AN278" s="49" t="n"/>
      <c r="AO278" s="49" t="n"/>
      <c r="AP278" s="49" t="n"/>
      <c r="AQ278" s="49" t="n"/>
      <c r="AR278" s="49" t="n"/>
      <c r="AS278" s="49" t="n"/>
      <c r="AT278" s="49" t="n"/>
      <c r="AU278" s="49" t="n"/>
      <c r="AV278" s="49" t="n"/>
      <c r="AW278" s="49" t="n"/>
      <c r="AX278" s="49" t="n"/>
      <c r="AY278" s="49" t="n">
        <v>0.03890441900785895</v>
      </c>
    </row>
    <row r="279" ht="15" customHeight="1" s="27">
      <c r="A279" s="49" t="inlineStr">
        <is>
          <t>2026-04-14 05:00:18</t>
        </is>
      </c>
      <c r="B279" s="49" t="inlineStr">
        <is>
          <t>OP_W14_CONTROLLED</t>
        </is>
      </c>
      <c r="C279" s="50" t="inlineStr">
        <is>
          <t>E1</t>
        </is>
      </c>
      <c r="D279" s="50" t="inlineStr">
        <is>
          <t>lineal_regularizado</t>
        </is>
      </c>
      <c r="E279" s="50" t="inlineStr">
        <is>
          <t>ridge_tscv</t>
        </is>
      </c>
      <c r="F279" s="50" t="n">
        <v>1</v>
      </c>
      <c r="G279" s="49" t="inlineStr">
        <is>
          <t>nivel</t>
        </is>
      </c>
      <c r="H279" s="50" t="inlineStr">
        <is>
          <t>y_t + lags [1, 2, 3, 4]</t>
        </is>
      </c>
      <c r="I279" s="50" t="inlineStr">
        <is>
          <t>sentimiento_medios, v5_agua_neto, v5_alumbrado_neto, v5_americo_neto, v5_basura_neto, v5_corrupcion_neto, v5_delitos_neto, v5_morena_neto, v5_obras_neto, v5_prevencion_neto, v5_vialidad_neto</t>
        </is>
      </c>
      <c r="J279" s="50" t="inlineStr">
        <is>
          <t>standard_scaler</t>
        </is>
      </c>
      <c r="K279" s="50" t="inlineStr">
        <is>
          <t>all</t>
        </is>
      </c>
      <c r="L279" s="50" t="inlineStr">
        <is>
          <t>walk-forward_expanding</t>
        </is>
      </c>
      <c r="M279" s="49" t="inlineStr">
        <is>
          <t>2024-10-14 a 2026-03-02</t>
        </is>
      </c>
      <c r="N279" s="49" t="inlineStr">
        <is>
          <t>{"feature_candidates": 59, "feature_mode": "all", "horizon": 1, "initial_train_size": 40, "lags": [1, 2, 3, 4], "model": "ridge_tscv", "model_params": {"alpha_grid": [9.999999999999999e-05, 0.0001603718743751331, 0.00025719138090593444, 0.0004124626382901352, 0.0006614740641230145, 0.001060818355139448, 0.0017012542798525892, 0.002728333376486769, 0.004375479375074184, 0.007017038286703822, 0.011253355826007646, 0.0180472176682717, 0.028942661247167517, 0.046415888336127774, 0.07443803013251689, 0.11937766417144358, 0.19144819761699575, 0.30702906297578497, 0.4923882631706737, 0.7896522868499725, 1.266380173467402, 2.030917620904735, 3.2570206556597827, 5.2233450742668435, 8.376776400682923, 13.433993325988988, 21.54434690031882, 34.55107294592218, 55.41020330009491, 88.86238162743408, 142.51026703029964, 228.54638641349882, 366.52412370796264, 587.8016072274911, 942.6684551178854, 1511.77507061566, 2424.4620170823255, 3888.155180308085, 6235.507341273912, 10000.0], "alpha_selection_metric": "mae", "inner_splits": 3, "transform_mode": "standard", "winsor_lower_quantile": 0.05, "winsor_upper_quantile": 0.95}, "rows_eval": 28, "rows_modeling": 68, "selected_feature_count_avg": 59.0, "target_mode": "nivel", "transform_mode": "standard"}</t>
        </is>
      </c>
      <c r="O279" s="51" t="n">
        <v>0.35</v>
      </c>
      <c r="P279" s="51" t="n">
        <v>0.25</v>
      </c>
      <c r="Q279" s="51" t="n">
        <v>0.25</v>
      </c>
      <c r="R279" s="51" t="n">
        <v>0.1</v>
      </c>
      <c r="S279" s="52" t="n">
        <v>0.3</v>
      </c>
      <c r="T279" s="53" t="n">
        <v>0.1768609806022627</v>
      </c>
      <c r="U279" s="53" t="n">
        <v>0.1785714285714286</v>
      </c>
      <c r="V279" s="53" t="n">
        <v>0.2307692307692307</v>
      </c>
      <c r="W279" s="53" t="n">
        <v>0.8571428571428571</v>
      </c>
      <c r="X279" s="54" t="n">
        <v>0.07498523812807274</v>
      </c>
      <c r="Y279" s="53" t="n">
        <v>0.1088197435333667</v>
      </c>
      <c r="Z279" s="53" t="n">
        <v>0.1340214097591685</v>
      </c>
      <c r="AA279" s="55" t="n">
        <v>0.8214285714285714</v>
      </c>
      <c r="AB279" s="55" t="n">
        <v>0.7692307692307693</v>
      </c>
      <c r="AC279" s="49" t="inlineStr">
        <is>
          <t>corrido</t>
        </is>
      </c>
      <c r="AD279" s="49" t="inlineStr">
        <is>
          <t>Ridge limpio con tuning temporal interno | metric=mae | inner_splits=3</t>
        </is>
      </c>
      <c r="AE279" s="49" t="inlineStr">
        <is>
          <t>run_e1_ridge_clean.py</t>
        </is>
      </c>
      <c r="AF279" s="49" t="inlineStr">
        <is>
          <t>src/modeling/runners/run_e1_ridge_clean.py</t>
        </is>
      </c>
      <c r="AG279" s="49" t="inlineStr">
        <is>
          <t>experiments/runs/OP_W14_CONTROLLED_20260414_050018</t>
        </is>
      </c>
      <c r="AH279" s="49" t="inlineStr">
        <is>
          <t>experiments/runs/OP_W14_CONTROLLED_20260414_050018/scripts/run_e1_ridge_clean.py</t>
        </is>
      </c>
      <c r="AI279" s="49" t="inlineStr">
        <is>
          <t>experiments/runs/OP_W14_CONTROLLED_20260414_050018/parametros_run.json</t>
        </is>
      </c>
      <c r="AJ279" s="49" t="inlineStr">
        <is>
          <t>experiments/runs/OP_W14_CONTROLLED_20260414_050018/metricas_horizonte.json</t>
        </is>
      </c>
      <c r="AK279" s="49" t="inlineStr">
        <is>
          <t>2026-04-14 05:00:18</t>
        </is>
      </c>
      <c r="AL279" s="49" t="inlineStr">
        <is>
          <t>regresion</t>
        </is>
      </c>
      <c r="AM279" s="49" t="n"/>
      <c r="AN279" s="49" t="n"/>
      <c r="AO279" s="49" t="n"/>
      <c r="AP279" s="49" t="n"/>
      <c r="AQ279" s="49" t="n"/>
      <c r="AR279" s="49" t="n"/>
      <c r="AS279" s="49" t="n"/>
      <c r="AT279" s="49" t="n"/>
      <c r="AU279" s="49" t="n"/>
      <c r="AV279" s="49" t="n"/>
      <c r="AW279" s="49" t="n"/>
      <c r="AX279" s="49" t="n"/>
      <c r="AY279" s="49" t="n">
        <v>0.07498523812807274</v>
      </c>
    </row>
  </sheetData>
  <conditionalFormatting sqref="T2:W141">
    <cfRule type="expression" rank="0" priority="2" equalAverage="0" aboveAverage="0" dxfId="0" text="" percent="0" bottom="0">
      <formula>AND($AC2="corrido",T2="")</formula>
    </cfRule>
  </conditionalFormatting>
  <conditionalFormatting sqref="X2:X141">
    <cfRule type="colorScale" priority="3">
      <colorScale>
        <cfvo type="percentile" val="10"/>
        <cfvo type="percentile" val="50"/>
        <cfvo type="percentile" val="90"/>
        <color rgb="FF63BE7B"/>
        <color rgb="FFFFEB84"/>
        <color rgb="FFF8696B"/>
      </colorScale>
    </cfRule>
  </conditionalFormatting>
  <dataValidations count="8">
    <dataValidation sqref="C2:C141" showDropDown="0" showInputMessage="0" showErrorMessage="0" allowBlank="0" type="list" errorStyle="stop" operator="between">
      <formula1>"E1,E2,E3,E4,E5,E6,E7,E8,E9,E10"</formula1>
      <formula2>0</formula2>
    </dataValidation>
    <dataValidation sqref="D2:D141" showDropDown="0" showInputMessage="0" showErrorMessage="0" allowBlank="0" type="list" errorStyle="stop" operator="between">
      <formula1>"lineal,robusto,boosting,temporal,hibrido,ensemble"</formula1>
      <formula2>0</formula2>
    </dataValidation>
    <dataValidation sqref="F2:F141" showDropDown="0" showInputMessage="0" showErrorMessage="0" allowBlank="0" type="list" errorStyle="stop" operator="between">
      <formula1>"1,2,3,4"</formula1>
      <formula2>0</formula2>
    </dataValidation>
    <dataValidation sqref="G2:G141" showDropDown="0" showInputMessage="0" showErrorMessage="0" allowBlank="0" type="list" errorStyle="stop" operator="between">
      <formula1>"nivel,delta,ambos"</formula1>
      <formula2>0</formula2>
    </dataValidation>
    <dataValidation sqref="J2:J141" showDropDown="0" showInputMessage="0" showErrorMessage="0" allowBlank="0" type="list" errorStyle="stop" operator="between">
      <formula1>"original,estandarizada,log,robusta,winsorizada"</formula1>
      <formula2>0</formula2>
    </dataValidation>
    <dataValidation sqref="K2:K141" showDropDown="0" showInputMessage="0" showErrorMessage="0" allowBlank="0" type="list" errorStyle="stop" operator="between">
      <formula1>"todas,correlacion,lasso,importancia_arboles"</formula1>
      <formula2>0</formula2>
    </dataValidation>
    <dataValidation sqref="L2:L141" showDropDown="0" showInputMessage="0" showErrorMessage="0" allowBlank="0" type="list" errorStyle="stop" operator="between">
      <formula1>"walk-forward,expanding_window,rolling_window"</formula1>
      <formula2>0</formula2>
    </dataValidation>
    <dataValidation sqref="AC2:AC141" showDropDown="0" showInputMessage="0" showErrorMessage="0" allowBlank="0" type="list" errorStyle="stop" operator="between">
      <formula1>"pendiente,correr,corrido,revisar"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K13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cols>
    <col width="14" customWidth="1" style="26" min="1" max="1"/>
    <col width="13" customWidth="1" style="26" min="2" max="2"/>
    <col width="28" customWidth="1" style="26" min="3" max="3"/>
    <col width="14" customWidth="1" style="26" min="4" max="4"/>
    <col width="15" customWidth="1" style="26" min="5" max="5"/>
    <col width="18" customWidth="1" style="26" min="6" max="6"/>
    <col width="10" customWidth="1" style="26" min="7" max="7"/>
    <col width="8" customWidth="1" style="26" min="8" max="8"/>
    <col width="14" customWidth="1" style="26" min="9" max="9"/>
    <col width="10" customWidth="1" style="26" min="10" max="11"/>
    <col width="12" customWidth="1" style="26" min="12" max="12"/>
    <col width="14" customWidth="1" style="26" min="13" max="13"/>
    <col width="12" customWidth="1" style="26" min="14" max="14"/>
    <col width="9" customWidth="1" style="26" min="15" max="15"/>
    <col width="30" customWidth="1" style="26" min="16" max="16"/>
    <col width="24" customWidth="1" style="26" min="17" max="17"/>
    <col width="42" customWidth="1" style="26" min="18" max="18"/>
    <col width="40" customWidth="1" style="26" min="19" max="19"/>
    <col width="42" customWidth="1" style="26" min="20" max="20"/>
    <col width="38" customWidth="1" style="26" min="21" max="22"/>
    <col width="22" customWidth="1" style="26" min="23" max="23"/>
    <col width="24" customWidth="1" style="27" min="24" max="24"/>
    <col width="24" customWidth="1" style="27" min="25" max="25"/>
    <col width="24" customWidth="1" style="27" min="26" max="26"/>
    <col width="24" customWidth="1" style="27" min="27" max="27"/>
    <col width="24" customWidth="1" style="27" min="28" max="28"/>
    <col width="24" customWidth="1" style="27" min="29" max="29"/>
    <col width="24" customWidth="1" style="27" min="30" max="30"/>
    <col width="24" customWidth="1" style="27" min="31" max="31"/>
    <col width="24" customWidth="1" style="27" min="32" max="32"/>
    <col width="24" customWidth="1" style="27" min="33" max="33"/>
    <col width="24" customWidth="1" style="27" min="34" max="34"/>
    <col width="24" customWidth="1" style="27" min="35" max="35"/>
    <col width="24" customWidth="1" style="27" min="36" max="36"/>
    <col width="24" customWidth="1" style="27" min="37" max="37"/>
  </cols>
  <sheetData>
    <row r="1" ht="27.7" customHeight="1" s="27">
      <c r="A1" s="34" t="inlineStr">
        <is>
          <t>Run_ID</t>
        </is>
      </c>
      <c r="B1" s="34" t="inlineStr">
        <is>
          <t>Experiment_ID</t>
        </is>
      </c>
      <c r="C1" s="34" t="inlineStr">
        <is>
          <t>Modelo</t>
        </is>
      </c>
      <c r="D1" s="34" t="inlineStr">
        <is>
          <t>Familia</t>
        </is>
      </c>
      <c r="E1" s="34" t="inlineStr">
        <is>
          <t>Horizons_loaded</t>
        </is>
      </c>
      <c r="F1" s="34" t="inlineStr">
        <is>
          <t>Sum_weighted_Loss_h</t>
        </is>
      </c>
      <c r="G1" s="34" t="inlineStr">
        <is>
          <t>L_coh</t>
        </is>
      </c>
      <c r="H1" s="34" t="inlineStr">
        <is>
          <t>eta</t>
        </is>
      </c>
      <c r="I1" s="34" t="inlineStr">
        <is>
          <t>L_total_Radar</t>
        </is>
      </c>
      <c r="J1" s="34" t="inlineStr">
        <is>
          <t>Avg_MAE</t>
        </is>
      </c>
      <c r="K1" s="34" t="inlineStr">
        <is>
          <t>Avg_RMSE</t>
        </is>
      </c>
      <c r="L1" s="34" t="inlineStr">
        <is>
          <t>Dir_acc_prom</t>
        </is>
      </c>
      <c r="M1" s="34" t="inlineStr">
        <is>
          <t>Det_caidas_prom</t>
        </is>
      </c>
      <c r="N1" s="34" t="inlineStr">
        <is>
          <t>Decision</t>
        </is>
      </c>
      <c r="O1" s="34" t="inlineStr">
        <is>
          <t>Ranking</t>
        </is>
      </c>
      <c r="P1" s="34" t="inlineStr">
        <is>
          <t>Comentarios</t>
        </is>
      </c>
      <c r="Q1" s="34" t="inlineStr">
        <is>
          <t>Script_nombre</t>
        </is>
      </c>
      <c r="R1" s="34" t="inlineStr">
        <is>
          <t>Script_ruta</t>
        </is>
      </c>
      <c r="S1" s="34" t="inlineStr">
        <is>
          <t>Run_dir</t>
        </is>
      </c>
      <c r="T1" s="34" t="inlineStr">
        <is>
          <t>Snapshot_script</t>
        </is>
      </c>
      <c r="U1" s="34" t="inlineStr">
        <is>
          <t>Parametros_ruta_json</t>
        </is>
      </c>
      <c r="V1" s="34" t="inlineStr">
        <is>
          <t>Resultados_ruta_json</t>
        </is>
      </c>
      <c r="W1" s="34" t="inlineStr">
        <is>
          <t>Timestamp_run</t>
        </is>
      </c>
      <c r="X1" s="34" t="inlineStr">
        <is>
          <t>Task_type</t>
        </is>
      </c>
      <c r="Y1" s="34" t="inlineStr">
        <is>
          <t>L_total_Clasificacion</t>
        </is>
      </c>
      <c r="Z1" s="34" t="inlineStr">
        <is>
          <t>Avg_Accuracy_5clases</t>
        </is>
      </c>
      <c r="AA1" s="34" t="inlineStr">
        <is>
          <t>Avg_Balanced_accuracy_5clases</t>
        </is>
      </c>
      <c r="AB1" s="34" t="inlineStr">
        <is>
          <t>Avg_Macro_f1_5clases</t>
        </is>
      </c>
      <c r="AC1" s="34" t="inlineStr">
        <is>
          <t>Avg_Weighted_f1_5clases</t>
        </is>
      </c>
      <c r="AD1" s="34" t="inlineStr">
        <is>
          <t>Avg_Recall_baja_fuerte</t>
        </is>
      </c>
      <c r="AE1" s="34" t="inlineStr">
        <is>
          <t>Avg_Recall_baja_total</t>
        </is>
      </c>
      <c r="AF1" s="34" t="inlineStr">
        <is>
          <t>Avg_Precision_baja_fuerte</t>
        </is>
      </c>
      <c r="AG1" s="34" t="inlineStr">
        <is>
          <t>Avg_Recall_sube_fuerte</t>
        </is>
      </c>
      <c r="AH1" s="34" t="inlineStr">
        <is>
          <t>Avg_Recall_sube_total</t>
        </is>
      </c>
      <c r="AI1" s="34" t="inlineStr">
        <is>
          <t>Avg_Accuracy_3clases</t>
        </is>
      </c>
      <c r="AJ1" s="34" t="inlineStr">
        <is>
          <t>Avg_Macro_f1_3clases</t>
        </is>
      </c>
      <c r="AK1" s="34" t="inlineStr">
        <is>
          <t>Avg_Balanced_accuracy_3clases</t>
        </is>
      </c>
    </row>
    <row r="2" ht="15" customHeight="1" s="27">
      <c r="A2" s="49" t="inlineStr">
        <is>
          <t>E1_v1</t>
        </is>
      </c>
      <c r="B2" s="57" t="inlineStr">
        <is>
          <t>E1</t>
        </is>
      </c>
      <c r="C2" s="57" t="inlineStr">
        <is>
          <t>RidgeCV</t>
        </is>
      </c>
      <c r="D2" s="57" t="inlineStr">
        <is>
          <t>lineal</t>
        </is>
      </c>
      <c r="E2" s="57" t="n">
        <v>4</v>
      </c>
      <c r="F2" s="54" t="n">
        <v>0.261061299229139</v>
      </c>
      <c r="G2" s="53" t="n"/>
      <c r="H2" s="58" t="n">
        <v>0.05</v>
      </c>
      <c r="I2" s="54" t="n">
        <v>0.261061299229139</v>
      </c>
      <c r="J2" s="54" t="n">
        <v>0.1048370095083324</v>
      </c>
      <c r="K2" s="54" t="n">
        <v>0.1352444830858427</v>
      </c>
      <c r="L2" s="51" t="n">
        <v>0.7450437525437525</v>
      </c>
      <c r="M2" s="51" t="n">
        <v>0.746474358974359</v>
      </c>
      <c r="N2" s="49" t="n"/>
      <c r="O2" s="57" t="n"/>
      <c r="P2" s="49" t="inlineStr">
        <is>
          <t>Retrointegrado desde metricas_horizonte.json para persistir resumen numerico.</t>
        </is>
      </c>
      <c r="Q2" s="49" t="inlineStr">
        <is>
          <t>run_e1_ridge.py</t>
        </is>
      </c>
      <c r="R2" s="49" t="inlineStr">
        <is>
          <t>Scripts/Modeling/run_e1_ridge.py</t>
        </is>
      </c>
      <c r="S2" s="49" t="inlineStr">
        <is>
          <t>Experimentos/runs/E1_v1_20260321_063715</t>
        </is>
      </c>
      <c r="T2" s="49" t="inlineStr">
        <is>
          <t>Experimentos/runs/E1_v1_20260321_063715/scripts/run_e1_ridge.py</t>
        </is>
      </c>
      <c r="U2" s="49" t="inlineStr">
        <is>
          <t>Experimentos/runs/E1_v1_20260321_063715/parametros_run.json</t>
        </is>
      </c>
      <c r="V2" s="49" t="inlineStr">
        <is>
          <t>Experimentos/runs/E1_v1_20260321_063715/metricas_horizonte.json</t>
        </is>
      </c>
      <c r="W2" s="49" t="inlineStr">
        <is>
          <t>2026-03-21 06:37:15</t>
        </is>
      </c>
      <c r="X2" s="49" t="n"/>
      <c r="Y2" s="49" t="n"/>
      <c r="Z2" s="49" t="n"/>
      <c r="AA2" s="49" t="n"/>
      <c r="AB2" s="49" t="n"/>
      <c r="AC2" s="49" t="n"/>
      <c r="AD2" s="49" t="n"/>
      <c r="AE2" s="49" t="n"/>
      <c r="AF2" s="49" t="n"/>
      <c r="AG2" s="49" t="n"/>
      <c r="AH2" s="49" t="n"/>
      <c r="AI2" s="49" t="n"/>
      <c r="AJ2" s="49" t="n"/>
      <c r="AK2" s="49" t="n"/>
    </row>
    <row r="3" ht="15" customHeight="1" s="27">
      <c r="A3" s="49" t="inlineStr">
        <is>
          <t>E2_v1</t>
        </is>
      </c>
      <c r="B3" s="57">
        <f>IF($A3="","",IFERROR(INDEX(RESULTADOS_GRID!$C:$C,MATCH($A3,RESULTADOS_GRID!$B:$B,0)),""))</f>
        <v/>
      </c>
      <c r="C3" s="57">
        <f>IF($A3="","",IFERROR(INDEX(RESULTADOS_GRID!$E:$E,MATCH($A3,RESULTADOS_GRID!$B:$B,0)),""))</f>
        <v/>
      </c>
      <c r="D3" s="57">
        <f>IF($A3="","",IFERROR(INDEX(RESULTADOS_GRID!$D:$D,MATCH($A3,RESULTADOS_GRID!$B:$B,0)),""))</f>
        <v/>
      </c>
      <c r="E3" s="57">
        <f>IF($A3="","",COUNTIF(RESULTADOS_GRID!$B:$B,$A3))</f>
        <v/>
      </c>
      <c r="F3" s="54">
        <f>IF($A3="","",SUMIF(RESULTADOS_GRID!$B:$B,$A3,RESULTADOS_GRID!$X:$X))</f>
        <v/>
      </c>
      <c r="G3" s="53" t="n"/>
      <c r="H3" s="58">
        <f>CONFIG_REFERENCIA!$E$7</f>
        <v/>
      </c>
      <c r="I3" s="54">
        <f>IF($A3="","",$F3+N($G3)*$H3)</f>
        <v/>
      </c>
      <c r="J3" s="54">
        <f>IF($A3="","",IF((COUNTIFS(RESULTADOS_GRID!$B:$B,$A3,RESULTADOS_GRID!$Y:$Y,"&gt;=0")+COUNTIFS(RESULTADOS_GRID!$B:$B,$A3,RESULTADOS_GRID!$Y:$Y,"&lt;0"))=0,"",SUMIF(RESULTADOS_GRID!$B:$B,$A3,RESULTADOS_GRID!$Y:$Y)/(COUNTIFS(RESULTADOS_GRID!$B:$B,$A3,RESULTADOS_GRID!$Y:$Y,"&gt;=0")+COUNTIFS(RESULTADOS_GRID!$B:$B,$A3,RESULTADOS_GRID!$Y:$Y,"&lt;0"))))</f>
        <v/>
      </c>
      <c r="K3" s="54">
        <f>IF($A3="","",IF((COUNTIFS(RESULTADOS_GRID!$B:$B,$A3,RESULTADOS_GRID!$Z:$Z,"&gt;=0")+COUNTIFS(RESULTADOS_GRID!$B:$B,$A3,RESULTADOS_GRID!$Z:$Z,"&lt;0"))=0,"",SUMIF(RESULTADOS_GRID!$B:$B,$A3,RESULTADOS_GRID!$Z:$Z)/(COUNTIFS(RESULTADOS_GRID!$B:$B,$A3,RESULTADOS_GRID!$Z:$Z,"&gt;=0")+COUNTIFS(RESULTADOS_GRID!$B:$B,$A3,RESULTADOS_GRID!$Z:$Z,"&lt;0"))))</f>
        <v/>
      </c>
      <c r="L3" s="51">
        <f>IF($A3="","",IF((COUNTIFS(RESULTADOS_GRID!$B:$B,$A3,RESULTADOS_GRID!$AA:$AA,"&gt;=0")+COUNTIFS(RESULTADOS_GRID!$B:$B,$A3,RESULTADOS_GRID!$AA:$AA,"&lt;0"))=0,"",SUMIF(RESULTADOS_GRID!$B:$B,$A3,RESULTADOS_GRID!$AA:$AA)/(COUNTIFS(RESULTADOS_GRID!$B:$B,$A3,RESULTADOS_GRID!$AA:$AA,"&gt;=0")+COUNTIFS(RESULTADOS_GRID!$B:$B,$A3,RESULTADOS_GRID!$AA:$AA,"&lt;0"))))</f>
        <v/>
      </c>
      <c r="M3" s="51">
        <f>IF($A3="","",IF((COUNTIFS(RESULTADOS_GRID!$B:$B,$A3,RESULTADOS_GRID!$AB:$AB,"&gt;=0")+COUNTIFS(RESULTADOS_GRID!$B:$B,$A3,RESULTADOS_GRID!$AB:$AB,"&lt;0"))=0,"",SUMIF(RESULTADOS_GRID!$B:$B,$A3,RESULTADOS_GRID!$AB:$AB)/(COUNTIFS(RESULTADOS_GRID!$B:$B,$A3,RESULTADOS_GRID!$AB:$AB,"&gt;=0")+COUNTIFS(RESULTADOS_GRID!$B:$B,$A3,RESULTADOS_GRID!$AB:$AB,"&lt;0"))))</f>
        <v/>
      </c>
      <c r="N3" s="49" t="n"/>
      <c r="O3" s="57">
        <f>IF($I3="","",COUNTIFS($I$2:$I$101,"&lt;"&amp;$I3)+1)</f>
        <v/>
      </c>
      <c r="P3" s="49" t="n"/>
      <c r="Q3" s="49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  <c r="AA3" s="49" t="n"/>
      <c r="AB3" s="49" t="n"/>
      <c r="AC3" s="49" t="n"/>
      <c r="AD3" s="49" t="n"/>
      <c r="AE3" s="49" t="n"/>
      <c r="AF3" s="49" t="n"/>
      <c r="AG3" s="49" t="n"/>
      <c r="AH3" s="49" t="n"/>
      <c r="AI3" s="49" t="n"/>
      <c r="AJ3" s="49" t="n"/>
      <c r="AK3" s="49" t="n"/>
    </row>
    <row r="4" ht="15" customHeight="1" s="27">
      <c r="A4" s="49" t="inlineStr">
        <is>
          <t>E3_v1</t>
        </is>
      </c>
      <c r="B4" s="57">
        <f>IF($A4="","",IFERROR(INDEX(RESULTADOS_GRID!$C:$C,MATCH($A4,RESULTADOS_GRID!$B:$B,0)),""))</f>
        <v/>
      </c>
      <c r="C4" s="57">
        <f>IF($A4="","",IFERROR(INDEX(RESULTADOS_GRID!$E:$E,MATCH($A4,RESULTADOS_GRID!$B:$B,0)),""))</f>
        <v/>
      </c>
      <c r="D4" s="57">
        <f>IF($A4="","",IFERROR(INDEX(RESULTADOS_GRID!$D:$D,MATCH($A4,RESULTADOS_GRID!$B:$B,0)),""))</f>
        <v/>
      </c>
      <c r="E4" s="57">
        <f>IF($A4="","",COUNTIF(RESULTADOS_GRID!$B:$B,$A4))</f>
        <v/>
      </c>
      <c r="F4" s="54">
        <f>IF($A4="","",SUMIF(RESULTADOS_GRID!$B:$B,$A4,RESULTADOS_GRID!$X:$X))</f>
        <v/>
      </c>
      <c r="G4" s="53" t="n"/>
      <c r="H4" s="58">
        <f>CONFIG_REFERENCIA!$E$7</f>
        <v/>
      </c>
      <c r="I4" s="54">
        <f>IF($A4="","",$F4+N($G4)*$H4)</f>
        <v/>
      </c>
      <c r="J4" s="54">
        <f>IF($A4="","",IF((COUNTIFS(RESULTADOS_GRID!$B:$B,$A4,RESULTADOS_GRID!$Y:$Y,"&gt;=0")+COUNTIFS(RESULTADOS_GRID!$B:$B,$A4,RESULTADOS_GRID!$Y:$Y,"&lt;0"))=0,"",SUMIF(RESULTADOS_GRID!$B:$B,$A4,RESULTADOS_GRID!$Y:$Y)/(COUNTIFS(RESULTADOS_GRID!$B:$B,$A4,RESULTADOS_GRID!$Y:$Y,"&gt;=0")+COUNTIFS(RESULTADOS_GRID!$B:$B,$A4,RESULTADOS_GRID!$Y:$Y,"&lt;0"))))</f>
        <v/>
      </c>
      <c r="K4" s="54">
        <f>IF($A4="","",IF((COUNTIFS(RESULTADOS_GRID!$B:$B,$A4,RESULTADOS_GRID!$Z:$Z,"&gt;=0")+COUNTIFS(RESULTADOS_GRID!$B:$B,$A4,RESULTADOS_GRID!$Z:$Z,"&lt;0"))=0,"",SUMIF(RESULTADOS_GRID!$B:$B,$A4,RESULTADOS_GRID!$Z:$Z)/(COUNTIFS(RESULTADOS_GRID!$B:$B,$A4,RESULTADOS_GRID!$Z:$Z,"&gt;=0")+COUNTIFS(RESULTADOS_GRID!$B:$B,$A4,RESULTADOS_GRID!$Z:$Z,"&lt;0"))))</f>
        <v/>
      </c>
      <c r="L4" s="51">
        <f>IF($A4="","",IF((COUNTIFS(RESULTADOS_GRID!$B:$B,$A4,RESULTADOS_GRID!$AA:$AA,"&gt;=0")+COUNTIFS(RESULTADOS_GRID!$B:$B,$A4,RESULTADOS_GRID!$AA:$AA,"&lt;0"))=0,"",SUMIF(RESULTADOS_GRID!$B:$B,$A4,RESULTADOS_GRID!$AA:$AA)/(COUNTIFS(RESULTADOS_GRID!$B:$B,$A4,RESULTADOS_GRID!$AA:$AA,"&gt;=0")+COUNTIFS(RESULTADOS_GRID!$B:$B,$A4,RESULTADOS_GRID!$AA:$AA,"&lt;0"))))</f>
        <v/>
      </c>
      <c r="M4" s="51">
        <f>IF($A4="","",IF((COUNTIFS(RESULTADOS_GRID!$B:$B,$A4,RESULTADOS_GRID!$AB:$AB,"&gt;=0")+COUNTIFS(RESULTADOS_GRID!$B:$B,$A4,RESULTADOS_GRID!$AB:$AB,"&lt;0"))=0,"",SUMIF(RESULTADOS_GRID!$B:$B,$A4,RESULTADOS_GRID!$AB:$AB)/(COUNTIFS(RESULTADOS_GRID!$B:$B,$A4,RESULTADOS_GRID!$AB:$AB,"&gt;=0")+COUNTIFS(RESULTADOS_GRID!$B:$B,$A4,RESULTADOS_GRID!$AB:$AB,"&lt;0"))))</f>
        <v/>
      </c>
      <c r="N4" s="49" t="n"/>
      <c r="O4" s="57">
        <f>IF($I4="","",COUNTIFS($I$2:$I$101,"&lt;"&amp;$I4)+1)</f>
        <v/>
      </c>
      <c r="P4" s="49" t="n"/>
      <c r="Q4" s="49" t="n"/>
      <c r="R4" s="49" t="n"/>
      <c r="S4" s="49" t="n"/>
      <c r="T4" s="49" t="n"/>
      <c r="U4" s="49" t="n"/>
      <c r="V4" s="49" t="n"/>
      <c r="W4" s="49" t="n"/>
      <c r="X4" s="49" t="n"/>
      <c r="Y4" s="49" t="n"/>
      <c r="Z4" s="49" t="n"/>
      <c r="AA4" s="49" t="n"/>
      <c r="AB4" s="49" t="n"/>
      <c r="AC4" s="49" t="n"/>
      <c r="AD4" s="49" t="n"/>
      <c r="AE4" s="49" t="n"/>
      <c r="AF4" s="49" t="n"/>
      <c r="AG4" s="49" t="n"/>
      <c r="AH4" s="49" t="n"/>
      <c r="AI4" s="49" t="n"/>
      <c r="AJ4" s="49" t="n"/>
      <c r="AK4" s="49" t="n"/>
    </row>
    <row r="5" ht="15" customHeight="1" s="27">
      <c r="A5" s="49" t="inlineStr">
        <is>
          <t>E4_v1</t>
        </is>
      </c>
      <c r="B5" s="57">
        <f>IF($A5="","",IFERROR(INDEX(RESULTADOS_GRID!$C:$C,MATCH($A5,RESULTADOS_GRID!$B:$B,0)),""))</f>
        <v/>
      </c>
      <c r="C5" s="57">
        <f>IF($A5="","",IFERROR(INDEX(RESULTADOS_GRID!$E:$E,MATCH($A5,RESULTADOS_GRID!$B:$B,0)),""))</f>
        <v/>
      </c>
      <c r="D5" s="57">
        <f>IF($A5="","",IFERROR(INDEX(RESULTADOS_GRID!$D:$D,MATCH($A5,RESULTADOS_GRID!$B:$B,0)),""))</f>
        <v/>
      </c>
      <c r="E5" s="57">
        <f>IF($A5="","",COUNTIF(RESULTADOS_GRID!$B:$B,$A5))</f>
        <v/>
      </c>
      <c r="F5" s="54">
        <f>IF($A5="","",SUMIF(RESULTADOS_GRID!$B:$B,$A5,RESULTADOS_GRID!$X:$X))</f>
        <v/>
      </c>
      <c r="G5" s="53" t="n"/>
      <c r="H5" s="58">
        <f>CONFIG_REFERENCIA!$E$7</f>
        <v/>
      </c>
      <c r="I5" s="54">
        <f>IF($A5="","",$F5+N($G5)*$H5)</f>
        <v/>
      </c>
      <c r="J5" s="54">
        <f>IF($A5="","",IF((COUNTIFS(RESULTADOS_GRID!$B:$B,$A5,RESULTADOS_GRID!$Y:$Y,"&gt;=0")+COUNTIFS(RESULTADOS_GRID!$B:$B,$A5,RESULTADOS_GRID!$Y:$Y,"&lt;0"))=0,"",SUMIF(RESULTADOS_GRID!$B:$B,$A5,RESULTADOS_GRID!$Y:$Y)/(COUNTIFS(RESULTADOS_GRID!$B:$B,$A5,RESULTADOS_GRID!$Y:$Y,"&gt;=0")+COUNTIFS(RESULTADOS_GRID!$B:$B,$A5,RESULTADOS_GRID!$Y:$Y,"&lt;0"))))</f>
        <v/>
      </c>
      <c r="K5" s="54">
        <f>IF($A5="","",IF((COUNTIFS(RESULTADOS_GRID!$B:$B,$A5,RESULTADOS_GRID!$Z:$Z,"&gt;=0")+COUNTIFS(RESULTADOS_GRID!$B:$B,$A5,RESULTADOS_GRID!$Z:$Z,"&lt;0"))=0,"",SUMIF(RESULTADOS_GRID!$B:$B,$A5,RESULTADOS_GRID!$Z:$Z)/(COUNTIFS(RESULTADOS_GRID!$B:$B,$A5,RESULTADOS_GRID!$Z:$Z,"&gt;=0")+COUNTIFS(RESULTADOS_GRID!$B:$B,$A5,RESULTADOS_GRID!$Z:$Z,"&lt;0"))))</f>
        <v/>
      </c>
      <c r="L5" s="51">
        <f>IF($A5="","",IF((COUNTIFS(RESULTADOS_GRID!$B:$B,$A5,RESULTADOS_GRID!$AA:$AA,"&gt;=0")+COUNTIFS(RESULTADOS_GRID!$B:$B,$A5,RESULTADOS_GRID!$AA:$AA,"&lt;0"))=0,"",SUMIF(RESULTADOS_GRID!$B:$B,$A5,RESULTADOS_GRID!$AA:$AA)/(COUNTIFS(RESULTADOS_GRID!$B:$B,$A5,RESULTADOS_GRID!$AA:$AA,"&gt;=0")+COUNTIFS(RESULTADOS_GRID!$B:$B,$A5,RESULTADOS_GRID!$AA:$AA,"&lt;0"))))</f>
        <v/>
      </c>
      <c r="M5" s="51">
        <f>IF($A5="","",IF((COUNTIFS(RESULTADOS_GRID!$B:$B,$A5,RESULTADOS_GRID!$AB:$AB,"&gt;=0")+COUNTIFS(RESULTADOS_GRID!$B:$B,$A5,RESULTADOS_GRID!$AB:$AB,"&lt;0"))=0,"",SUMIF(RESULTADOS_GRID!$B:$B,$A5,RESULTADOS_GRID!$AB:$AB)/(COUNTIFS(RESULTADOS_GRID!$B:$B,$A5,RESULTADOS_GRID!$AB:$AB,"&gt;=0")+COUNTIFS(RESULTADOS_GRID!$B:$B,$A5,RESULTADOS_GRID!$AB:$AB,"&lt;0"))))</f>
        <v/>
      </c>
      <c r="N5" s="49" t="n"/>
      <c r="O5" s="57">
        <f>IF($I5="","",COUNTIFS($I$2:$I$101,"&lt;"&amp;$I5)+1)</f>
        <v/>
      </c>
      <c r="P5" s="49" t="n"/>
      <c r="Q5" s="49" t="n"/>
      <c r="R5" s="49" t="n"/>
      <c r="S5" s="49" t="n"/>
      <c r="T5" s="49" t="n"/>
      <c r="U5" s="49" t="n"/>
      <c r="V5" s="49" t="n"/>
      <c r="W5" s="49" t="n"/>
      <c r="X5" s="49" t="n"/>
      <c r="Y5" s="49" t="n"/>
      <c r="Z5" s="49" t="n"/>
      <c r="AA5" s="49" t="n"/>
      <c r="AB5" s="49" t="n"/>
      <c r="AC5" s="49" t="n"/>
      <c r="AD5" s="49" t="n"/>
      <c r="AE5" s="49" t="n"/>
      <c r="AF5" s="49" t="n"/>
      <c r="AG5" s="49" t="n"/>
      <c r="AH5" s="49" t="n"/>
      <c r="AI5" s="49" t="n"/>
      <c r="AJ5" s="49" t="n"/>
      <c r="AK5" s="49" t="n"/>
    </row>
    <row r="6" ht="15" customHeight="1" s="27">
      <c r="A6" s="49" t="inlineStr">
        <is>
          <t>E5_v1</t>
        </is>
      </c>
      <c r="B6" s="57">
        <f>IF($A6="","",IFERROR(INDEX(RESULTADOS_GRID!$C:$C,MATCH($A6,RESULTADOS_GRID!$B:$B,0)),""))</f>
        <v/>
      </c>
      <c r="C6" s="57">
        <f>IF($A6="","",IFERROR(INDEX(RESULTADOS_GRID!$E:$E,MATCH($A6,RESULTADOS_GRID!$B:$B,0)),""))</f>
        <v/>
      </c>
      <c r="D6" s="57">
        <f>IF($A6="","",IFERROR(INDEX(RESULTADOS_GRID!$D:$D,MATCH($A6,RESULTADOS_GRID!$B:$B,0)),""))</f>
        <v/>
      </c>
      <c r="E6" s="57">
        <f>IF($A6="","",COUNTIF(RESULTADOS_GRID!$B:$B,$A6))</f>
        <v/>
      </c>
      <c r="F6" s="54">
        <f>IF($A6="","",SUMIF(RESULTADOS_GRID!$B:$B,$A6,RESULTADOS_GRID!$X:$X))</f>
        <v/>
      </c>
      <c r="G6" s="53" t="n"/>
      <c r="H6" s="58">
        <f>CONFIG_REFERENCIA!$E$7</f>
        <v/>
      </c>
      <c r="I6" s="54">
        <f>IF($A6="","",$F6+N($G6)*$H6)</f>
        <v/>
      </c>
      <c r="J6" s="54">
        <f>IF($A6="","",IF((COUNTIFS(RESULTADOS_GRID!$B:$B,$A6,RESULTADOS_GRID!$Y:$Y,"&gt;=0")+COUNTIFS(RESULTADOS_GRID!$B:$B,$A6,RESULTADOS_GRID!$Y:$Y,"&lt;0"))=0,"",SUMIF(RESULTADOS_GRID!$B:$B,$A6,RESULTADOS_GRID!$Y:$Y)/(COUNTIFS(RESULTADOS_GRID!$B:$B,$A6,RESULTADOS_GRID!$Y:$Y,"&gt;=0")+COUNTIFS(RESULTADOS_GRID!$B:$B,$A6,RESULTADOS_GRID!$Y:$Y,"&lt;0"))))</f>
        <v/>
      </c>
      <c r="K6" s="54">
        <f>IF($A6="","",IF((COUNTIFS(RESULTADOS_GRID!$B:$B,$A6,RESULTADOS_GRID!$Z:$Z,"&gt;=0")+COUNTIFS(RESULTADOS_GRID!$B:$B,$A6,RESULTADOS_GRID!$Z:$Z,"&lt;0"))=0,"",SUMIF(RESULTADOS_GRID!$B:$B,$A6,RESULTADOS_GRID!$Z:$Z)/(COUNTIFS(RESULTADOS_GRID!$B:$B,$A6,RESULTADOS_GRID!$Z:$Z,"&gt;=0")+COUNTIFS(RESULTADOS_GRID!$B:$B,$A6,RESULTADOS_GRID!$Z:$Z,"&lt;0"))))</f>
        <v/>
      </c>
      <c r="L6" s="51">
        <f>IF($A6="","",IF((COUNTIFS(RESULTADOS_GRID!$B:$B,$A6,RESULTADOS_GRID!$AA:$AA,"&gt;=0")+COUNTIFS(RESULTADOS_GRID!$B:$B,$A6,RESULTADOS_GRID!$AA:$AA,"&lt;0"))=0,"",SUMIF(RESULTADOS_GRID!$B:$B,$A6,RESULTADOS_GRID!$AA:$AA)/(COUNTIFS(RESULTADOS_GRID!$B:$B,$A6,RESULTADOS_GRID!$AA:$AA,"&gt;=0")+COUNTIFS(RESULTADOS_GRID!$B:$B,$A6,RESULTADOS_GRID!$AA:$AA,"&lt;0"))))</f>
        <v/>
      </c>
      <c r="M6" s="51">
        <f>IF($A6="","",IF((COUNTIFS(RESULTADOS_GRID!$B:$B,$A6,RESULTADOS_GRID!$AB:$AB,"&gt;=0")+COUNTIFS(RESULTADOS_GRID!$B:$B,$A6,RESULTADOS_GRID!$AB:$AB,"&lt;0"))=0,"",SUMIF(RESULTADOS_GRID!$B:$B,$A6,RESULTADOS_GRID!$AB:$AB)/(COUNTIFS(RESULTADOS_GRID!$B:$B,$A6,RESULTADOS_GRID!$AB:$AB,"&gt;=0")+COUNTIFS(RESULTADOS_GRID!$B:$B,$A6,RESULTADOS_GRID!$AB:$AB,"&lt;0"))))</f>
        <v/>
      </c>
      <c r="N6" s="49" t="n"/>
      <c r="O6" s="57">
        <f>IF($I6="","",COUNTIFS($I$2:$I$101,"&lt;"&amp;$I6)+1)</f>
        <v/>
      </c>
      <c r="P6" s="49" t="n"/>
      <c r="Q6" s="49" t="n"/>
      <c r="R6" s="49" t="n"/>
      <c r="S6" s="49" t="n"/>
      <c r="T6" s="49" t="n"/>
      <c r="U6" s="49" t="n"/>
      <c r="V6" s="49" t="n"/>
      <c r="W6" s="49" t="n"/>
      <c r="X6" s="49" t="n"/>
      <c r="Y6" s="49" t="n"/>
      <c r="Z6" s="49" t="n"/>
      <c r="AA6" s="49" t="n"/>
      <c r="AB6" s="49" t="n"/>
      <c r="AC6" s="49" t="n"/>
      <c r="AD6" s="49" t="n"/>
      <c r="AE6" s="49" t="n"/>
      <c r="AF6" s="49" t="n"/>
      <c r="AG6" s="49" t="n"/>
      <c r="AH6" s="49" t="n"/>
      <c r="AI6" s="49" t="n"/>
      <c r="AJ6" s="49" t="n"/>
      <c r="AK6" s="49" t="n"/>
    </row>
    <row r="7" ht="15" customHeight="1" s="27">
      <c r="A7" s="49" t="inlineStr">
        <is>
          <t>E6_v1</t>
        </is>
      </c>
      <c r="B7" s="57">
        <f>IF($A7="","",IFERROR(INDEX(RESULTADOS_GRID!$C:$C,MATCH($A7,RESULTADOS_GRID!$B:$B,0)),""))</f>
        <v/>
      </c>
      <c r="C7" s="57">
        <f>IF($A7="","",IFERROR(INDEX(RESULTADOS_GRID!$E:$E,MATCH($A7,RESULTADOS_GRID!$B:$B,0)),""))</f>
        <v/>
      </c>
      <c r="D7" s="57">
        <f>IF($A7="","",IFERROR(INDEX(RESULTADOS_GRID!$D:$D,MATCH($A7,RESULTADOS_GRID!$B:$B,0)),""))</f>
        <v/>
      </c>
      <c r="E7" s="57">
        <f>IF($A7="","",COUNTIF(RESULTADOS_GRID!$B:$B,$A7))</f>
        <v/>
      </c>
      <c r="F7" s="54">
        <f>IF($A7="","",SUMIF(RESULTADOS_GRID!$B:$B,$A7,RESULTADOS_GRID!$X:$X))</f>
        <v/>
      </c>
      <c r="G7" s="53" t="n"/>
      <c r="H7" s="58">
        <f>CONFIG_REFERENCIA!$E$7</f>
        <v/>
      </c>
      <c r="I7" s="54">
        <f>IF($A7="","",$F7+N($G7)*$H7)</f>
        <v/>
      </c>
      <c r="J7" s="54">
        <f>IF($A7="","",IF((COUNTIFS(RESULTADOS_GRID!$B:$B,$A7,RESULTADOS_GRID!$Y:$Y,"&gt;=0")+COUNTIFS(RESULTADOS_GRID!$B:$B,$A7,RESULTADOS_GRID!$Y:$Y,"&lt;0"))=0,"",SUMIF(RESULTADOS_GRID!$B:$B,$A7,RESULTADOS_GRID!$Y:$Y)/(COUNTIFS(RESULTADOS_GRID!$B:$B,$A7,RESULTADOS_GRID!$Y:$Y,"&gt;=0")+COUNTIFS(RESULTADOS_GRID!$B:$B,$A7,RESULTADOS_GRID!$Y:$Y,"&lt;0"))))</f>
        <v/>
      </c>
      <c r="K7" s="54">
        <f>IF($A7="","",IF((COUNTIFS(RESULTADOS_GRID!$B:$B,$A7,RESULTADOS_GRID!$Z:$Z,"&gt;=0")+COUNTIFS(RESULTADOS_GRID!$B:$B,$A7,RESULTADOS_GRID!$Z:$Z,"&lt;0"))=0,"",SUMIF(RESULTADOS_GRID!$B:$B,$A7,RESULTADOS_GRID!$Z:$Z)/(COUNTIFS(RESULTADOS_GRID!$B:$B,$A7,RESULTADOS_GRID!$Z:$Z,"&gt;=0")+COUNTIFS(RESULTADOS_GRID!$B:$B,$A7,RESULTADOS_GRID!$Z:$Z,"&lt;0"))))</f>
        <v/>
      </c>
      <c r="L7" s="51">
        <f>IF($A7="","",IF((COUNTIFS(RESULTADOS_GRID!$B:$B,$A7,RESULTADOS_GRID!$AA:$AA,"&gt;=0")+COUNTIFS(RESULTADOS_GRID!$B:$B,$A7,RESULTADOS_GRID!$AA:$AA,"&lt;0"))=0,"",SUMIF(RESULTADOS_GRID!$B:$B,$A7,RESULTADOS_GRID!$AA:$AA)/(COUNTIFS(RESULTADOS_GRID!$B:$B,$A7,RESULTADOS_GRID!$AA:$AA,"&gt;=0")+COUNTIFS(RESULTADOS_GRID!$B:$B,$A7,RESULTADOS_GRID!$AA:$AA,"&lt;0"))))</f>
        <v/>
      </c>
      <c r="M7" s="51">
        <f>IF($A7="","",IF((COUNTIFS(RESULTADOS_GRID!$B:$B,$A7,RESULTADOS_GRID!$AB:$AB,"&gt;=0")+COUNTIFS(RESULTADOS_GRID!$B:$B,$A7,RESULTADOS_GRID!$AB:$AB,"&lt;0"))=0,"",SUMIF(RESULTADOS_GRID!$B:$B,$A7,RESULTADOS_GRID!$AB:$AB)/(COUNTIFS(RESULTADOS_GRID!$B:$B,$A7,RESULTADOS_GRID!$AB:$AB,"&gt;=0")+COUNTIFS(RESULTADOS_GRID!$B:$B,$A7,RESULTADOS_GRID!$AB:$AB,"&lt;0"))))</f>
        <v/>
      </c>
      <c r="N7" s="49" t="n"/>
      <c r="O7" s="57">
        <f>IF($I7="","",COUNTIFS($I$2:$I$101,"&lt;"&amp;$I7)+1)</f>
        <v/>
      </c>
      <c r="P7" s="49" t="n"/>
      <c r="Q7" s="49" t="n"/>
      <c r="R7" s="49" t="n"/>
      <c r="S7" s="49" t="n"/>
      <c r="T7" s="49" t="n"/>
      <c r="U7" s="49" t="n"/>
      <c r="V7" s="49" t="n"/>
      <c r="W7" s="49" t="n"/>
      <c r="X7" s="49" t="n"/>
      <c r="Y7" s="49" t="n"/>
      <c r="Z7" s="49" t="n"/>
      <c r="AA7" s="49" t="n"/>
      <c r="AB7" s="49" t="n"/>
      <c r="AC7" s="49" t="n"/>
      <c r="AD7" s="49" t="n"/>
      <c r="AE7" s="49" t="n"/>
      <c r="AF7" s="49" t="n"/>
      <c r="AG7" s="49" t="n"/>
      <c r="AH7" s="49" t="n"/>
      <c r="AI7" s="49" t="n"/>
      <c r="AJ7" s="49" t="n"/>
      <c r="AK7" s="49" t="n"/>
    </row>
    <row r="8" ht="15" customHeight="1" s="27">
      <c r="A8" s="49" t="inlineStr">
        <is>
          <t>E7_v1</t>
        </is>
      </c>
      <c r="B8" s="57">
        <f>IF($A8="","",IFERROR(INDEX(RESULTADOS_GRID!$C:$C,MATCH($A8,RESULTADOS_GRID!$B:$B,0)),""))</f>
        <v/>
      </c>
      <c r="C8" s="57">
        <f>IF($A8="","",IFERROR(INDEX(RESULTADOS_GRID!$E:$E,MATCH($A8,RESULTADOS_GRID!$B:$B,0)),""))</f>
        <v/>
      </c>
      <c r="D8" s="57">
        <f>IF($A8="","",IFERROR(INDEX(RESULTADOS_GRID!$D:$D,MATCH($A8,RESULTADOS_GRID!$B:$B,0)),""))</f>
        <v/>
      </c>
      <c r="E8" s="57">
        <f>IF($A8="","",COUNTIF(RESULTADOS_GRID!$B:$B,$A8))</f>
        <v/>
      </c>
      <c r="F8" s="54">
        <f>IF($A8="","",SUMIF(RESULTADOS_GRID!$B:$B,$A8,RESULTADOS_GRID!$X:$X))</f>
        <v/>
      </c>
      <c r="G8" s="53" t="n"/>
      <c r="H8" s="58">
        <f>CONFIG_REFERENCIA!$E$7</f>
        <v/>
      </c>
      <c r="I8" s="54">
        <f>IF($A8="","",$F8+N($G8)*$H8)</f>
        <v/>
      </c>
      <c r="J8" s="54">
        <f>IF($A8="","",IF((COUNTIFS(RESULTADOS_GRID!$B:$B,$A8,RESULTADOS_GRID!$Y:$Y,"&gt;=0")+COUNTIFS(RESULTADOS_GRID!$B:$B,$A8,RESULTADOS_GRID!$Y:$Y,"&lt;0"))=0,"",SUMIF(RESULTADOS_GRID!$B:$B,$A8,RESULTADOS_GRID!$Y:$Y)/(COUNTIFS(RESULTADOS_GRID!$B:$B,$A8,RESULTADOS_GRID!$Y:$Y,"&gt;=0")+COUNTIFS(RESULTADOS_GRID!$B:$B,$A8,RESULTADOS_GRID!$Y:$Y,"&lt;0"))))</f>
        <v/>
      </c>
      <c r="K8" s="54">
        <f>IF($A8="","",IF((COUNTIFS(RESULTADOS_GRID!$B:$B,$A8,RESULTADOS_GRID!$Z:$Z,"&gt;=0")+COUNTIFS(RESULTADOS_GRID!$B:$B,$A8,RESULTADOS_GRID!$Z:$Z,"&lt;0"))=0,"",SUMIF(RESULTADOS_GRID!$B:$B,$A8,RESULTADOS_GRID!$Z:$Z)/(COUNTIFS(RESULTADOS_GRID!$B:$B,$A8,RESULTADOS_GRID!$Z:$Z,"&gt;=0")+COUNTIFS(RESULTADOS_GRID!$B:$B,$A8,RESULTADOS_GRID!$Z:$Z,"&lt;0"))))</f>
        <v/>
      </c>
      <c r="L8" s="51">
        <f>IF($A8="","",IF((COUNTIFS(RESULTADOS_GRID!$B:$B,$A8,RESULTADOS_GRID!$AA:$AA,"&gt;=0")+COUNTIFS(RESULTADOS_GRID!$B:$B,$A8,RESULTADOS_GRID!$AA:$AA,"&lt;0"))=0,"",SUMIF(RESULTADOS_GRID!$B:$B,$A8,RESULTADOS_GRID!$AA:$AA)/(COUNTIFS(RESULTADOS_GRID!$B:$B,$A8,RESULTADOS_GRID!$AA:$AA,"&gt;=0")+COUNTIFS(RESULTADOS_GRID!$B:$B,$A8,RESULTADOS_GRID!$AA:$AA,"&lt;0"))))</f>
        <v/>
      </c>
      <c r="M8" s="51">
        <f>IF($A8="","",IF((COUNTIFS(RESULTADOS_GRID!$B:$B,$A8,RESULTADOS_GRID!$AB:$AB,"&gt;=0")+COUNTIFS(RESULTADOS_GRID!$B:$B,$A8,RESULTADOS_GRID!$AB:$AB,"&lt;0"))=0,"",SUMIF(RESULTADOS_GRID!$B:$B,$A8,RESULTADOS_GRID!$AB:$AB)/(COUNTIFS(RESULTADOS_GRID!$B:$B,$A8,RESULTADOS_GRID!$AB:$AB,"&gt;=0")+COUNTIFS(RESULTADOS_GRID!$B:$B,$A8,RESULTADOS_GRID!$AB:$AB,"&lt;0"))))</f>
        <v/>
      </c>
      <c r="N8" s="49" t="n"/>
      <c r="O8" s="57">
        <f>IF($I8="","",COUNTIFS($I$2:$I$101,"&lt;"&amp;$I8)+1)</f>
        <v/>
      </c>
      <c r="P8" s="49" t="n"/>
      <c r="Q8" s="49" t="n"/>
      <c r="R8" s="49" t="n"/>
      <c r="S8" s="49" t="n"/>
      <c r="T8" s="49" t="n"/>
      <c r="U8" s="49" t="n"/>
      <c r="V8" s="49" t="n"/>
      <c r="W8" s="49" t="n"/>
      <c r="X8" s="49" t="n"/>
      <c r="Y8" s="49" t="n"/>
      <c r="Z8" s="49" t="n"/>
      <c r="AA8" s="49" t="n"/>
      <c r="AB8" s="49" t="n"/>
      <c r="AC8" s="49" t="n"/>
      <c r="AD8" s="49" t="n"/>
      <c r="AE8" s="49" t="n"/>
      <c r="AF8" s="49" t="n"/>
      <c r="AG8" s="49" t="n"/>
      <c r="AH8" s="49" t="n"/>
      <c r="AI8" s="49" t="n"/>
      <c r="AJ8" s="49" t="n"/>
      <c r="AK8" s="49" t="n"/>
    </row>
    <row r="9" ht="15" customHeight="1" s="27">
      <c r="A9" s="49" t="inlineStr">
        <is>
          <t>E8_v1</t>
        </is>
      </c>
      <c r="B9" s="57">
        <f>IF($A9="","",IFERROR(INDEX(RESULTADOS_GRID!$C:$C,MATCH($A9,RESULTADOS_GRID!$B:$B,0)),""))</f>
        <v/>
      </c>
      <c r="C9" s="57">
        <f>IF($A9="","",IFERROR(INDEX(RESULTADOS_GRID!$E:$E,MATCH($A9,RESULTADOS_GRID!$B:$B,0)),""))</f>
        <v/>
      </c>
      <c r="D9" s="57">
        <f>IF($A9="","",IFERROR(INDEX(RESULTADOS_GRID!$D:$D,MATCH($A9,RESULTADOS_GRID!$B:$B,0)),""))</f>
        <v/>
      </c>
      <c r="E9" s="57">
        <f>IF($A9="","",COUNTIF(RESULTADOS_GRID!$B:$B,$A9))</f>
        <v/>
      </c>
      <c r="F9" s="54">
        <f>IF($A9="","",SUMIF(RESULTADOS_GRID!$B:$B,$A9,RESULTADOS_GRID!$X:$X))</f>
        <v/>
      </c>
      <c r="G9" s="53" t="n"/>
      <c r="H9" s="58">
        <f>CONFIG_REFERENCIA!$E$7</f>
        <v/>
      </c>
      <c r="I9" s="54">
        <f>IF($A9="","",$F9+N($G9)*$H9)</f>
        <v/>
      </c>
      <c r="J9" s="54">
        <f>IF($A9="","",IF((COUNTIFS(RESULTADOS_GRID!$B:$B,$A9,RESULTADOS_GRID!$Y:$Y,"&gt;=0")+COUNTIFS(RESULTADOS_GRID!$B:$B,$A9,RESULTADOS_GRID!$Y:$Y,"&lt;0"))=0,"",SUMIF(RESULTADOS_GRID!$B:$B,$A9,RESULTADOS_GRID!$Y:$Y)/(COUNTIFS(RESULTADOS_GRID!$B:$B,$A9,RESULTADOS_GRID!$Y:$Y,"&gt;=0")+COUNTIFS(RESULTADOS_GRID!$B:$B,$A9,RESULTADOS_GRID!$Y:$Y,"&lt;0"))))</f>
        <v/>
      </c>
      <c r="K9" s="54">
        <f>IF($A9="","",IF((COUNTIFS(RESULTADOS_GRID!$B:$B,$A9,RESULTADOS_GRID!$Z:$Z,"&gt;=0")+COUNTIFS(RESULTADOS_GRID!$B:$B,$A9,RESULTADOS_GRID!$Z:$Z,"&lt;0"))=0,"",SUMIF(RESULTADOS_GRID!$B:$B,$A9,RESULTADOS_GRID!$Z:$Z)/(COUNTIFS(RESULTADOS_GRID!$B:$B,$A9,RESULTADOS_GRID!$Z:$Z,"&gt;=0")+COUNTIFS(RESULTADOS_GRID!$B:$B,$A9,RESULTADOS_GRID!$Z:$Z,"&lt;0"))))</f>
        <v/>
      </c>
      <c r="L9" s="51">
        <f>IF($A9="","",IF((COUNTIFS(RESULTADOS_GRID!$B:$B,$A9,RESULTADOS_GRID!$AA:$AA,"&gt;=0")+COUNTIFS(RESULTADOS_GRID!$B:$B,$A9,RESULTADOS_GRID!$AA:$AA,"&lt;0"))=0,"",SUMIF(RESULTADOS_GRID!$B:$B,$A9,RESULTADOS_GRID!$AA:$AA)/(COUNTIFS(RESULTADOS_GRID!$B:$B,$A9,RESULTADOS_GRID!$AA:$AA,"&gt;=0")+COUNTIFS(RESULTADOS_GRID!$B:$B,$A9,RESULTADOS_GRID!$AA:$AA,"&lt;0"))))</f>
        <v/>
      </c>
      <c r="M9" s="51">
        <f>IF($A9="","",IF((COUNTIFS(RESULTADOS_GRID!$B:$B,$A9,RESULTADOS_GRID!$AB:$AB,"&gt;=0")+COUNTIFS(RESULTADOS_GRID!$B:$B,$A9,RESULTADOS_GRID!$AB:$AB,"&lt;0"))=0,"",SUMIF(RESULTADOS_GRID!$B:$B,$A9,RESULTADOS_GRID!$AB:$AB)/(COUNTIFS(RESULTADOS_GRID!$B:$B,$A9,RESULTADOS_GRID!$AB:$AB,"&gt;=0")+COUNTIFS(RESULTADOS_GRID!$B:$B,$A9,RESULTADOS_GRID!$AB:$AB,"&lt;0"))))</f>
        <v/>
      </c>
      <c r="N9" s="49" t="n"/>
      <c r="O9" s="57">
        <f>IF($I9="","",COUNTIFS($I$2:$I$101,"&lt;"&amp;$I9)+1)</f>
        <v/>
      </c>
      <c r="P9" s="49" t="n"/>
      <c r="Q9" s="49" t="n"/>
      <c r="R9" s="49" t="n"/>
      <c r="S9" s="49" t="n"/>
      <c r="T9" s="49" t="n"/>
      <c r="U9" s="49" t="n"/>
      <c r="V9" s="49" t="n"/>
      <c r="W9" s="49" t="n"/>
      <c r="X9" s="49" t="n"/>
      <c r="Y9" s="49" t="n"/>
      <c r="Z9" s="49" t="n"/>
      <c r="AA9" s="49" t="n"/>
      <c r="AB9" s="49" t="n"/>
      <c r="AC9" s="49" t="n"/>
      <c r="AD9" s="49" t="n"/>
      <c r="AE9" s="49" t="n"/>
      <c r="AF9" s="49" t="n"/>
      <c r="AG9" s="49" t="n"/>
      <c r="AH9" s="49" t="n"/>
      <c r="AI9" s="49" t="n"/>
      <c r="AJ9" s="49" t="n"/>
      <c r="AK9" s="49" t="n"/>
    </row>
    <row r="10" ht="15" customHeight="1" s="27">
      <c r="A10" s="49" t="inlineStr">
        <is>
          <t>E9_v1</t>
        </is>
      </c>
      <c r="B10" s="57">
        <f>IF($A10="","",IFERROR(INDEX(RESULTADOS_GRID!$C:$C,MATCH($A10,RESULTADOS_GRID!$B:$B,0)),""))</f>
        <v/>
      </c>
      <c r="C10" s="57">
        <f>IF($A10="","",IFERROR(INDEX(RESULTADOS_GRID!$E:$E,MATCH($A10,RESULTADOS_GRID!$B:$B,0)),""))</f>
        <v/>
      </c>
      <c r="D10" s="57">
        <f>IF($A10="","",IFERROR(INDEX(RESULTADOS_GRID!$D:$D,MATCH($A10,RESULTADOS_GRID!$B:$B,0)),""))</f>
        <v/>
      </c>
      <c r="E10" s="57">
        <f>IF($A10="","",COUNTIF(RESULTADOS_GRID!$B:$B,$A10))</f>
        <v/>
      </c>
      <c r="F10" s="54">
        <f>IF($A10="","",SUMIF(RESULTADOS_GRID!$B:$B,$A10,RESULTADOS_GRID!$X:$X))</f>
        <v/>
      </c>
      <c r="G10" s="53" t="n"/>
      <c r="H10" s="58">
        <f>CONFIG_REFERENCIA!$E$7</f>
        <v/>
      </c>
      <c r="I10" s="54">
        <f>IF($A10="","",$F10+N($G10)*$H10)</f>
        <v/>
      </c>
      <c r="J10" s="54">
        <f>IF($A10="","",IF((COUNTIFS(RESULTADOS_GRID!$B:$B,$A10,RESULTADOS_GRID!$Y:$Y,"&gt;=0")+COUNTIFS(RESULTADOS_GRID!$B:$B,$A10,RESULTADOS_GRID!$Y:$Y,"&lt;0"))=0,"",SUMIF(RESULTADOS_GRID!$B:$B,$A10,RESULTADOS_GRID!$Y:$Y)/(COUNTIFS(RESULTADOS_GRID!$B:$B,$A10,RESULTADOS_GRID!$Y:$Y,"&gt;=0")+COUNTIFS(RESULTADOS_GRID!$B:$B,$A10,RESULTADOS_GRID!$Y:$Y,"&lt;0"))))</f>
        <v/>
      </c>
      <c r="K10" s="54">
        <f>IF($A10="","",IF((COUNTIFS(RESULTADOS_GRID!$B:$B,$A10,RESULTADOS_GRID!$Z:$Z,"&gt;=0")+COUNTIFS(RESULTADOS_GRID!$B:$B,$A10,RESULTADOS_GRID!$Z:$Z,"&lt;0"))=0,"",SUMIF(RESULTADOS_GRID!$B:$B,$A10,RESULTADOS_GRID!$Z:$Z)/(COUNTIFS(RESULTADOS_GRID!$B:$B,$A10,RESULTADOS_GRID!$Z:$Z,"&gt;=0")+COUNTIFS(RESULTADOS_GRID!$B:$B,$A10,RESULTADOS_GRID!$Z:$Z,"&lt;0"))))</f>
        <v/>
      </c>
      <c r="L10" s="51">
        <f>IF($A10="","",IF((COUNTIFS(RESULTADOS_GRID!$B:$B,$A10,RESULTADOS_GRID!$AA:$AA,"&gt;=0")+COUNTIFS(RESULTADOS_GRID!$B:$B,$A10,RESULTADOS_GRID!$AA:$AA,"&lt;0"))=0,"",SUMIF(RESULTADOS_GRID!$B:$B,$A10,RESULTADOS_GRID!$AA:$AA)/(COUNTIFS(RESULTADOS_GRID!$B:$B,$A10,RESULTADOS_GRID!$AA:$AA,"&gt;=0")+COUNTIFS(RESULTADOS_GRID!$B:$B,$A10,RESULTADOS_GRID!$AA:$AA,"&lt;0"))))</f>
        <v/>
      </c>
      <c r="M10" s="51">
        <f>IF($A10="","",IF((COUNTIFS(RESULTADOS_GRID!$B:$B,$A10,RESULTADOS_GRID!$AB:$AB,"&gt;=0")+COUNTIFS(RESULTADOS_GRID!$B:$B,$A10,RESULTADOS_GRID!$AB:$AB,"&lt;0"))=0,"",SUMIF(RESULTADOS_GRID!$B:$B,$A10,RESULTADOS_GRID!$AB:$AB)/(COUNTIFS(RESULTADOS_GRID!$B:$B,$A10,RESULTADOS_GRID!$AB:$AB,"&gt;=0")+COUNTIFS(RESULTADOS_GRID!$B:$B,$A10,RESULTADOS_GRID!$AB:$AB,"&lt;0"))))</f>
        <v/>
      </c>
      <c r="N10" s="49" t="n"/>
      <c r="O10" s="57">
        <f>IF($I10="","",COUNTIFS($I$2:$I$101,"&lt;"&amp;$I10)+1)</f>
        <v/>
      </c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9" t="n"/>
      <c r="Z10" s="49" t="n"/>
      <c r="AA10" s="49" t="n"/>
      <c r="AB10" s="49" t="n"/>
      <c r="AC10" s="49" t="n"/>
      <c r="AD10" s="49" t="n"/>
      <c r="AE10" s="49" t="n"/>
      <c r="AF10" s="49" t="n"/>
      <c r="AG10" s="49" t="n"/>
      <c r="AH10" s="49" t="n"/>
      <c r="AI10" s="49" t="n"/>
      <c r="AJ10" s="49" t="n"/>
      <c r="AK10" s="49" t="n"/>
    </row>
    <row r="11" ht="26.5" customHeight="1" s="27">
      <c r="A11" s="49" t="inlineStr">
        <is>
          <t>E10_v1</t>
        </is>
      </c>
      <c r="B11" s="57">
        <f>IF($A11="","",IFERROR(INDEX(RESULTADOS_GRID!$C:$C,MATCH($A11,RESULTADOS_GRID!$B:$B,0)),""))</f>
        <v/>
      </c>
      <c r="C11" s="57">
        <f>IF($A11="","",IFERROR(INDEX(RESULTADOS_GRID!$E:$E,MATCH($A11,RESULTADOS_GRID!$B:$B,0)),""))</f>
        <v/>
      </c>
      <c r="D11" s="57">
        <f>IF($A11="","",IFERROR(INDEX(RESULTADOS_GRID!$D:$D,MATCH($A11,RESULTADOS_GRID!$B:$B,0)),""))</f>
        <v/>
      </c>
      <c r="E11" s="57">
        <f>IF($A11="","",COUNTIF(RESULTADOS_GRID!$B:$B,$A11))</f>
        <v/>
      </c>
      <c r="F11" s="54">
        <f>IF($A11="","",SUMIF(RESULTADOS_GRID!$B:$B,$A11,RESULTADOS_GRID!$X:$X))</f>
        <v/>
      </c>
      <c r="G11" s="53" t="n"/>
      <c r="H11" s="58">
        <f>CONFIG_REFERENCIA!$E$7</f>
        <v/>
      </c>
      <c r="I11" s="54">
        <f>IF($A11="","",$F11+N($G11)*$H11)</f>
        <v/>
      </c>
      <c r="J11" s="54">
        <f>IF($A11="","",IF((COUNTIFS(RESULTADOS_GRID!$B:$B,$A11,RESULTADOS_GRID!$Y:$Y,"&gt;=0")+COUNTIFS(RESULTADOS_GRID!$B:$B,$A11,RESULTADOS_GRID!$Y:$Y,"&lt;0"))=0,"",SUMIF(RESULTADOS_GRID!$B:$B,$A11,RESULTADOS_GRID!$Y:$Y)/(COUNTIFS(RESULTADOS_GRID!$B:$B,$A11,RESULTADOS_GRID!$Y:$Y,"&gt;=0")+COUNTIFS(RESULTADOS_GRID!$B:$B,$A11,RESULTADOS_GRID!$Y:$Y,"&lt;0"))))</f>
        <v/>
      </c>
      <c r="K11" s="54">
        <f>IF($A11="","",IF((COUNTIFS(RESULTADOS_GRID!$B:$B,$A11,RESULTADOS_GRID!$Z:$Z,"&gt;=0")+COUNTIFS(RESULTADOS_GRID!$B:$B,$A11,RESULTADOS_GRID!$Z:$Z,"&lt;0"))=0,"",SUMIF(RESULTADOS_GRID!$B:$B,$A11,RESULTADOS_GRID!$Z:$Z)/(COUNTIFS(RESULTADOS_GRID!$B:$B,$A11,RESULTADOS_GRID!$Z:$Z,"&gt;=0")+COUNTIFS(RESULTADOS_GRID!$B:$B,$A11,RESULTADOS_GRID!$Z:$Z,"&lt;0"))))</f>
        <v/>
      </c>
      <c r="L11" s="51">
        <f>IF($A11="","",IF((COUNTIFS(RESULTADOS_GRID!$B:$B,$A11,RESULTADOS_GRID!$AA:$AA,"&gt;=0")+COUNTIFS(RESULTADOS_GRID!$B:$B,$A11,RESULTADOS_GRID!$AA:$AA,"&lt;0"))=0,"",SUMIF(RESULTADOS_GRID!$B:$B,$A11,RESULTADOS_GRID!$AA:$AA)/(COUNTIFS(RESULTADOS_GRID!$B:$B,$A11,RESULTADOS_GRID!$AA:$AA,"&gt;=0")+COUNTIFS(RESULTADOS_GRID!$B:$B,$A11,RESULTADOS_GRID!$AA:$AA,"&lt;0"))))</f>
        <v/>
      </c>
      <c r="M11" s="51">
        <f>IF($A11="","",IF((COUNTIFS(RESULTADOS_GRID!$B:$B,$A11,RESULTADOS_GRID!$AB:$AB,"&gt;=0")+COUNTIFS(RESULTADOS_GRID!$B:$B,$A11,RESULTADOS_GRID!$AB:$AB,"&lt;0"))=0,"",SUMIF(RESULTADOS_GRID!$B:$B,$A11,RESULTADOS_GRID!$AB:$AB)/(COUNTIFS(RESULTADOS_GRID!$B:$B,$A11,RESULTADOS_GRID!$AB:$AB,"&gt;=0")+COUNTIFS(RESULTADOS_GRID!$B:$B,$A11,RESULTADOS_GRID!$AB:$AB,"&lt;0"))))</f>
        <v/>
      </c>
      <c r="N11" s="49" t="n"/>
      <c r="O11" s="57">
        <f>IF($I11="","",COUNTIFS($I$2:$I$101,"&lt;"&amp;$I11)+1)</f>
        <v/>
      </c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9" t="n"/>
      <c r="Z11" s="49" t="n"/>
      <c r="AA11" s="49" t="n"/>
      <c r="AB11" s="49" t="n"/>
      <c r="AC11" s="49" t="n"/>
      <c r="AD11" s="49" t="n"/>
      <c r="AE11" s="49" t="n"/>
      <c r="AF11" s="49" t="n"/>
      <c r="AG11" s="49" t="n"/>
      <c r="AH11" s="49" t="n"/>
      <c r="AI11" s="49" t="n"/>
      <c r="AJ11" s="49" t="n"/>
      <c r="AK11" s="49" t="n"/>
    </row>
    <row r="12" ht="15" customHeight="1" s="27">
      <c r="A12" s="49" t="n"/>
      <c r="B12" s="57">
        <f>IF($A12="","",IFERROR(INDEX(RESULTADOS_GRID!$C:$C,MATCH($A12,RESULTADOS_GRID!$B:$B,0)),""))</f>
        <v/>
      </c>
      <c r="C12" s="57">
        <f>IF($A12="","",IFERROR(INDEX(RESULTADOS_GRID!$E:$E,MATCH($A12,RESULTADOS_GRID!$B:$B,0)),""))</f>
        <v/>
      </c>
      <c r="D12" s="57">
        <f>IF($A12="","",IFERROR(INDEX(RESULTADOS_GRID!$D:$D,MATCH($A12,RESULTADOS_GRID!$B:$B,0)),""))</f>
        <v/>
      </c>
      <c r="E12" s="57">
        <f>IF($A12="","",COUNTIF(RESULTADOS_GRID!$B:$B,$A12))</f>
        <v/>
      </c>
      <c r="F12" s="54">
        <f>IF($A12="","",SUMIF(RESULTADOS_GRID!$B:$B,$A12,RESULTADOS_GRID!$X:$X))</f>
        <v/>
      </c>
      <c r="G12" s="53" t="n"/>
      <c r="H12" s="58">
        <f>CONFIG_REFERENCIA!$E$7</f>
        <v/>
      </c>
      <c r="I12" s="54">
        <f>IF($A12="","",$F12+N($G12)*$H12)</f>
        <v/>
      </c>
      <c r="J12" s="54">
        <f>IF($A12="","",IF((COUNTIFS(RESULTADOS_GRID!$B:$B,$A12,RESULTADOS_GRID!$Y:$Y,"&gt;=0")+COUNTIFS(RESULTADOS_GRID!$B:$B,$A12,RESULTADOS_GRID!$Y:$Y,"&lt;0"))=0,"",SUMIF(RESULTADOS_GRID!$B:$B,$A12,RESULTADOS_GRID!$Y:$Y)/(COUNTIFS(RESULTADOS_GRID!$B:$B,$A12,RESULTADOS_GRID!$Y:$Y,"&gt;=0")+COUNTIFS(RESULTADOS_GRID!$B:$B,$A12,RESULTADOS_GRID!$Y:$Y,"&lt;0"))))</f>
        <v/>
      </c>
      <c r="K12" s="54">
        <f>IF($A12="","",IF((COUNTIFS(RESULTADOS_GRID!$B:$B,$A12,RESULTADOS_GRID!$Z:$Z,"&gt;=0")+COUNTIFS(RESULTADOS_GRID!$B:$B,$A12,RESULTADOS_GRID!$Z:$Z,"&lt;0"))=0,"",SUMIF(RESULTADOS_GRID!$B:$B,$A12,RESULTADOS_GRID!$Z:$Z)/(COUNTIFS(RESULTADOS_GRID!$B:$B,$A12,RESULTADOS_GRID!$Z:$Z,"&gt;=0")+COUNTIFS(RESULTADOS_GRID!$B:$B,$A12,RESULTADOS_GRID!$Z:$Z,"&lt;0"))))</f>
        <v/>
      </c>
      <c r="L12" s="51">
        <f>IF($A12="","",IF((COUNTIFS(RESULTADOS_GRID!$B:$B,$A12,RESULTADOS_GRID!$AA:$AA,"&gt;=0")+COUNTIFS(RESULTADOS_GRID!$B:$B,$A12,RESULTADOS_GRID!$AA:$AA,"&lt;0"))=0,"",SUMIF(RESULTADOS_GRID!$B:$B,$A12,RESULTADOS_GRID!$AA:$AA)/(COUNTIFS(RESULTADOS_GRID!$B:$B,$A12,RESULTADOS_GRID!$AA:$AA,"&gt;=0")+COUNTIFS(RESULTADOS_GRID!$B:$B,$A12,RESULTADOS_GRID!$AA:$AA,"&lt;0"))))</f>
        <v/>
      </c>
      <c r="M12" s="51">
        <f>IF($A12="","",IF((COUNTIFS(RESULTADOS_GRID!$B:$B,$A12,RESULTADOS_GRID!$AB:$AB,"&gt;=0")+COUNTIFS(RESULTADOS_GRID!$B:$B,$A12,RESULTADOS_GRID!$AB:$AB,"&lt;0"))=0,"",SUMIF(RESULTADOS_GRID!$B:$B,$A12,RESULTADOS_GRID!$AB:$AB)/(COUNTIFS(RESULTADOS_GRID!$B:$B,$A12,RESULTADOS_GRID!$AB:$AB,"&gt;=0")+COUNTIFS(RESULTADOS_GRID!$B:$B,$A12,RESULTADOS_GRID!$AB:$AB,"&lt;0"))))</f>
        <v/>
      </c>
      <c r="N12" s="49" t="n"/>
      <c r="O12" s="57">
        <f>IF($I12="","",COUNTIFS($I$2:$I$101,"&lt;"&amp;$I12)+1)</f>
        <v/>
      </c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9" t="n"/>
      <c r="Z12" s="49" t="n"/>
      <c r="AA12" s="49" t="n"/>
      <c r="AB12" s="49" t="n"/>
      <c r="AC12" s="49" t="n"/>
      <c r="AD12" s="49" t="n"/>
      <c r="AE12" s="49" t="n"/>
      <c r="AF12" s="49" t="n"/>
      <c r="AG12" s="49" t="n"/>
      <c r="AH12" s="49" t="n"/>
      <c r="AI12" s="49" t="n"/>
      <c r="AJ12" s="49" t="n"/>
      <c r="AK12" s="49" t="n"/>
    </row>
    <row r="13" ht="15" customHeight="1" s="27">
      <c r="A13" s="49" t="n"/>
      <c r="B13" s="57">
        <f>IF($A13="","",IFERROR(INDEX(RESULTADOS_GRID!$C:$C,MATCH($A13,RESULTADOS_GRID!$B:$B,0)),""))</f>
        <v/>
      </c>
      <c r="C13" s="57">
        <f>IF($A13="","",IFERROR(INDEX(RESULTADOS_GRID!$E:$E,MATCH($A13,RESULTADOS_GRID!$B:$B,0)),""))</f>
        <v/>
      </c>
      <c r="D13" s="57">
        <f>IF($A13="","",IFERROR(INDEX(RESULTADOS_GRID!$D:$D,MATCH($A13,RESULTADOS_GRID!$B:$B,0)),""))</f>
        <v/>
      </c>
      <c r="E13" s="57">
        <f>IF($A13="","",COUNTIF(RESULTADOS_GRID!$B:$B,$A13))</f>
        <v/>
      </c>
      <c r="F13" s="54">
        <f>IF($A13="","",SUMIF(RESULTADOS_GRID!$B:$B,$A13,RESULTADOS_GRID!$X:$X))</f>
        <v/>
      </c>
      <c r="G13" s="53" t="n"/>
      <c r="H13" s="58">
        <f>CONFIG_REFERENCIA!$E$7</f>
        <v/>
      </c>
      <c r="I13" s="54">
        <f>IF($A13="","",$F13+N($G13)*$H13)</f>
        <v/>
      </c>
      <c r="J13" s="54">
        <f>IF($A13="","",IF((COUNTIFS(RESULTADOS_GRID!$B:$B,$A13,RESULTADOS_GRID!$Y:$Y,"&gt;=0")+COUNTIFS(RESULTADOS_GRID!$B:$B,$A13,RESULTADOS_GRID!$Y:$Y,"&lt;0"))=0,"",SUMIF(RESULTADOS_GRID!$B:$B,$A13,RESULTADOS_GRID!$Y:$Y)/(COUNTIFS(RESULTADOS_GRID!$B:$B,$A13,RESULTADOS_GRID!$Y:$Y,"&gt;=0")+COUNTIFS(RESULTADOS_GRID!$B:$B,$A13,RESULTADOS_GRID!$Y:$Y,"&lt;0"))))</f>
        <v/>
      </c>
      <c r="K13" s="54">
        <f>IF($A13="","",IF((COUNTIFS(RESULTADOS_GRID!$B:$B,$A13,RESULTADOS_GRID!$Z:$Z,"&gt;=0")+COUNTIFS(RESULTADOS_GRID!$B:$B,$A13,RESULTADOS_GRID!$Z:$Z,"&lt;0"))=0,"",SUMIF(RESULTADOS_GRID!$B:$B,$A13,RESULTADOS_GRID!$Z:$Z)/(COUNTIFS(RESULTADOS_GRID!$B:$B,$A13,RESULTADOS_GRID!$Z:$Z,"&gt;=0")+COUNTIFS(RESULTADOS_GRID!$B:$B,$A13,RESULTADOS_GRID!$Z:$Z,"&lt;0"))))</f>
        <v/>
      </c>
      <c r="L13" s="51">
        <f>IF($A13="","",IF((COUNTIFS(RESULTADOS_GRID!$B:$B,$A13,RESULTADOS_GRID!$AA:$AA,"&gt;=0")+COUNTIFS(RESULTADOS_GRID!$B:$B,$A13,RESULTADOS_GRID!$AA:$AA,"&lt;0"))=0,"",SUMIF(RESULTADOS_GRID!$B:$B,$A13,RESULTADOS_GRID!$AA:$AA)/(COUNTIFS(RESULTADOS_GRID!$B:$B,$A13,RESULTADOS_GRID!$AA:$AA,"&gt;=0")+COUNTIFS(RESULTADOS_GRID!$B:$B,$A13,RESULTADOS_GRID!$AA:$AA,"&lt;0"))))</f>
        <v/>
      </c>
      <c r="M13" s="51">
        <f>IF($A13="","",IF((COUNTIFS(RESULTADOS_GRID!$B:$B,$A13,RESULTADOS_GRID!$AB:$AB,"&gt;=0")+COUNTIFS(RESULTADOS_GRID!$B:$B,$A13,RESULTADOS_GRID!$AB:$AB,"&lt;0"))=0,"",SUMIF(RESULTADOS_GRID!$B:$B,$A13,RESULTADOS_GRID!$AB:$AB)/(COUNTIFS(RESULTADOS_GRID!$B:$B,$A13,RESULTADOS_GRID!$AB:$AB,"&gt;=0")+COUNTIFS(RESULTADOS_GRID!$B:$B,$A13,RESULTADOS_GRID!$AB:$AB,"&lt;0"))))</f>
        <v/>
      </c>
      <c r="N13" s="49" t="n"/>
      <c r="O13" s="57">
        <f>IF($I13="","",COUNTIFS($I$2:$I$101,"&lt;"&amp;$I13)+1)</f>
        <v/>
      </c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9" t="n"/>
      <c r="Z13" s="49" t="n"/>
      <c r="AA13" s="49" t="n"/>
      <c r="AB13" s="49" t="n"/>
      <c r="AC13" s="49" t="n"/>
      <c r="AD13" s="49" t="n"/>
      <c r="AE13" s="49" t="n"/>
      <c r="AF13" s="49" t="n"/>
      <c r="AG13" s="49" t="n"/>
      <c r="AH13" s="49" t="n"/>
      <c r="AI13" s="49" t="n"/>
      <c r="AJ13" s="49" t="n"/>
      <c r="AK13" s="49" t="n"/>
    </row>
    <row r="14" ht="15" customHeight="1" s="27">
      <c r="A14" s="49" t="n"/>
      <c r="B14" s="57">
        <f>IF($A14="","",IFERROR(INDEX(RESULTADOS_GRID!$C:$C,MATCH($A14,RESULTADOS_GRID!$B:$B,0)),""))</f>
        <v/>
      </c>
      <c r="C14" s="57">
        <f>IF($A14="","",IFERROR(INDEX(RESULTADOS_GRID!$E:$E,MATCH($A14,RESULTADOS_GRID!$B:$B,0)),""))</f>
        <v/>
      </c>
      <c r="D14" s="57">
        <f>IF($A14="","",IFERROR(INDEX(RESULTADOS_GRID!$D:$D,MATCH($A14,RESULTADOS_GRID!$B:$B,0)),""))</f>
        <v/>
      </c>
      <c r="E14" s="57">
        <f>IF($A14="","",COUNTIF(RESULTADOS_GRID!$B:$B,$A14))</f>
        <v/>
      </c>
      <c r="F14" s="54">
        <f>IF($A14="","",SUMIF(RESULTADOS_GRID!$B:$B,$A14,RESULTADOS_GRID!$X:$X))</f>
        <v/>
      </c>
      <c r="G14" s="53" t="n"/>
      <c r="H14" s="58">
        <f>CONFIG_REFERENCIA!$E$7</f>
        <v/>
      </c>
      <c r="I14" s="54">
        <f>IF($A14="","",$F14+N($G14)*$H14)</f>
        <v/>
      </c>
      <c r="J14" s="54">
        <f>IF($A14="","",IF((COUNTIFS(RESULTADOS_GRID!$B:$B,$A14,RESULTADOS_GRID!$Y:$Y,"&gt;=0")+COUNTIFS(RESULTADOS_GRID!$B:$B,$A14,RESULTADOS_GRID!$Y:$Y,"&lt;0"))=0,"",SUMIF(RESULTADOS_GRID!$B:$B,$A14,RESULTADOS_GRID!$Y:$Y)/(COUNTIFS(RESULTADOS_GRID!$B:$B,$A14,RESULTADOS_GRID!$Y:$Y,"&gt;=0")+COUNTIFS(RESULTADOS_GRID!$B:$B,$A14,RESULTADOS_GRID!$Y:$Y,"&lt;0"))))</f>
        <v/>
      </c>
      <c r="K14" s="54">
        <f>IF($A14="","",IF((COUNTIFS(RESULTADOS_GRID!$B:$B,$A14,RESULTADOS_GRID!$Z:$Z,"&gt;=0")+COUNTIFS(RESULTADOS_GRID!$B:$B,$A14,RESULTADOS_GRID!$Z:$Z,"&lt;0"))=0,"",SUMIF(RESULTADOS_GRID!$B:$B,$A14,RESULTADOS_GRID!$Z:$Z)/(COUNTIFS(RESULTADOS_GRID!$B:$B,$A14,RESULTADOS_GRID!$Z:$Z,"&gt;=0")+COUNTIFS(RESULTADOS_GRID!$B:$B,$A14,RESULTADOS_GRID!$Z:$Z,"&lt;0"))))</f>
        <v/>
      </c>
      <c r="L14" s="51">
        <f>IF($A14="","",IF((COUNTIFS(RESULTADOS_GRID!$B:$B,$A14,RESULTADOS_GRID!$AA:$AA,"&gt;=0")+COUNTIFS(RESULTADOS_GRID!$B:$B,$A14,RESULTADOS_GRID!$AA:$AA,"&lt;0"))=0,"",SUMIF(RESULTADOS_GRID!$B:$B,$A14,RESULTADOS_GRID!$AA:$AA)/(COUNTIFS(RESULTADOS_GRID!$B:$B,$A14,RESULTADOS_GRID!$AA:$AA,"&gt;=0")+COUNTIFS(RESULTADOS_GRID!$B:$B,$A14,RESULTADOS_GRID!$AA:$AA,"&lt;0"))))</f>
        <v/>
      </c>
      <c r="M14" s="51">
        <f>IF($A14="","",IF((COUNTIFS(RESULTADOS_GRID!$B:$B,$A14,RESULTADOS_GRID!$AB:$AB,"&gt;=0")+COUNTIFS(RESULTADOS_GRID!$B:$B,$A14,RESULTADOS_GRID!$AB:$AB,"&lt;0"))=0,"",SUMIF(RESULTADOS_GRID!$B:$B,$A14,RESULTADOS_GRID!$AB:$AB)/(COUNTIFS(RESULTADOS_GRID!$B:$B,$A14,RESULTADOS_GRID!$AB:$AB,"&gt;=0")+COUNTIFS(RESULTADOS_GRID!$B:$B,$A14,RESULTADOS_GRID!$AB:$AB,"&lt;0"))))</f>
        <v/>
      </c>
      <c r="N14" s="49" t="n"/>
      <c r="O14" s="57">
        <f>IF($I14="","",COUNTIFS($I$2:$I$101,"&lt;"&amp;$I14)+1)</f>
        <v/>
      </c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9" t="n"/>
      <c r="Z14" s="49" t="n"/>
      <c r="AA14" s="49" t="n"/>
      <c r="AB14" s="49" t="n"/>
      <c r="AC14" s="49" t="n"/>
      <c r="AD14" s="49" t="n"/>
      <c r="AE14" s="49" t="n"/>
      <c r="AF14" s="49" t="n"/>
      <c r="AG14" s="49" t="n"/>
      <c r="AH14" s="49" t="n"/>
      <c r="AI14" s="49" t="n"/>
      <c r="AJ14" s="49" t="n"/>
      <c r="AK14" s="49" t="n"/>
    </row>
    <row r="15" ht="15" customHeight="1" s="27">
      <c r="A15" s="49" t="n"/>
      <c r="B15" s="57">
        <f>IF($A15="","",IFERROR(INDEX(RESULTADOS_GRID!$C:$C,MATCH($A15,RESULTADOS_GRID!$B:$B,0)),""))</f>
        <v/>
      </c>
      <c r="C15" s="57">
        <f>IF($A15="","",IFERROR(INDEX(RESULTADOS_GRID!$E:$E,MATCH($A15,RESULTADOS_GRID!$B:$B,0)),""))</f>
        <v/>
      </c>
      <c r="D15" s="57">
        <f>IF($A15="","",IFERROR(INDEX(RESULTADOS_GRID!$D:$D,MATCH($A15,RESULTADOS_GRID!$B:$B,0)),""))</f>
        <v/>
      </c>
      <c r="E15" s="57">
        <f>IF($A15="","",COUNTIF(RESULTADOS_GRID!$B:$B,$A15))</f>
        <v/>
      </c>
      <c r="F15" s="54">
        <f>IF($A15="","",SUMIF(RESULTADOS_GRID!$B:$B,$A15,RESULTADOS_GRID!$X:$X))</f>
        <v/>
      </c>
      <c r="G15" s="53" t="n"/>
      <c r="H15" s="58">
        <f>CONFIG_REFERENCIA!$E$7</f>
        <v/>
      </c>
      <c r="I15" s="54">
        <f>IF($A15="","",$F15+N($G15)*$H15)</f>
        <v/>
      </c>
      <c r="J15" s="54">
        <f>IF($A15="","",IF((COUNTIFS(RESULTADOS_GRID!$B:$B,$A15,RESULTADOS_GRID!$Y:$Y,"&gt;=0")+COUNTIFS(RESULTADOS_GRID!$B:$B,$A15,RESULTADOS_GRID!$Y:$Y,"&lt;0"))=0,"",SUMIF(RESULTADOS_GRID!$B:$B,$A15,RESULTADOS_GRID!$Y:$Y)/(COUNTIFS(RESULTADOS_GRID!$B:$B,$A15,RESULTADOS_GRID!$Y:$Y,"&gt;=0")+COUNTIFS(RESULTADOS_GRID!$B:$B,$A15,RESULTADOS_GRID!$Y:$Y,"&lt;0"))))</f>
        <v/>
      </c>
      <c r="K15" s="54">
        <f>IF($A15="","",IF((COUNTIFS(RESULTADOS_GRID!$B:$B,$A15,RESULTADOS_GRID!$Z:$Z,"&gt;=0")+COUNTIFS(RESULTADOS_GRID!$B:$B,$A15,RESULTADOS_GRID!$Z:$Z,"&lt;0"))=0,"",SUMIF(RESULTADOS_GRID!$B:$B,$A15,RESULTADOS_GRID!$Z:$Z)/(COUNTIFS(RESULTADOS_GRID!$B:$B,$A15,RESULTADOS_GRID!$Z:$Z,"&gt;=0")+COUNTIFS(RESULTADOS_GRID!$B:$B,$A15,RESULTADOS_GRID!$Z:$Z,"&lt;0"))))</f>
        <v/>
      </c>
      <c r="L15" s="51">
        <f>IF($A15="","",IF((COUNTIFS(RESULTADOS_GRID!$B:$B,$A15,RESULTADOS_GRID!$AA:$AA,"&gt;=0")+COUNTIFS(RESULTADOS_GRID!$B:$B,$A15,RESULTADOS_GRID!$AA:$AA,"&lt;0"))=0,"",SUMIF(RESULTADOS_GRID!$B:$B,$A15,RESULTADOS_GRID!$AA:$AA)/(COUNTIFS(RESULTADOS_GRID!$B:$B,$A15,RESULTADOS_GRID!$AA:$AA,"&gt;=0")+COUNTIFS(RESULTADOS_GRID!$B:$B,$A15,RESULTADOS_GRID!$AA:$AA,"&lt;0"))))</f>
        <v/>
      </c>
      <c r="M15" s="51">
        <f>IF($A15="","",IF((COUNTIFS(RESULTADOS_GRID!$B:$B,$A15,RESULTADOS_GRID!$AB:$AB,"&gt;=0")+COUNTIFS(RESULTADOS_GRID!$B:$B,$A15,RESULTADOS_GRID!$AB:$AB,"&lt;0"))=0,"",SUMIF(RESULTADOS_GRID!$B:$B,$A15,RESULTADOS_GRID!$AB:$AB)/(COUNTIFS(RESULTADOS_GRID!$B:$B,$A15,RESULTADOS_GRID!$AB:$AB,"&gt;=0")+COUNTIFS(RESULTADOS_GRID!$B:$B,$A15,RESULTADOS_GRID!$AB:$AB,"&lt;0"))))</f>
        <v/>
      </c>
      <c r="N15" s="49" t="n"/>
      <c r="O15" s="57">
        <f>IF($I15="","",COUNTIFS($I$2:$I$101,"&lt;"&amp;$I15)+1)</f>
        <v/>
      </c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9" t="n"/>
      <c r="Z15" s="49" t="n"/>
      <c r="AA15" s="49" t="n"/>
      <c r="AB15" s="49" t="n"/>
      <c r="AC15" s="49" t="n"/>
      <c r="AD15" s="49" t="n"/>
      <c r="AE15" s="49" t="n"/>
      <c r="AF15" s="49" t="n"/>
      <c r="AG15" s="49" t="n"/>
      <c r="AH15" s="49" t="n"/>
      <c r="AI15" s="49" t="n"/>
      <c r="AJ15" s="49" t="n"/>
      <c r="AK15" s="49" t="n"/>
    </row>
    <row r="16" ht="15" customHeight="1" s="27">
      <c r="A16" s="49" t="n"/>
      <c r="B16" s="57">
        <f>IF($A16="","",IFERROR(INDEX(RESULTADOS_GRID!$C:$C,MATCH($A16,RESULTADOS_GRID!$B:$B,0)),""))</f>
        <v/>
      </c>
      <c r="C16" s="57">
        <f>IF($A16="","",IFERROR(INDEX(RESULTADOS_GRID!$E:$E,MATCH($A16,RESULTADOS_GRID!$B:$B,0)),""))</f>
        <v/>
      </c>
      <c r="D16" s="57">
        <f>IF($A16="","",IFERROR(INDEX(RESULTADOS_GRID!$D:$D,MATCH($A16,RESULTADOS_GRID!$B:$B,0)),""))</f>
        <v/>
      </c>
      <c r="E16" s="57">
        <f>IF($A16="","",COUNTIF(RESULTADOS_GRID!$B:$B,$A16))</f>
        <v/>
      </c>
      <c r="F16" s="54">
        <f>IF($A16="","",SUMIF(RESULTADOS_GRID!$B:$B,$A16,RESULTADOS_GRID!$X:$X))</f>
        <v/>
      </c>
      <c r="G16" s="53" t="n"/>
      <c r="H16" s="58">
        <f>CONFIG_REFERENCIA!$E$7</f>
        <v/>
      </c>
      <c r="I16" s="54">
        <f>IF($A16="","",$F16+N($G16)*$H16)</f>
        <v/>
      </c>
      <c r="J16" s="54">
        <f>IF($A16="","",IF((COUNTIFS(RESULTADOS_GRID!$B:$B,$A16,RESULTADOS_GRID!$Y:$Y,"&gt;=0")+COUNTIFS(RESULTADOS_GRID!$B:$B,$A16,RESULTADOS_GRID!$Y:$Y,"&lt;0"))=0,"",SUMIF(RESULTADOS_GRID!$B:$B,$A16,RESULTADOS_GRID!$Y:$Y)/(COUNTIFS(RESULTADOS_GRID!$B:$B,$A16,RESULTADOS_GRID!$Y:$Y,"&gt;=0")+COUNTIFS(RESULTADOS_GRID!$B:$B,$A16,RESULTADOS_GRID!$Y:$Y,"&lt;0"))))</f>
        <v/>
      </c>
      <c r="K16" s="54">
        <f>IF($A16="","",IF((COUNTIFS(RESULTADOS_GRID!$B:$B,$A16,RESULTADOS_GRID!$Z:$Z,"&gt;=0")+COUNTIFS(RESULTADOS_GRID!$B:$B,$A16,RESULTADOS_GRID!$Z:$Z,"&lt;0"))=0,"",SUMIF(RESULTADOS_GRID!$B:$B,$A16,RESULTADOS_GRID!$Z:$Z)/(COUNTIFS(RESULTADOS_GRID!$B:$B,$A16,RESULTADOS_GRID!$Z:$Z,"&gt;=0")+COUNTIFS(RESULTADOS_GRID!$B:$B,$A16,RESULTADOS_GRID!$Z:$Z,"&lt;0"))))</f>
        <v/>
      </c>
      <c r="L16" s="51">
        <f>IF($A16="","",IF((COUNTIFS(RESULTADOS_GRID!$B:$B,$A16,RESULTADOS_GRID!$AA:$AA,"&gt;=0")+COUNTIFS(RESULTADOS_GRID!$B:$B,$A16,RESULTADOS_GRID!$AA:$AA,"&lt;0"))=0,"",SUMIF(RESULTADOS_GRID!$B:$B,$A16,RESULTADOS_GRID!$AA:$AA)/(COUNTIFS(RESULTADOS_GRID!$B:$B,$A16,RESULTADOS_GRID!$AA:$AA,"&gt;=0")+COUNTIFS(RESULTADOS_GRID!$B:$B,$A16,RESULTADOS_GRID!$AA:$AA,"&lt;0"))))</f>
        <v/>
      </c>
      <c r="M16" s="51">
        <f>IF($A16="","",IF((COUNTIFS(RESULTADOS_GRID!$B:$B,$A16,RESULTADOS_GRID!$AB:$AB,"&gt;=0")+COUNTIFS(RESULTADOS_GRID!$B:$B,$A16,RESULTADOS_GRID!$AB:$AB,"&lt;0"))=0,"",SUMIF(RESULTADOS_GRID!$B:$B,$A16,RESULTADOS_GRID!$AB:$AB)/(COUNTIFS(RESULTADOS_GRID!$B:$B,$A16,RESULTADOS_GRID!$AB:$AB,"&gt;=0")+COUNTIFS(RESULTADOS_GRID!$B:$B,$A16,RESULTADOS_GRID!$AB:$AB,"&lt;0"))))</f>
        <v/>
      </c>
      <c r="N16" s="49" t="n"/>
      <c r="O16" s="57">
        <f>IF($I16="","",COUNTIFS($I$2:$I$101,"&lt;"&amp;$I16)+1)</f>
        <v/>
      </c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9" t="n"/>
      <c r="Z16" s="49" t="n"/>
      <c r="AA16" s="49" t="n"/>
      <c r="AB16" s="49" t="n"/>
      <c r="AC16" s="49" t="n"/>
      <c r="AD16" s="49" t="n"/>
      <c r="AE16" s="49" t="n"/>
      <c r="AF16" s="49" t="n"/>
      <c r="AG16" s="49" t="n"/>
      <c r="AH16" s="49" t="n"/>
      <c r="AI16" s="49" t="n"/>
      <c r="AJ16" s="49" t="n"/>
      <c r="AK16" s="49" t="n"/>
    </row>
    <row r="17" ht="15" customHeight="1" s="27">
      <c r="A17" s="49" t="n"/>
      <c r="B17" s="57">
        <f>IF($A17="","",IFERROR(INDEX(RESULTADOS_GRID!$C:$C,MATCH($A17,RESULTADOS_GRID!$B:$B,0)),""))</f>
        <v/>
      </c>
      <c r="C17" s="57">
        <f>IF($A17="","",IFERROR(INDEX(RESULTADOS_GRID!$E:$E,MATCH($A17,RESULTADOS_GRID!$B:$B,0)),""))</f>
        <v/>
      </c>
      <c r="D17" s="57">
        <f>IF($A17="","",IFERROR(INDEX(RESULTADOS_GRID!$D:$D,MATCH($A17,RESULTADOS_GRID!$B:$B,0)),""))</f>
        <v/>
      </c>
      <c r="E17" s="57">
        <f>IF($A17="","",COUNTIF(RESULTADOS_GRID!$B:$B,$A17))</f>
        <v/>
      </c>
      <c r="F17" s="54">
        <f>IF($A17="","",SUMIF(RESULTADOS_GRID!$B:$B,$A17,RESULTADOS_GRID!$X:$X))</f>
        <v/>
      </c>
      <c r="G17" s="53" t="n"/>
      <c r="H17" s="58">
        <f>CONFIG_REFERENCIA!$E$7</f>
        <v/>
      </c>
      <c r="I17" s="54">
        <f>IF($A17="","",$F17+N($G17)*$H17)</f>
        <v/>
      </c>
      <c r="J17" s="54">
        <f>IF($A17="","",IF((COUNTIFS(RESULTADOS_GRID!$B:$B,$A17,RESULTADOS_GRID!$Y:$Y,"&gt;=0")+COUNTIFS(RESULTADOS_GRID!$B:$B,$A17,RESULTADOS_GRID!$Y:$Y,"&lt;0"))=0,"",SUMIF(RESULTADOS_GRID!$B:$B,$A17,RESULTADOS_GRID!$Y:$Y)/(COUNTIFS(RESULTADOS_GRID!$B:$B,$A17,RESULTADOS_GRID!$Y:$Y,"&gt;=0")+COUNTIFS(RESULTADOS_GRID!$B:$B,$A17,RESULTADOS_GRID!$Y:$Y,"&lt;0"))))</f>
        <v/>
      </c>
      <c r="K17" s="54">
        <f>IF($A17="","",IF((COUNTIFS(RESULTADOS_GRID!$B:$B,$A17,RESULTADOS_GRID!$Z:$Z,"&gt;=0")+COUNTIFS(RESULTADOS_GRID!$B:$B,$A17,RESULTADOS_GRID!$Z:$Z,"&lt;0"))=0,"",SUMIF(RESULTADOS_GRID!$B:$B,$A17,RESULTADOS_GRID!$Z:$Z)/(COUNTIFS(RESULTADOS_GRID!$B:$B,$A17,RESULTADOS_GRID!$Z:$Z,"&gt;=0")+COUNTIFS(RESULTADOS_GRID!$B:$B,$A17,RESULTADOS_GRID!$Z:$Z,"&lt;0"))))</f>
        <v/>
      </c>
      <c r="L17" s="51">
        <f>IF($A17="","",IF((COUNTIFS(RESULTADOS_GRID!$B:$B,$A17,RESULTADOS_GRID!$AA:$AA,"&gt;=0")+COUNTIFS(RESULTADOS_GRID!$B:$B,$A17,RESULTADOS_GRID!$AA:$AA,"&lt;0"))=0,"",SUMIF(RESULTADOS_GRID!$B:$B,$A17,RESULTADOS_GRID!$AA:$AA)/(COUNTIFS(RESULTADOS_GRID!$B:$B,$A17,RESULTADOS_GRID!$AA:$AA,"&gt;=0")+COUNTIFS(RESULTADOS_GRID!$B:$B,$A17,RESULTADOS_GRID!$AA:$AA,"&lt;0"))))</f>
        <v/>
      </c>
      <c r="M17" s="51">
        <f>IF($A17="","",IF((COUNTIFS(RESULTADOS_GRID!$B:$B,$A17,RESULTADOS_GRID!$AB:$AB,"&gt;=0")+COUNTIFS(RESULTADOS_GRID!$B:$B,$A17,RESULTADOS_GRID!$AB:$AB,"&lt;0"))=0,"",SUMIF(RESULTADOS_GRID!$B:$B,$A17,RESULTADOS_GRID!$AB:$AB)/(COUNTIFS(RESULTADOS_GRID!$B:$B,$A17,RESULTADOS_GRID!$AB:$AB,"&gt;=0")+COUNTIFS(RESULTADOS_GRID!$B:$B,$A17,RESULTADOS_GRID!$AB:$AB,"&lt;0"))))</f>
        <v/>
      </c>
      <c r="N17" s="49" t="n"/>
      <c r="O17" s="57">
        <f>IF($I17="","",COUNTIFS($I$2:$I$101,"&lt;"&amp;$I17)+1)</f>
        <v/>
      </c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9" t="n"/>
      <c r="Z17" s="49" t="n"/>
      <c r="AA17" s="49" t="n"/>
      <c r="AB17" s="49" t="n"/>
      <c r="AC17" s="49" t="n"/>
      <c r="AD17" s="49" t="n"/>
      <c r="AE17" s="49" t="n"/>
      <c r="AF17" s="49" t="n"/>
      <c r="AG17" s="49" t="n"/>
      <c r="AH17" s="49" t="n"/>
      <c r="AI17" s="49" t="n"/>
      <c r="AJ17" s="49" t="n"/>
      <c r="AK17" s="49" t="n"/>
    </row>
    <row r="18" ht="15" customHeight="1" s="27">
      <c r="A18" s="49" t="n"/>
      <c r="B18" s="57">
        <f>IF($A18="","",IFERROR(INDEX(RESULTADOS_GRID!$C:$C,MATCH($A18,RESULTADOS_GRID!$B:$B,0)),""))</f>
        <v/>
      </c>
      <c r="C18" s="57">
        <f>IF($A18="","",IFERROR(INDEX(RESULTADOS_GRID!$E:$E,MATCH($A18,RESULTADOS_GRID!$B:$B,0)),""))</f>
        <v/>
      </c>
      <c r="D18" s="57">
        <f>IF($A18="","",IFERROR(INDEX(RESULTADOS_GRID!$D:$D,MATCH($A18,RESULTADOS_GRID!$B:$B,0)),""))</f>
        <v/>
      </c>
      <c r="E18" s="57">
        <f>IF($A18="","",COUNTIF(RESULTADOS_GRID!$B:$B,$A18))</f>
        <v/>
      </c>
      <c r="F18" s="54">
        <f>IF($A18="","",SUMIF(RESULTADOS_GRID!$B:$B,$A18,RESULTADOS_GRID!$X:$X))</f>
        <v/>
      </c>
      <c r="G18" s="53" t="n"/>
      <c r="H18" s="58">
        <f>CONFIG_REFERENCIA!$E$7</f>
        <v/>
      </c>
      <c r="I18" s="54">
        <f>IF($A18="","",$F18+N($G18)*$H18)</f>
        <v/>
      </c>
      <c r="J18" s="54">
        <f>IF($A18="","",IF((COUNTIFS(RESULTADOS_GRID!$B:$B,$A18,RESULTADOS_GRID!$Y:$Y,"&gt;=0")+COUNTIFS(RESULTADOS_GRID!$B:$B,$A18,RESULTADOS_GRID!$Y:$Y,"&lt;0"))=0,"",SUMIF(RESULTADOS_GRID!$B:$B,$A18,RESULTADOS_GRID!$Y:$Y)/(COUNTIFS(RESULTADOS_GRID!$B:$B,$A18,RESULTADOS_GRID!$Y:$Y,"&gt;=0")+COUNTIFS(RESULTADOS_GRID!$B:$B,$A18,RESULTADOS_GRID!$Y:$Y,"&lt;0"))))</f>
        <v/>
      </c>
      <c r="K18" s="54">
        <f>IF($A18="","",IF((COUNTIFS(RESULTADOS_GRID!$B:$B,$A18,RESULTADOS_GRID!$Z:$Z,"&gt;=0")+COUNTIFS(RESULTADOS_GRID!$B:$B,$A18,RESULTADOS_GRID!$Z:$Z,"&lt;0"))=0,"",SUMIF(RESULTADOS_GRID!$B:$B,$A18,RESULTADOS_GRID!$Z:$Z)/(COUNTIFS(RESULTADOS_GRID!$B:$B,$A18,RESULTADOS_GRID!$Z:$Z,"&gt;=0")+COUNTIFS(RESULTADOS_GRID!$B:$B,$A18,RESULTADOS_GRID!$Z:$Z,"&lt;0"))))</f>
        <v/>
      </c>
      <c r="L18" s="51">
        <f>IF($A18="","",IF((COUNTIFS(RESULTADOS_GRID!$B:$B,$A18,RESULTADOS_GRID!$AA:$AA,"&gt;=0")+COUNTIFS(RESULTADOS_GRID!$B:$B,$A18,RESULTADOS_GRID!$AA:$AA,"&lt;0"))=0,"",SUMIF(RESULTADOS_GRID!$B:$B,$A18,RESULTADOS_GRID!$AA:$AA)/(COUNTIFS(RESULTADOS_GRID!$B:$B,$A18,RESULTADOS_GRID!$AA:$AA,"&gt;=0")+COUNTIFS(RESULTADOS_GRID!$B:$B,$A18,RESULTADOS_GRID!$AA:$AA,"&lt;0"))))</f>
        <v/>
      </c>
      <c r="M18" s="51">
        <f>IF($A18="","",IF((COUNTIFS(RESULTADOS_GRID!$B:$B,$A18,RESULTADOS_GRID!$AB:$AB,"&gt;=0")+COUNTIFS(RESULTADOS_GRID!$B:$B,$A18,RESULTADOS_GRID!$AB:$AB,"&lt;0"))=0,"",SUMIF(RESULTADOS_GRID!$B:$B,$A18,RESULTADOS_GRID!$AB:$AB)/(COUNTIFS(RESULTADOS_GRID!$B:$B,$A18,RESULTADOS_GRID!$AB:$AB,"&gt;=0")+COUNTIFS(RESULTADOS_GRID!$B:$B,$A18,RESULTADOS_GRID!$AB:$AB,"&lt;0"))))</f>
        <v/>
      </c>
      <c r="N18" s="49" t="n"/>
      <c r="O18" s="57">
        <f>IF($I18="","",COUNTIFS($I$2:$I$101,"&lt;"&amp;$I18)+1)</f>
        <v/>
      </c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9" t="n"/>
      <c r="Z18" s="49" t="n"/>
      <c r="AA18" s="49" t="n"/>
      <c r="AB18" s="49" t="n"/>
      <c r="AC18" s="49" t="n"/>
      <c r="AD18" s="49" t="n"/>
      <c r="AE18" s="49" t="n"/>
      <c r="AF18" s="49" t="n"/>
      <c r="AG18" s="49" t="n"/>
      <c r="AH18" s="49" t="n"/>
      <c r="AI18" s="49" t="n"/>
      <c r="AJ18" s="49" t="n"/>
      <c r="AK18" s="49" t="n"/>
    </row>
    <row r="19" ht="15" customHeight="1" s="27">
      <c r="A19" s="49" t="n"/>
      <c r="B19" s="57">
        <f>IF($A19="","",IFERROR(INDEX(RESULTADOS_GRID!$C:$C,MATCH($A19,RESULTADOS_GRID!$B:$B,0)),""))</f>
        <v/>
      </c>
      <c r="C19" s="57">
        <f>IF($A19="","",IFERROR(INDEX(RESULTADOS_GRID!$E:$E,MATCH($A19,RESULTADOS_GRID!$B:$B,0)),""))</f>
        <v/>
      </c>
      <c r="D19" s="57">
        <f>IF($A19="","",IFERROR(INDEX(RESULTADOS_GRID!$D:$D,MATCH($A19,RESULTADOS_GRID!$B:$B,0)),""))</f>
        <v/>
      </c>
      <c r="E19" s="57">
        <f>IF($A19="","",COUNTIF(RESULTADOS_GRID!$B:$B,$A19))</f>
        <v/>
      </c>
      <c r="F19" s="54">
        <f>IF($A19="","",SUMIF(RESULTADOS_GRID!$B:$B,$A19,RESULTADOS_GRID!$X:$X))</f>
        <v/>
      </c>
      <c r="G19" s="53" t="n"/>
      <c r="H19" s="58">
        <f>CONFIG_REFERENCIA!$E$7</f>
        <v/>
      </c>
      <c r="I19" s="54">
        <f>IF($A19="","",$F19+N($G19)*$H19)</f>
        <v/>
      </c>
      <c r="J19" s="54">
        <f>IF($A19="","",IF((COUNTIFS(RESULTADOS_GRID!$B:$B,$A19,RESULTADOS_GRID!$Y:$Y,"&gt;=0")+COUNTIFS(RESULTADOS_GRID!$B:$B,$A19,RESULTADOS_GRID!$Y:$Y,"&lt;0"))=0,"",SUMIF(RESULTADOS_GRID!$B:$B,$A19,RESULTADOS_GRID!$Y:$Y)/(COUNTIFS(RESULTADOS_GRID!$B:$B,$A19,RESULTADOS_GRID!$Y:$Y,"&gt;=0")+COUNTIFS(RESULTADOS_GRID!$B:$B,$A19,RESULTADOS_GRID!$Y:$Y,"&lt;0"))))</f>
        <v/>
      </c>
      <c r="K19" s="54">
        <f>IF($A19="","",IF((COUNTIFS(RESULTADOS_GRID!$B:$B,$A19,RESULTADOS_GRID!$Z:$Z,"&gt;=0")+COUNTIFS(RESULTADOS_GRID!$B:$B,$A19,RESULTADOS_GRID!$Z:$Z,"&lt;0"))=0,"",SUMIF(RESULTADOS_GRID!$B:$B,$A19,RESULTADOS_GRID!$Z:$Z)/(COUNTIFS(RESULTADOS_GRID!$B:$B,$A19,RESULTADOS_GRID!$Z:$Z,"&gt;=0")+COUNTIFS(RESULTADOS_GRID!$B:$B,$A19,RESULTADOS_GRID!$Z:$Z,"&lt;0"))))</f>
        <v/>
      </c>
      <c r="L19" s="51">
        <f>IF($A19="","",IF((COUNTIFS(RESULTADOS_GRID!$B:$B,$A19,RESULTADOS_GRID!$AA:$AA,"&gt;=0")+COUNTIFS(RESULTADOS_GRID!$B:$B,$A19,RESULTADOS_GRID!$AA:$AA,"&lt;0"))=0,"",SUMIF(RESULTADOS_GRID!$B:$B,$A19,RESULTADOS_GRID!$AA:$AA)/(COUNTIFS(RESULTADOS_GRID!$B:$B,$A19,RESULTADOS_GRID!$AA:$AA,"&gt;=0")+COUNTIFS(RESULTADOS_GRID!$B:$B,$A19,RESULTADOS_GRID!$AA:$AA,"&lt;0"))))</f>
        <v/>
      </c>
      <c r="M19" s="51">
        <f>IF($A19="","",IF((COUNTIFS(RESULTADOS_GRID!$B:$B,$A19,RESULTADOS_GRID!$AB:$AB,"&gt;=0")+COUNTIFS(RESULTADOS_GRID!$B:$B,$A19,RESULTADOS_GRID!$AB:$AB,"&lt;0"))=0,"",SUMIF(RESULTADOS_GRID!$B:$B,$A19,RESULTADOS_GRID!$AB:$AB)/(COUNTIFS(RESULTADOS_GRID!$B:$B,$A19,RESULTADOS_GRID!$AB:$AB,"&gt;=0")+COUNTIFS(RESULTADOS_GRID!$B:$B,$A19,RESULTADOS_GRID!$AB:$AB,"&lt;0"))))</f>
        <v/>
      </c>
      <c r="N19" s="49" t="n"/>
      <c r="O19" s="57">
        <f>IF($I19="","",COUNTIFS($I$2:$I$101,"&lt;"&amp;$I19)+1)</f>
        <v/>
      </c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9" t="n"/>
      <c r="Z19" s="49" t="n"/>
      <c r="AA19" s="49" t="n"/>
      <c r="AB19" s="49" t="n"/>
      <c r="AC19" s="49" t="n"/>
      <c r="AD19" s="49" t="n"/>
      <c r="AE19" s="49" t="n"/>
      <c r="AF19" s="49" t="n"/>
      <c r="AG19" s="49" t="n"/>
      <c r="AH19" s="49" t="n"/>
      <c r="AI19" s="49" t="n"/>
      <c r="AJ19" s="49" t="n"/>
      <c r="AK19" s="49" t="n"/>
    </row>
    <row r="20" ht="15" customHeight="1" s="27">
      <c r="A20" s="49" t="n"/>
      <c r="B20" s="57">
        <f>IF($A20="","",IFERROR(INDEX(RESULTADOS_GRID!$C:$C,MATCH($A20,RESULTADOS_GRID!$B:$B,0)),""))</f>
        <v/>
      </c>
      <c r="C20" s="57">
        <f>IF($A20="","",IFERROR(INDEX(RESULTADOS_GRID!$E:$E,MATCH($A20,RESULTADOS_GRID!$B:$B,0)),""))</f>
        <v/>
      </c>
      <c r="D20" s="57">
        <f>IF($A20="","",IFERROR(INDEX(RESULTADOS_GRID!$D:$D,MATCH($A20,RESULTADOS_GRID!$B:$B,0)),""))</f>
        <v/>
      </c>
      <c r="E20" s="57">
        <f>IF($A20="","",COUNTIF(RESULTADOS_GRID!$B:$B,$A20))</f>
        <v/>
      </c>
      <c r="F20" s="54">
        <f>IF($A20="","",SUMIF(RESULTADOS_GRID!$B:$B,$A20,RESULTADOS_GRID!$X:$X))</f>
        <v/>
      </c>
      <c r="G20" s="53" t="n"/>
      <c r="H20" s="58">
        <f>CONFIG_REFERENCIA!$E$7</f>
        <v/>
      </c>
      <c r="I20" s="54">
        <f>IF($A20="","",$F20+N($G20)*$H20)</f>
        <v/>
      </c>
      <c r="J20" s="54">
        <f>IF($A20="","",IF((COUNTIFS(RESULTADOS_GRID!$B:$B,$A20,RESULTADOS_GRID!$Y:$Y,"&gt;=0")+COUNTIFS(RESULTADOS_GRID!$B:$B,$A20,RESULTADOS_GRID!$Y:$Y,"&lt;0"))=0,"",SUMIF(RESULTADOS_GRID!$B:$B,$A20,RESULTADOS_GRID!$Y:$Y)/(COUNTIFS(RESULTADOS_GRID!$B:$B,$A20,RESULTADOS_GRID!$Y:$Y,"&gt;=0")+COUNTIFS(RESULTADOS_GRID!$B:$B,$A20,RESULTADOS_GRID!$Y:$Y,"&lt;0"))))</f>
        <v/>
      </c>
      <c r="K20" s="54">
        <f>IF($A20="","",IF((COUNTIFS(RESULTADOS_GRID!$B:$B,$A20,RESULTADOS_GRID!$Z:$Z,"&gt;=0")+COUNTIFS(RESULTADOS_GRID!$B:$B,$A20,RESULTADOS_GRID!$Z:$Z,"&lt;0"))=0,"",SUMIF(RESULTADOS_GRID!$B:$B,$A20,RESULTADOS_GRID!$Z:$Z)/(COUNTIFS(RESULTADOS_GRID!$B:$B,$A20,RESULTADOS_GRID!$Z:$Z,"&gt;=0")+COUNTIFS(RESULTADOS_GRID!$B:$B,$A20,RESULTADOS_GRID!$Z:$Z,"&lt;0"))))</f>
        <v/>
      </c>
      <c r="L20" s="51">
        <f>IF($A20="","",IF((COUNTIFS(RESULTADOS_GRID!$B:$B,$A20,RESULTADOS_GRID!$AA:$AA,"&gt;=0")+COUNTIFS(RESULTADOS_GRID!$B:$B,$A20,RESULTADOS_GRID!$AA:$AA,"&lt;0"))=0,"",SUMIF(RESULTADOS_GRID!$B:$B,$A20,RESULTADOS_GRID!$AA:$AA)/(COUNTIFS(RESULTADOS_GRID!$B:$B,$A20,RESULTADOS_GRID!$AA:$AA,"&gt;=0")+COUNTIFS(RESULTADOS_GRID!$B:$B,$A20,RESULTADOS_GRID!$AA:$AA,"&lt;0"))))</f>
        <v/>
      </c>
      <c r="M20" s="51">
        <f>IF($A20="","",IF((COUNTIFS(RESULTADOS_GRID!$B:$B,$A20,RESULTADOS_GRID!$AB:$AB,"&gt;=0")+COUNTIFS(RESULTADOS_GRID!$B:$B,$A20,RESULTADOS_GRID!$AB:$AB,"&lt;0"))=0,"",SUMIF(RESULTADOS_GRID!$B:$B,$A20,RESULTADOS_GRID!$AB:$AB)/(COUNTIFS(RESULTADOS_GRID!$B:$B,$A20,RESULTADOS_GRID!$AB:$AB,"&gt;=0")+COUNTIFS(RESULTADOS_GRID!$B:$B,$A20,RESULTADOS_GRID!$AB:$AB,"&lt;0"))))</f>
        <v/>
      </c>
      <c r="N20" s="49" t="n"/>
      <c r="O20" s="57">
        <f>IF($I20="","",COUNTIFS($I$2:$I$101,"&lt;"&amp;$I20)+1)</f>
        <v/>
      </c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9" t="n"/>
      <c r="Z20" s="49" t="n"/>
      <c r="AA20" s="49" t="n"/>
      <c r="AB20" s="49" t="n"/>
      <c r="AC20" s="49" t="n"/>
      <c r="AD20" s="49" t="n"/>
      <c r="AE20" s="49" t="n"/>
      <c r="AF20" s="49" t="n"/>
      <c r="AG20" s="49" t="n"/>
      <c r="AH20" s="49" t="n"/>
      <c r="AI20" s="49" t="n"/>
      <c r="AJ20" s="49" t="n"/>
      <c r="AK20" s="49" t="n"/>
    </row>
    <row r="21" ht="15" customHeight="1" s="27">
      <c r="A21" s="49" t="n"/>
      <c r="B21" s="57">
        <f>IF($A21="","",IFERROR(INDEX(RESULTADOS_GRID!$C:$C,MATCH($A21,RESULTADOS_GRID!$B:$B,0)),""))</f>
        <v/>
      </c>
      <c r="C21" s="57">
        <f>IF($A21="","",IFERROR(INDEX(RESULTADOS_GRID!$E:$E,MATCH($A21,RESULTADOS_GRID!$B:$B,0)),""))</f>
        <v/>
      </c>
      <c r="D21" s="57">
        <f>IF($A21="","",IFERROR(INDEX(RESULTADOS_GRID!$D:$D,MATCH($A21,RESULTADOS_GRID!$B:$B,0)),""))</f>
        <v/>
      </c>
      <c r="E21" s="57">
        <f>IF($A21="","",COUNTIF(RESULTADOS_GRID!$B:$B,$A21))</f>
        <v/>
      </c>
      <c r="F21" s="54">
        <f>IF($A21="","",SUMIF(RESULTADOS_GRID!$B:$B,$A21,RESULTADOS_GRID!$X:$X))</f>
        <v/>
      </c>
      <c r="G21" s="53" t="n"/>
      <c r="H21" s="58">
        <f>CONFIG_REFERENCIA!$E$7</f>
        <v/>
      </c>
      <c r="I21" s="54">
        <f>IF($A21="","",$F21+N($G21)*$H21)</f>
        <v/>
      </c>
      <c r="J21" s="54">
        <f>IF($A21="","",IF((COUNTIFS(RESULTADOS_GRID!$B:$B,$A21,RESULTADOS_GRID!$Y:$Y,"&gt;=0")+COUNTIFS(RESULTADOS_GRID!$B:$B,$A21,RESULTADOS_GRID!$Y:$Y,"&lt;0"))=0,"",SUMIF(RESULTADOS_GRID!$B:$B,$A21,RESULTADOS_GRID!$Y:$Y)/(COUNTIFS(RESULTADOS_GRID!$B:$B,$A21,RESULTADOS_GRID!$Y:$Y,"&gt;=0")+COUNTIFS(RESULTADOS_GRID!$B:$B,$A21,RESULTADOS_GRID!$Y:$Y,"&lt;0"))))</f>
        <v/>
      </c>
      <c r="K21" s="54">
        <f>IF($A21="","",IF((COUNTIFS(RESULTADOS_GRID!$B:$B,$A21,RESULTADOS_GRID!$Z:$Z,"&gt;=0")+COUNTIFS(RESULTADOS_GRID!$B:$B,$A21,RESULTADOS_GRID!$Z:$Z,"&lt;0"))=0,"",SUMIF(RESULTADOS_GRID!$B:$B,$A21,RESULTADOS_GRID!$Z:$Z)/(COUNTIFS(RESULTADOS_GRID!$B:$B,$A21,RESULTADOS_GRID!$Z:$Z,"&gt;=0")+COUNTIFS(RESULTADOS_GRID!$B:$B,$A21,RESULTADOS_GRID!$Z:$Z,"&lt;0"))))</f>
        <v/>
      </c>
      <c r="L21" s="51">
        <f>IF($A21="","",IF((COUNTIFS(RESULTADOS_GRID!$B:$B,$A21,RESULTADOS_GRID!$AA:$AA,"&gt;=0")+COUNTIFS(RESULTADOS_GRID!$B:$B,$A21,RESULTADOS_GRID!$AA:$AA,"&lt;0"))=0,"",SUMIF(RESULTADOS_GRID!$B:$B,$A21,RESULTADOS_GRID!$AA:$AA)/(COUNTIFS(RESULTADOS_GRID!$B:$B,$A21,RESULTADOS_GRID!$AA:$AA,"&gt;=0")+COUNTIFS(RESULTADOS_GRID!$B:$B,$A21,RESULTADOS_GRID!$AA:$AA,"&lt;0"))))</f>
        <v/>
      </c>
      <c r="M21" s="51">
        <f>IF($A21="","",IF((COUNTIFS(RESULTADOS_GRID!$B:$B,$A21,RESULTADOS_GRID!$AB:$AB,"&gt;=0")+COUNTIFS(RESULTADOS_GRID!$B:$B,$A21,RESULTADOS_GRID!$AB:$AB,"&lt;0"))=0,"",SUMIF(RESULTADOS_GRID!$B:$B,$A21,RESULTADOS_GRID!$AB:$AB)/(COUNTIFS(RESULTADOS_GRID!$B:$B,$A21,RESULTADOS_GRID!$AB:$AB,"&gt;=0")+COUNTIFS(RESULTADOS_GRID!$B:$B,$A21,RESULTADOS_GRID!$AB:$AB,"&lt;0"))))</f>
        <v/>
      </c>
      <c r="N21" s="49" t="n"/>
      <c r="O21" s="57">
        <f>IF($I21="","",COUNTIFS($I$2:$I$101,"&lt;"&amp;$I21)+1)</f>
        <v/>
      </c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9" t="n"/>
      <c r="Z21" s="49" t="n"/>
      <c r="AA21" s="49" t="n"/>
      <c r="AB21" s="49" t="n"/>
      <c r="AC21" s="49" t="n"/>
      <c r="AD21" s="49" t="n"/>
      <c r="AE21" s="49" t="n"/>
      <c r="AF21" s="49" t="n"/>
      <c r="AG21" s="49" t="n"/>
      <c r="AH21" s="49" t="n"/>
      <c r="AI21" s="49" t="n"/>
      <c r="AJ21" s="49" t="n"/>
      <c r="AK21" s="49" t="n"/>
    </row>
    <row r="22" ht="15" customHeight="1" s="27">
      <c r="A22" s="49" t="n"/>
      <c r="B22" s="57">
        <f>IF($A22="","",IFERROR(INDEX(RESULTADOS_GRID!$C:$C,MATCH($A22,RESULTADOS_GRID!$B:$B,0)),""))</f>
        <v/>
      </c>
      <c r="C22" s="57">
        <f>IF($A22="","",IFERROR(INDEX(RESULTADOS_GRID!$E:$E,MATCH($A22,RESULTADOS_GRID!$B:$B,0)),""))</f>
        <v/>
      </c>
      <c r="D22" s="57">
        <f>IF($A22="","",IFERROR(INDEX(RESULTADOS_GRID!$D:$D,MATCH($A22,RESULTADOS_GRID!$B:$B,0)),""))</f>
        <v/>
      </c>
      <c r="E22" s="57">
        <f>IF($A22="","",COUNTIF(RESULTADOS_GRID!$B:$B,$A22))</f>
        <v/>
      </c>
      <c r="F22" s="54">
        <f>IF($A22="","",SUMIF(RESULTADOS_GRID!$B:$B,$A22,RESULTADOS_GRID!$X:$X))</f>
        <v/>
      </c>
      <c r="G22" s="53" t="n"/>
      <c r="H22" s="58">
        <f>CONFIG_REFERENCIA!$E$7</f>
        <v/>
      </c>
      <c r="I22" s="54">
        <f>IF($A22="","",$F22+N($G22)*$H22)</f>
        <v/>
      </c>
      <c r="J22" s="54">
        <f>IF($A22="","",IF((COUNTIFS(RESULTADOS_GRID!$B:$B,$A22,RESULTADOS_GRID!$Y:$Y,"&gt;=0")+COUNTIFS(RESULTADOS_GRID!$B:$B,$A22,RESULTADOS_GRID!$Y:$Y,"&lt;0"))=0,"",SUMIF(RESULTADOS_GRID!$B:$B,$A22,RESULTADOS_GRID!$Y:$Y)/(COUNTIFS(RESULTADOS_GRID!$B:$B,$A22,RESULTADOS_GRID!$Y:$Y,"&gt;=0")+COUNTIFS(RESULTADOS_GRID!$B:$B,$A22,RESULTADOS_GRID!$Y:$Y,"&lt;0"))))</f>
        <v/>
      </c>
      <c r="K22" s="54">
        <f>IF($A22="","",IF((COUNTIFS(RESULTADOS_GRID!$B:$B,$A22,RESULTADOS_GRID!$Z:$Z,"&gt;=0")+COUNTIFS(RESULTADOS_GRID!$B:$B,$A22,RESULTADOS_GRID!$Z:$Z,"&lt;0"))=0,"",SUMIF(RESULTADOS_GRID!$B:$B,$A22,RESULTADOS_GRID!$Z:$Z)/(COUNTIFS(RESULTADOS_GRID!$B:$B,$A22,RESULTADOS_GRID!$Z:$Z,"&gt;=0")+COUNTIFS(RESULTADOS_GRID!$B:$B,$A22,RESULTADOS_GRID!$Z:$Z,"&lt;0"))))</f>
        <v/>
      </c>
      <c r="L22" s="51">
        <f>IF($A22="","",IF((COUNTIFS(RESULTADOS_GRID!$B:$B,$A22,RESULTADOS_GRID!$AA:$AA,"&gt;=0")+COUNTIFS(RESULTADOS_GRID!$B:$B,$A22,RESULTADOS_GRID!$AA:$AA,"&lt;0"))=0,"",SUMIF(RESULTADOS_GRID!$B:$B,$A22,RESULTADOS_GRID!$AA:$AA)/(COUNTIFS(RESULTADOS_GRID!$B:$B,$A22,RESULTADOS_GRID!$AA:$AA,"&gt;=0")+COUNTIFS(RESULTADOS_GRID!$B:$B,$A22,RESULTADOS_GRID!$AA:$AA,"&lt;0"))))</f>
        <v/>
      </c>
      <c r="M22" s="51">
        <f>IF($A22="","",IF((COUNTIFS(RESULTADOS_GRID!$B:$B,$A22,RESULTADOS_GRID!$AB:$AB,"&gt;=0")+COUNTIFS(RESULTADOS_GRID!$B:$B,$A22,RESULTADOS_GRID!$AB:$AB,"&lt;0"))=0,"",SUMIF(RESULTADOS_GRID!$B:$B,$A22,RESULTADOS_GRID!$AB:$AB)/(COUNTIFS(RESULTADOS_GRID!$B:$B,$A22,RESULTADOS_GRID!$AB:$AB,"&gt;=0")+COUNTIFS(RESULTADOS_GRID!$B:$B,$A22,RESULTADOS_GRID!$AB:$AB,"&lt;0"))))</f>
        <v/>
      </c>
      <c r="N22" s="49" t="n"/>
      <c r="O22" s="57">
        <f>IF($I22="","",COUNTIFS($I$2:$I$101,"&lt;"&amp;$I22)+1)</f>
        <v/>
      </c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9" t="n"/>
      <c r="Z22" s="49" t="n"/>
      <c r="AA22" s="49" t="n"/>
      <c r="AB22" s="49" t="n"/>
      <c r="AC22" s="49" t="n"/>
      <c r="AD22" s="49" t="n"/>
      <c r="AE22" s="49" t="n"/>
      <c r="AF22" s="49" t="n"/>
      <c r="AG22" s="49" t="n"/>
      <c r="AH22" s="49" t="n"/>
      <c r="AI22" s="49" t="n"/>
      <c r="AJ22" s="49" t="n"/>
      <c r="AK22" s="49" t="n"/>
    </row>
    <row r="23" ht="15" customHeight="1" s="27">
      <c r="A23" s="49" t="n"/>
      <c r="B23" s="57">
        <f>IF($A23="","",IFERROR(INDEX(RESULTADOS_GRID!$C:$C,MATCH($A23,RESULTADOS_GRID!$B:$B,0)),""))</f>
        <v/>
      </c>
      <c r="C23" s="57">
        <f>IF($A23="","",IFERROR(INDEX(RESULTADOS_GRID!$E:$E,MATCH($A23,RESULTADOS_GRID!$B:$B,0)),""))</f>
        <v/>
      </c>
      <c r="D23" s="57">
        <f>IF($A23="","",IFERROR(INDEX(RESULTADOS_GRID!$D:$D,MATCH($A23,RESULTADOS_GRID!$B:$B,0)),""))</f>
        <v/>
      </c>
      <c r="E23" s="57">
        <f>IF($A23="","",COUNTIF(RESULTADOS_GRID!$B:$B,$A23))</f>
        <v/>
      </c>
      <c r="F23" s="54">
        <f>IF($A23="","",SUMIF(RESULTADOS_GRID!$B:$B,$A23,RESULTADOS_GRID!$X:$X))</f>
        <v/>
      </c>
      <c r="G23" s="53" t="n"/>
      <c r="H23" s="58">
        <f>CONFIG_REFERENCIA!$E$7</f>
        <v/>
      </c>
      <c r="I23" s="54">
        <f>IF($A23="","",$F23+N($G23)*$H23)</f>
        <v/>
      </c>
      <c r="J23" s="54">
        <f>IF($A23="","",IF((COUNTIFS(RESULTADOS_GRID!$B:$B,$A23,RESULTADOS_GRID!$Y:$Y,"&gt;=0")+COUNTIFS(RESULTADOS_GRID!$B:$B,$A23,RESULTADOS_GRID!$Y:$Y,"&lt;0"))=0,"",SUMIF(RESULTADOS_GRID!$B:$B,$A23,RESULTADOS_GRID!$Y:$Y)/(COUNTIFS(RESULTADOS_GRID!$B:$B,$A23,RESULTADOS_GRID!$Y:$Y,"&gt;=0")+COUNTIFS(RESULTADOS_GRID!$B:$B,$A23,RESULTADOS_GRID!$Y:$Y,"&lt;0"))))</f>
        <v/>
      </c>
      <c r="K23" s="54">
        <f>IF($A23="","",IF((COUNTIFS(RESULTADOS_GRID!$B:$B,$A23,RESULTADOS_GRID!$Z:$Z,"&gt;=0")+COUNTIFS(RESULTADOS_GRID!$B:$B,$A23,RESULTADOS_GRID!$Z:$Z,"&lt;0"))=0,"",SUMIF(RESULTADOS_GRID!$B:$B,$A23,RESULTADOS_GRID!$Z:$Z)/(COUNTIFS(RESULTADOS_GRID!$B:$B,$A23,RESULTADOS_GRID!$Z:$Z,"&gt;=0")+COUNTIFS(RESULTADOS_GRID!$B:$B,$A23,RESULTADOS_GRID!$Z:$Z,"&lt;0"))))</f>
        <v/>
      </c>
      <c r="L23" s="51">
        <f>IF($A23="","",IF((COUNTIFS(RESULTADOS_GRID!$B:$B,$A23,RESULTADOS_GRID!$AA:$AA,"&gt;=0")+COUNTIFS(RESULTADOS_GRID!$B:$B,$A23,RESULTADOS_GRID!$AA:$AA,"&lt;0"))=0,"",SUMIF(RESULTADOS_GRID!$B:$B,$A23,RESULTADOS_GRID!$AA:$AA)/(COUNTIFS(RESULTADOS_GRID!$B:$B,$A23,RESULTADOS_GRID!$AA:$AA,"&gt;=0")+COUNTIFS(RESULTADOS_GRID!$B:$B,$A23,RESULTADOS_GRID!$AA:$AA,"&lt;0"))))</f>
        <v/>
      </c>
      <c r="M23" s="51">
        <f>IF($A23="","",IF((COUNTIFS(RESULTADOS_GRID!$B:$B,$A23,RESULTADOS_GRID!$AB:$AB,"&gt;=0")+COUNTIFS(RESULTADOS_GRID!$B:$B,$A23,RESULTADOS_GRID!$AB:$AB,"&lt;0"))=0,"",SUMIF(RESULTADOS_GRID!$B:$B,$A23,RESULTADOS_GRID!$AB:$AB)/(COUNTIFS(RESULTADOS_GRID!$B:$B,$A23,RESULTADOS_GRID!$AB:$AB,"&gt;=0")+COUNTIFS(RESULTADOS_GRID!$B:$B,$A23,RESULTADOS_GRID!$AB:$AB,"&lt;0"))))</f>
        <v/>
      </c>
      <c r="N23" s="49" t="n"/>
      <c r="O23" s="57">
        <f>IF($I23="","",COUNTIFS($I$2:$I$101,"&lt;"&amp;$I23)+1)</f>
        <v/>
      </c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9" t="n"/>
      <c r="Z23" s="49" t="n"/>
      <c r="AA23" s="49" t="n"/>
      <c r="AB23" s="49" t="n"/>
      <c r="AC23" s="49" t="n"/>
      <c r="AD23" s="49" t="n"/>
      <c r="AE23" s="49" t="n"/>
      <c r="AF23" s="49" t="n"/>
      <c r="AG23" s="49" t="n"/>
      <c r="AH23" s="49" t="n"/>
      <c r="AI23" s="49" t="n"/>
      <c r="AJ23" s="49" t="n"/>
      <c r="AK23" s="49" t="n"/>
    </row>
    <row r="24" ht="15" customHeight="1" s="27">
      <c r="A24" s="49" t="n"/>
      <c r="B24" s="57">
        <f>IF($A24="","",IFERROR(INDEX(RESULTADOS_GRID!$C:$C,MATCH($A24,RESULTADOS_GRID!$B:$B,0)),""))</f>
        <v/>
      </c>
      <c r="C24" s="57">
        <f>IF($A24="","",IFERROR(INDEX(RESULTADOS_GRID!$E:$E,MATCH($A24,RESULTADOS_GRID!$B:$B,0)),""))</f>
        <v/>
      </c>
      <c r="D24" s="57">
        <f>IF($A24="","",IFERROR(INDEX(RESULTADOS_GRID!$D:$D,MATCH($A24,RESULTADOS_GRID!$B:$B,0)),""))</f>
        <v/>
      </c>
      <c r="E24" s="57">
        <f>IF($A24="","",COUNTIF(RESULTADOS_GRID!$B:$B,$A24))</f>
        <v/>
      </c>
      <c r="F24" s="54">
        <f>IF($A24="","",SUMIF(RESULTADOS_GRID!$B:$B,$A24,RESULTADOS_GRID!$X:$X))</f>
        <v/>
      </c>
      <c r="G24" s="53" t="n"/>
      <c r="H24" s="58">
        <f>CONFIG_REFERENCIA!$E$7</f>
        <v/>
      </c>
      <c r="I24" s="54">
        <f>IF($A24="","",$F24+N($G24)*$H24)</f>
        <v/>
      </c>
      <c r="J24" s="54">
        <f>IF($A24="","",IF((COUNTIFS(RESULTADOS_GRID!$B:$B,$A24,RESULTADOS_GRID!$Y:$Y,"&gt;=0")+COUNTIFS(RESULTADOS_GRID!$B:$B,$A24,RESULTADOS_GRID!$Y:$Y,"&lt;0"))=0,"",SUMIF(RESULTADOS_GRID!$B:$B,$A24,RESULTADOS_GRID!$Y:$Y)/(COUNTIFS(RESULTADOS_GRID!$B:$B,$A24,RESULTADOS_GRID!$Y:$Y,"&gt;=0")+COUNTIFS(RESULTADOS_GRID!$B:$B,$A24,RESULTADOS_GRID!$Y:$Y,"&lt;0"))))</f>
        <v/>
      </c>
      <c r="K24" s="54">
        <f>IF($A24="","",IF((COUNTIFS(RESULTADOS_GRID!$B:$B,$A24,RESULTADOS_GRID!$Z:$Z,"&gt;=0")+COUNTIFS(RESULTADOS_GRID!$B:$B,$A24,RESULTADOS_GRID!$Z:$Z,"&lt;0"))=0,"",SUMIF(RESULTADOS_GRID!$B:$B,$A24,RESULTADOS_GRID!$Z:$Z)/(COUNTIFS(RESULTADOS_GRID!$B:$B,$A24,RESULTADOS_GRID!$Z:$Z,"&gt;=0")+COUNTIFS(RESULTADOS_GRID!$B:$B,$A24,RESULTADOS_GRID!$Z:$Z,"&lt;0"))))</f>
        <v/>
      </c>
      <c r="L24" s="51">
        <f>IF($A24="","",IF((COUNTIFS(RESULTADOS_GRID!$B:$B,$A24,RESULTADOS_GRID!$AA:$AA,"&gt;=0")+COUNTIFS(RESULTADOS_GRID!$B:$B,$A24,RESULTADOS_GRID!$AA:$AA,"&lt;0"))=0,"",SUMIF(RESULTADOS_GRID!$B:$B,$A24,RESULTADOS_GRID!$AA:$AA)/(COUNTIFS(RESULTADOS_GRID!$B:$B,$A24,RESULTADOS_GRID!$AA:$AA,"&gt;=0")+COUNTIFS(RESULTADOS_GRID!$B:$B,$A24,RESULTADOS_GRID!$AA:$AA,"&lt;0"))))</f>
        <v/>
      </c>
      <c r="M24" s="51">
        <f>IF($A24="","",IF((COUNTIFS(RESULTADOS_GRID!$B:$B,$A24,RESULTADOS_GRID!$AB:$AB,"&gt;=0")+COUNTIFS(RESULTADOS_GRID!$B:$B,$A24,RESULTADOS_GRID!$AB:$AB,"&lt;0"))=0,"",SUMIF(RESULTADOS_GRID!$B:$B,$A24,RESULTADOS_GRID!$AB:$AB)/(COUNTIFS(RESULTADOS_GRID!$B:$B,$A24,RESULTADOS_GRID!$AB:$AB,"&gt;=0")+COUNTIFS(RESULTADOS_GRID!$B:$B,$A24,RESULTADOS_GRID!$AB:$AB,"&lt;0"))))</f>
        <v/>
      </c>
      <c r="N24" s="49" t="n"/>
      <c r="O24" s="57">
        <f>IF($I24="","",COUNTIFS($I$2:$I$101,"&lt;"&amp;$I24)+1)</f>
        <v/>
      </c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9" t="n"/>
      <c r="Z24" s="49" t="n"/>
      <c r="AA24" s="49" t="n"/>
      <c r="AB24" s="49" t="n"/>
      <c r="AC24" s="49" t="n"/>
      <c r="AD24" s="49" t="n"/>
      <c r="AE24" s="49" t="n"/>
      <c r="AF24" s="49" t="n"/>
      <c r="AG24" s="49" t="n"/>
      <c r="AH24" s="49" t="n"/>
      <c r="AI24" s="49" t="n"/>
      <c r="AJ24" s="49" t="n"/>
      <c r="AK24" s="49" t="n"/>
    </row>
    <row r="25" ht="15" customHeight="1" s="27">
      <c r="A25" s="49" t="n"/>
      <c r="B25" s="57">
        <f>IF($A25="","",IFERROR(INDEX(RESULTADOS_GRID!$C:$C,MATCH($A25,RESULTADOS_GRID!$B:$B,0)),""))</f>
        <v/>
      </c>
      <c r="C25" s="57">
        <f>IF($A25="","",IFERROR(INDEX(RESULTADOS_GRID!$E:$E,MATCH($A25,RESULTADOS_GRID!$B:$B,0)),""))</f>
        <v/>
      </c>
      <c r="D25" s="57">
        <f>IF($A25="","",IFERROR(INDEX(RESULTADOS_GRID!$D:$D,MATCH($A25,RESULTADOS_GRID!$B:$B,0)),""))</f>
        <v/>
      </c>
      <c r="E25" s="57">
        <f>IF($A25="","",COUNTIF(RESULTADOS_GRID!$B:$B,$A25))</f>
        <v/>
      </c>
      <c r="F25" s="54">
        <f>IF($A25="","",SUMIF(RESULTADOS_GRID!$B:$B,$A25,RESULTADOS_GRID!$X:$X))</f>
        <v/>
      </c>
      <c r="G25" s="53" t="n"/>
      <c r="H25" s="58">
        <f>CONFIG_REFERENCIA!$E$7</f>
        <v/>
      </c>
      <c r="I25" s="54">
        <f>IF($A25="","",$F25+N($G25)*$H25)</f>
        <v/>
      </c>
      <c r="J25" s="54">
        <f>IF($A25="","",IF((COUNTIFS(RESULTADOS_GRID!$B:$B,$A25,RESULTADOS_GRID!$Y:$Y,"&gt;=0")+COUNTIFS(RESULTADOS_GRID!$B:$B,$A25,RESULTADOS_GRID!$Y:$Y,"&lt;0"))=0,"",SUMIF(RESULTADOS_GRID!$B:$B,$A25,RESULTADOS_GRID!$Y:$Y)/(COUNTIFS(RESULTADOS_GRID!$B:$B,$A25,RESULTADOS_GRID!$Y:$Y,"&gt;=0")+COUNTIFS(RESULTADOS_GRID!$B:$B,$A25,RESULTADOS_GRID!$Y:$Y,"&lt;0"))))</f>
        <v/>
      </c>
      <c r="K25" s="54">
        <f>IF($A25="","",IF((COUNTIFS(RESULTADOS_GRID!$B:$B,$A25,RESULTADOS_GRID!$Z:$Z,"&gt;=0")+COUNTIFS(RESULTADOS_GRID!$B:$B,$A25,RESULTADOS_GRID!$Z:$Z,"&lt;0"))=0,"",SUMIF(RESULTADOS_GRID!$B:$B,$A25,RESULTADOS_GRID!$Z:$Z)/(COUNTIFS(RESULTADOS_GRID!$B:$B,$A25,RESULTADOS_GRID!$Z:$Z,"&gt;=0")+COUNTIFS(RESULTADOS_GRID!$B:$B,$A25,RESULTADOS_GRID!$Z:$Z,"&lt;0"))))</f>
        <v/>
      </c>
      <c r="L25" s="51">
        <f>IF($A25="","",IF((COUNTIFS(RESULTADOS_GRID!$B:$B,$A25,RESULTADOS_GRID!$AA:$AA,"&gt;=0")+COUNTIFS(RESULTADOS_GRID!$B:$B,$A25,RESULTADOS_GRID!$AA:$AA,"&lt;0"))=0,"",SUMIF(RESULTADOS_GRID!$B:$B,$A25,RESULTADOS_GRID!$AA:$AA)/(COUNTIFS(RESULTADOS_GRID!$B:$B,$A25,RESULTADOS_GRID!$AA:$AA,"&gt;=0")+COUNTIFS(RESULTADOS_GRID!$B:$B,$A25,RESULTADOS_GRID!$AA:$AA,"&lt;0"))))</f>
        <v/>
      </c>
      <c r="M25" s="51">
        <f>IF($A25="","",IF((COUNTIFS(RESULTADOS_GRID!$B:$B,$A25,RESULTADOS_GRID!$AB:$AB,"&gt;=0")+COUNTIFS(RESULTADOS_GRID!$B:$B,$A25,RESULTADOS_GRID!$AB:$AB,"&lt;0"))=0,"",SUMIF(RESULTADOS_GRID!$B:$B,$A25,RESULTADOS_GRID!$AB:$AB)/(COUNTIFS(RESULTADOS_GRID!$B:$B,$A25,RESULTADOS_GRID!$AB:$AB,"&gt;=0")+COUNTIFS(RESULTADOS_GRID!$B:$B,$A25,RESULTADOS_GRID!$AB:$AB,"&lt;0"))))</f>
        <v/>
      </c>
      <c r="N25" s="49" t="n"/>
      <c r="O25" s="57">
        <f>IF($I25="","",COUNTIFS($I$2:$I$101,"&lt;"&amp;$I25)+1)</f>
        <v/>
      </c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9" t="n"/>
      <c r="Z25" s="49" t="n"/>
      <c r="AA25" s="49" t="n"/>
      <c r="AB25" s="49" t="n"/>
      <c r="AC25" s="49" t="n"/>
      <c r="AD25" s="49" t="n"/>
      <c r="AE25" s="49" t="n"/>
      <c r="AF25" s="49" t="n"/>
      <c r="AG25" s="49" t="n"/>
      <c r="AH25" s="49" t="n"/>
      <c r="AI25" s="49" t="n"/>
      <c r="AJ25" s="49" t="n"/>
      <c r="AK25" s="49" t="n"/>
    </row>
    <row r="26" ht="15" customHeight="1" s="27">
      <c r="A26" s="49" t="n"/>
      <c r="B26" s="57">
        <f>IF($A26="","",IFERROR(INDEX(RESULTADOS_GRID!$C:$C,MATCH($A26,RESULTADOS_GRID!$B:$B,0)),""))</f>
        <v/>
      </c>
      <c r="C26" s="57">
        <f>IF($A26="","",IFERROR(INDEX(RESULTADOS_GRID!$E:$E,MATCH($A26,RESULTADOS_GRID!$B:$B,0)),""))</f>
        <v/>
      </c>
      <c r="D26" s="57">
        <f>IF($A26="","",IFERROR(INDEX(RESULTADOS_GRID!$D:$D,MATCH($A26,RESULTADOS_GRID!$B:$B,0)),""))</f>
        <v/>
      </c>
      <c r="E26" s="57">
        <f>IF($A26="","",COUNTIF(RESULTADOS_GRID!$B:$B,$A26))</f>
        <v/>
      </c>
      <c r="F26" s="54">
        <f>IF($A26="","",SUMIF(RESULTADOS_GRID!$B:$B,$A26,RESULTADOS_GRID!$X:$X))</f>
        <v/>
      </c>
      <c r="G26" s="53" t="n"/>
      <c r="H26" s="58">
        <f>CONFIG_REFERENCIA!$E$7</f>
        <v/>
      </c>
      <c r="I26" s="54">
        <f>IF($A26="","",$F26+N($G26)*$H26)</f>
        <v/>
      </c>
      <c r="J26" s="54">
        <f>IF($A26="","",IF((COUNTIFS(RESULTADOS_GRID!$B:$B,$A26,RESULTADOS_GRID!$Y:$Y,"&gt;=0")+COUNTIFS(RESULTADOS_GRID!$B:$B,$A26,RESULTADOS_GRID!$Y:$Y,"&lt;0"))=0,"",SUMIF(RESULTADOS_GRID!$B:$B,$A26,RESULTADOS_GRID!$Y:$Y)/(COUNTIFS(RESULTADOS_GRID!$B:$B,$A26,RESULTADOS_GRID!$Y:$Y,"&gt;=0")+COUNTIFS(RESULTADOS_GRID!$B:$B,$A26,RESULTADOS_GRID!$Y:$Y,"&lt;0"))))</f>
        <v/>
      </c>
      <c r="K26" s="54">
        <f>IF($A26="","",IF((COUNTIFS(RESULTADOS_GRID!$B:$B,$A26,RESULTADOS_GRID!$Z:$Z,"&gt;=0")+COUNTIFS(RESULTADOS_GRID!$B:$B,$A26,RESULTADOS_GRID!$Z:$Z,"&lt;0"))=0,"",SUMIF(RESULTADOS_GRID!$B:$B,$A26,RESULTADOS_GRID!$Z:$Z)/(COUNTIFS(RESULTADOS_GRID!$B:$B,$A26,RESULTADOS_GRID!$Z:$Z,"&gt;=0")+COUNTIFS(RESULTADOS_GRID!$B:$B,$A26,RESULTADOS_GRID!$Z:$Z,"&lt;0"))))</f>
        <v/>
      </c>
      <c r="L26" s="51">
        <f>IF($A26="","",IF((COUNTIFS(RESULTADOS_GRID!$B:$B,$A26,RESULTADOS_GRID!$AA:$AA,"&gt;=0")+COUNTIFS(RESULTADOS_GRID!$B:$B,$A26,RESULTADOS_GRID!$AA:$AA,"&lt;0"))=0,"",SUMIF(RESULTADOS_GRID!$B:$B,$A26,RESULTADOS_GRID!$AA:$AA)/(COUNTIFS(RESULTADOS_GRID!$B:$B,$A26,RESULTADOS_GRID!$AA:$AA,"&gt;=0")+COUNTIFS(RESULTADOS_GRID!$B:$B,$A26,RESULTADOS_GRID!$AA:$AA,"&lt;0"))))</f>
        <v/>
      </c>
      <c r="M26" s="51">
        <f>IF($A26="","",IF((COUNTIFS(RESULTADOS_GRID!$B:$B,$A26,RESULTADOS_GRID!$AB:$AB,"&gt;=0")+COUNTIFS(RESULTADOS_GRID!$B:$B,$A26,RESULTADOS_GRID!$AB:$AB,"&lt;0"))=0,"",SUMIF(RESULTADOS_GRID!$B:$B,$A26,RESULTADOS_GRID!$AB:$AB)/(COUNTIFS(RESULTADOS_GRID!$B:$B,$A26,RESULTADOS_GRID!$AB:$AB,"&gt;=0")+COUNTIFS(RESULTADOS_GRID!$B:$B,$A26,RESULTADOS_GRID!$AB:$AB,"&lt;0"))))</f>
        <v/>
      </c>
      <c r="N26" s="49" t="n"/>
      <c r="O26" s="57">
        <f>IF($I26="","",COUNTIFS($I$2:$I$101,"&lt;"&amp;$I26)+1)</f>
        <v/>
      </c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9" t="n"/>
      <c r="Z26" s="49" t="n"/>
      <c r="AA26" s="49" t="n"/>
      <c r="AB26" s="49" t="n"/>
      <c r="AC26" s="49" t="n"/>
      <c r="AD26" s="49" t="n"/>
      <c r="AE26" s="49" t="n"/>
      <c r="AF26" s="49" t="n"/>
      <c r="AG26" s="49" t="n"/>
      <c r="AH26" s="49" t="n"/>
      <c r="AI26" s="49" t="n"/>
      <c r="AJ26" s="49" t="n"/>
      <c r="AK26" s="49" t="n"/>
    </row>
    <row r="27" ht="15" customHeight="1" s="27">
      <c r="A27" s="49" t="n"/>
      <c r="B27" s="57">
        <f>IF($A27="","",IFERROR(INDEX(RESULTADOS_GRID!$C:$C,MATCH($A27,RESULTADOS_GRID!$B:$B,0)),""))</f>
        <v/>
      </c>
      <c r="C27" s="57">
        <f>IF($A27="","",IFERROR(INDEX(RESULTADOS_GRID!$E:$E,MATCH($A27,RESULTADOS_GRID!$B:$B,0)),""))</f>
        <v/>
      </c>
      <c r="D27" s="57">
        <f>IF($A27="","",IFERROR(INDEX(RESULTADOS_GRID!$D:$D,MATCH($A27,RESULTADOS_GRID!$B:$B,0)),""))</f>
        <v/>
      </c>
      <c r="E27" s="57">
        <f>IF($A27="","",COUNTIF(RESULTADOS_GRID!$B:$B,$A27))</f>
        <v/>
      </c>
      <c r="F27" s="54">
        <f>IF($A27="","",SUMIF(RESULTADOS_GRID!$B:$B,$A27,RESULTADOS_GRID!$X:$X))</f>
        <v/>
      </c>
      <c r="G27" s="53" t="n"/>
      <c r="H27" s="58">
        <f>CONFIG_REFERENCIA!$E$7</f>
        <v/>
      </c>
      <c r="I27" s="54">
        <f>IF($A27="","",$F27+N($G27)*$H27)</f>
        <v/>
      </c>
      <c r="J27" s="54">
        <f>IF($A27="","",IF((COUNTIFS(RESULTADOS_GRID!$B:$B,$A27,RESULTADOS_GRID!$Y:$Y,"&gt;=0")+COUNTIFS(RESULTADOS_GRID!$B:$B,$A27,RESULTADOS_GRID!$Y:$Y,"&lt;0"))=0,"",SUMIF(RESULTADOS_GRID!$B:$B,$A27,RESULTADOS_GRID!$Y:$Y)/(COUNTIFS(RESULTADOS_GRID!$B:$B,$A27,RESULTADOS_GRID!$Y:$Y,"&gt;=0")+COUNTIFS(RESULTADOS_GRID!$B:$B,$A27,RESULTADOS_GRID!$Y:$Y,"&lt;0"))))</f>
        <v/>
      </c>
      <c r="K27" s="54">
        <f>IF($A27="","",IF((COUNTIFS(RESULTADOS_GRID!$B:$B,$A27,RESULTADOS_GRID!$Z:$Z,"&gt;=0")+COUNTIFS(RESULTADOS_GRID!$B:$B,$A27,RESULTADOS_GRID!$Z:$Z,"&lt;0"))=0,"",SUMIF(RESULTADOS_GRID!$B:$B,$A27,RESULTADOS_GRID!$Z:$Z)/(COUNTIFS(RESULTADOS_GRID!$B:$B,$A27,RESULTADOS_GRID!$Z:$Z,"&gt;=0")+COUNTIFS(RESULTADOS_GRID!$B:$B,$A27,RESULTADOS_GRID!$Z:$Z,"&lt;0"))))</f>
        <v/>
      </c>
      <c r="L27" s="51">
        <f>IF($A27="","",IF((COUNTIFS(RESULTADOS_GRID!$B:$B,$A27,RESULTADOS_GRID!$AA:$AA,"&gt;=0")+COUNTIFS(RESULTADOS_GRID!$B:$B,$A27,RESULTADOS_GRID!$AA:$AA,"&lt;0"))=0,"",SUMIF(RESULTADOS_GRID!$B:$B,$A27,RESULTADOS_GRID!$AA:$AA)/(COUNTIFS(RESULTADOS_GRID!$B:$B,$A27,RESULTADOS_GRID!$AA:$AA,"&gt;=0")+COUNTIFS(RESULTADOS_GRID!$B:$B,$A27,RESULTADOS_GRID!$AA:$AA,"&lt;0"))))</f>
        <v/>
      </c>
      <c r="M27" s="51">
        <f>IF($A27="","",IF((COUNTIFS(RESULTADOS_GRID!$B:$B,$A27,RESULTADOS_GRID!$AB:$AB,"&gt;=0")+COUNTIFS(RESULTADOS_GRID!$B:$B,$A27,RESULTADOS_GRID!$AB:$AB,"&lt;0"))=0,"",SUMIF(RESULTADOS_GRID!$B:$B,$A27,RESULTADOS_GRID!$AB:$AB)/(COUNTIFS(RESULTADOS_GRID!$B:$B,$A27,RESULTADOS_GRID!$AB:$AB,"&gt;=0")+COUNTIFS(RESULTADOS_GRID!$B:$B,$A27,RESULTADOS_GRID!$AB:$AB,"&lt;0"))))</f>
        <v/>
      </c>
      <c r="N27" s="49" t="n"/>
      <c r="O27" s="57">
        <f>IF($I27="","",COUNTIFS($I$2:$I$101,"&lt;"&amp;$I27)+1)</f>
        <v/>
      </c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9" t="n"/>
      <c r="Z27" s="49" t="n"/>
      <c r="AA27" s="49" t="n"/>
      <c r="AB27" s="49" t="n"/>
      <c r="AC27" s="49" t="n"/>
      <c r="AD27" s="49" t="n"/>
      <c r="AE27" s="49" t="n"/>
      <c r="AF27" s="49" t="n"/>
      <c r="AG27" s="49" t="n"/>
      <c r="AH27" s="49" t="n"/>
      <c r="AI27" s="49" t="n"/>
      <c r="AJ27" s="49" t="n"/>
      <c r="AK27" s="49" t="n"/>
    </row>
    <row r="28" ht="15" customHeight="1" s="27">
      <c r="A28" s="49" t="n"/>
      <c r="B28" s="57">
        <f>IF($A28="","",IFERROR(INDEX(RESULTADOS_GRID!$C:$C,MATCH($A28,RESULTADOS_GRID!$B:$B,0)),""))</f>
        <v/>
      </c>
      <c r="C28" s="57">
        <f>IF($A28="","",IFERROR(INDEX(RESULTADOS_GRID!$E:$E,MATCH($A28,RESULTADOS_GRID!$B:$B,0)),""))</f>
        <v/>
      </c>
      <c r="D28" s="57">
        <f>IF($A28="","",IFERROR(INDEX(RESULTADOS_GRID!$D:$D,MATCH($A28,RESULTADOS_GRID!$B:$B,0)),""))</f>
        <v/>
      </c>
      <c r="E28" s="57">
        <f>IF($A28="","",COUNTIF(RESULTADOS_GRID!$B:$B,$A28))</f>
        <v/>
      </c>
      <c r="F28" s="54">
        <f>IF($A28="","",SUMIF(RESULTADOS_GRID!$B:$B,$A28,RESULTADOS_GRID!$X:$X))</f>
        <v/>
      </c>
      <c r="G28" s="53" t="n"/>
      <c r="H28" s="58">
        <f>CONFIG_REFERENCIA!$E$7</f>
        <v/>
      </c>
      <c r="I28" s="54">
        <f>IF($A28="","",$F28+N($G28)*$H28)</f>
        <v/>
      </c>
      <c r="J28" s="54">
        <f>IF($A28="","",IF((COUNTIFS(RESULTADOS_GRID!$B:$B,$A28,RESULTADOS_GRID!$Y:$Y,"&gt;=0")+COUNTIFS(RESULTADOS_GRID!$B:$B,$A28,RESULTADOS_GRID!$Y:$Y,"&lt;0"))=0,"",SUMIF(RESULTADOS_GRID!$B:$B,$A28,RESULTADOS_GRID!$Y:$Y)/(COUNTIFS(RESULTADOS_GRID!$B:$B,$A28,RESULTADOS_GRID!$Y:$Y,"&gt;=0")+COUNTIFS(RESULTADOS_GRID!$B:$B,$A28,RESULTADOS_GRID!$Y:$Y,"&lt;0"))))</f>
        <v/>
      </c>
      <c r="K28" s="54">
        <f>IF($A28="","",IF((COUNTIFS(RESULTADOS_GRID!$B:$B,$A28,RESULTADOS_GRID!$Z:$Z,"&gt;=0")+COUNTIFS(RESULTADOS_GRID!$B:$B,$A28,RESULTADOS_GRID!$Z:$Z,"&lt;0"))=0,"",SUMIF(RESULTADOS_GRID!$B:$B,$A28,RESULTADOS_GRID!$Z:$Z)/(COUNTIFS(RESULTADOS_GRID!$B:$B,$A28,RESULTADOS_GRID!$Z:$Z,"&gt;=0")+COUNTIFS(RESULTADOS_GRID!$B:$B,$A28,RESULTADOS_GRID!$Z:$Z,"&lt;0"))))</f>
        <v/>
      </c>
      <c r="L28" s="51">
        <f>IF($A28="","",IF((COUNTIFS(RESULTADOS_GRID!$B:$B,$A28,RESULTADOS_GRID!$AA:$AA,"&gt;=0")+COUNTIFS(RESULTADOS_GRID!$B:$B,$A28,RESULTADOS_GRID!$AA:$AA,"&lt;0"))=0,"",SUMIF(RESULTADOS_GRID!$B:$B,$A28,RESULTADOS_GRID!$AA:$AA)/(COUNTIFS(RESULTADOS_GRID!$B:$B,$A28,RESULTADOS_GRID!$AA:$AA,"&gt;=0")+COUNTIFS(RESULTADOS_GRID!$B:$B,$A28,RESULTADOS_GRID!$AA:$AA,"&lt;0"))))</f>
        <v/>
      </c>
      <c r="M28" s="51">
        <f>IF($A28="","",IF((COUNTIFS(RESULTADOS_GRID!$B:$B,$A28,RESULTADOS_GRID!$AB:$AB,"&gt;=0")+COUNTIFS(RESULTADOS_GRID!$B:$B,$A28,RESULTADOS_GRID!$AB:$AB,"&lt;0"))=0,"",SUMIF(RESULTADOS_GRID!$B:$B,$A28,RESULTADOS_GRID!$AB:$AB)/(COUNTIFS(RESULTADOS_GRID!$B:$B,$A28,RESULTADOS_GRID!$AB:$AB,"&gt;=0")+COUNTIFS(RESULTADOS_GRID!$B:$B,$A28,RESULTADOS_GRID!$AB:$AB,"&lt;0"))))</f>
        <v/>
      </c>
      <c r="N28" s="49" t="n"/>
      <c r="O28" s="57">
        <f>IF($I28="","",COUNTIFS($I$2:$I$101,"&lt;"&amp;$I28)+1)</f>
        <v/>
      </c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9" t="n"/>
      <c r="Z28" s="49" t="n"/>
      <c r="AA28" s="49" t="n"/>
      <c r="AB28" s="49" t="n"/>
      <c r="AC28" s="49" t="n"/>
      <c r="AD28" s="49" t="n"/>
      <c r="AE28" s="49" t="n"/>
      <c r="AF28" s="49" t="n"/>
      <c r="AG28" s="49" t="n"/>
      <c r="AH28" s="49" t="n"/>
      <c r="AI28" s="49" t="n"/>
      <c r="AJ28" s="49" t="n"/>
      <c r="AK28" s="49" t="n"/>
    </row>
    <row r="29" ht="15" customHeight="1" s="27">
      <c r="A29" s="49" t="n"/>
      <c r="B29" s="57">
        <f>IF($A29="","",IFERROR(INDEX(RESULTADOS_GRID!$C:$C,MATCH($A29,RESULTADOS_GRID!$B:$B,0)),""))</f>
        <v/>
      </c>
      <c r="C29" s="57">
        <f>IF($A29="","",IFERROR(INDEX(RESULTADOS_GRID!$E:$E,MATCH($A29,RESULTADOS_GRID!$B:$B,0)),""))</f>
        <v/>
      </c>
      <c r="D29" s="57">
        <f>IF($A29="","",IFERROR(INDEX(RESULTADOS_GRID!$D:$D,MATCH($A29,RESULTADOS_GRID!$B:$B,0)),""))</f>
        <v/>
      </c>
      <c r="E29" s="57">
        <f>IF($A29="","",COUNTIF(RESULTADOS_GRID!$B:$B,$A29))</f>
        <v/>
      </c>
      <c r="F29" s="54">
        <f>IF($A29="","",SUMIF(RESULTADOS_GRID!$B:$B,$A29,RESULTADOS_GRID!$X:$X))</f>
        <v/>
      </c>
      <c r="G29" s="53" t="n"/>
      <c r="H29" s="58">
        <f>CONFIG_REFERENCIA!$E$7</f>
        <v/>
      </c>
      <c r="I29" s="54">
        <f>IF($A29="","",$F29+N($G29)*$H29)</f>
        <v/>
      </c>
      <c r="J29" s="54">
        <f>IF($A29="","",IF((COUNTIFS(RESULTADOS_GRID!$B:$B,$A29,RESULTADOS_GRID!$Y:$Y,"&gt;=0")+COUNTIFS(RESULTADOS_GRID!$B:$B,$A29,RESULTADOS_GRID!$Y:$Y,"&lt;0"))=0,"",SUMIF(RESULTADOS_GRID!$B:$B,$A29,RESULTADOS_GRID!$Y:$Y)/(COUNTIFS(RESULTADOS_GRID!$B:$B,$A29,RESULTADOS_GRID!$Y:$Y,"&gt;=0")+COUNTIFS(RESULTADOS_GRID!$B:$B,$A29,RESULTADOS_GRID!$Y:$Y,"&lt;0"))))</f>
        <v/>
      </c>
      <c r="K29" s="54">
        <f>IF($A29="","",IF((COUNTIFS(RESULTADOS_GRID!$B:$B,$A29,RESULTADOS_GRID!$Z:$Z,"&gt;=0")+COUNTIFS(RESULTADOS_GRID!$B:$B,$A29,RESULTADOS_GRID!$Z:$Z,"&lt;0"))=0,"",SUMIF(RESULTADOS_GRID!$B:$B,$A29,RESULTADOS_GRID!$Z:$Z)/(COUNTIFS(RESULTADOS_GRID!$B:$B,$A29,RESULTADOS_GRID!$Z:$Z,"&gt;=0")+COUNTIFS(RESULTADOS_GRID!$B:$B,$A29,RESULTADOS_GRID!$Z:$Z,"&lt;0"))))</f>
        <v/>
      </c>
      <c r="L29" s="51">
        <f>IF($A29="","",IF((COUNTIFS(RESULTADOS_GRID!$B:$B,$A29,RESULTADOS_GRID!$AA:$AA,"&gt;=0")+COUNTIFS(RESULTADOS_GRID!$B:$B,$A29,RESULTADOS_GRID!$AA:$AA,"&lt;0"))=0,"",SUMIF(RESULTADOS_GRID!$B:$B,$A29,RESULTADOS_GRID!$AA:$AA)/(COUNTIFS(RESULTADOS_GRID!$B:$B,$A29,RESULTADOS_GRID!$AA:$AA,"&gt;=0")+COUNTIFS(RESULTADOS_GRID!$B:$B,$A29,RESULTADOS_GRID!$AA:$AA,"&lt;0"))))</f>
        <v/>
      </c>
      <c r="M29" s="51">
        <f>IF($A29="","",IF((COUNTIFS(RESULTADOS_GRID!$B:$B,$A29,RESULTADOS_GRID!$AB:$AB,"&gt;=0")+COUNTIFS(RESULTADOS_GRID!$B:$B,$A29,RESULTADOS_GRID!$AB:$AB,"&lt;0"))=0,"",SUMIF(RESULTADOS_GRID!$B:$B,$A29,RESULTADOS_GRID!$AB:$AB)/(COUNTIFS(RESULTADOS_GRID!$B:$B,$A29,RESULTADOS_GRID!$AB:$AB,"&gt;=0")+COUNTIFS(RESULTADOS_GRID!$B:$B,$A29,RESULTADOS_GRID!$AB:$AB,"&lt;0"))))</f>
        <v/>
      </c>
      <c r="N29" s="49" t="n"/>
      <c r="O29" s="57">
        <f>IF($I29="","",COUNTIFS($I$2:$I$101,"&lt;"&amp;$I29)+1)</f>
        <v/>
      </c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9" t="n"/>
      <c r="Z29" s="49" t="n"/>
      <c r="AA29" s="49" t="n"/>
      <c r="AB29" s="49" t="n"/>
      <c r="AC29" s="49" t="n"/>
      <c r="AD29" s="49" t="n"/>
      <c r="AE29" s="49" t="n"/>
      <c r="AF29" s="49" t="n"/>
      <c r="AG29" s="49" t="n"/>
      <c r="AH29" s="49" t="n"/>
      <c r="AI29" s="49" t="n"/>
      <c r="AJ29" s="49" t="n"/>
      <c r="AK29" s="49" t="n"/>
    </row>
    <row r="30" ht="15" customHeight="1" s="27">
      <c r="A30" s="49" t="n"/>
      <c r="B30" s="57">
        <f>IF($A30="","",IFERROR(INDEX(RESULTADOS_GRID!$C:$C,MATCH($A30,RESULTADOS_GRID!$B:$B,0)),""))</f>
        <v/>
      </c>
      <c r="C30" s="57">
        <f>IF($A30="","",IFERROR(INDEX(RESULTADOS_GRID!$E:$E,MATCH($A30,RESULTADOS_GRID!$B:$B,0)),""))</f>
        <v/>
      </c>
      <c r="D30" s="57">
        <f>IF($A30="","",IFERROR(INDEX(RESULTADOS_GRID!$D:$D,MATCH($A30,RESULTADOS_GRID!$B:$B,0)),""))</f>
        <v/>
      </c>
      <c r="E30" s="57">
        <f>IF($A30="","",COUNTIF(RESULTADOS_GRID!$B:$B,$A30))</f>
        <v/>
      </c>
      <c r="F30" s="54">
        <f>IF($A30="","",SUMIF(RESULTADOS_GRID!$B:$B,$A30,RESULTADOS_GRID!$X:$X))</f>
        <v/>
      </c>
      <c r="G30" s="53" t="n"/>
      <c r="H30" s="58">
        <f>CONFIG_REFERENCIA!$E$7</f>
        <v/>
      </c>
      <c r="I30" s="54">
        <f>IF($A30="","",$F30+N($G30)*$H30)</f>
        <v/>
      </c>
      <c r="J30" s="54">
        <f>IF($A30="","",IF((COUNTIFS(RESULTADOS_GRID!$B:$B,$A30,RESULTADOS_GRID!$Y:$Y,"&gt;=0")+COUNTIFS(RESULTADOS_GRID!$B:$B,$A30,RESULTADOS_GRID!$Y:$Y,"&lt;0"))=0,"",SUMIF(RESULTADOS_GRID!$B:$B,$A30,RESULTADOS_GRID!$Y:$Y)/(COUNTIFS(RESULTADOS_GRID!$B:$B,$A30,RESULTADOS_GRID!$Y:$Y,"&gt;=0")+COUNTIFS(RESULTADOS_GRID!$B:$B,$A30,RESULTADOS_GRID!$Y:$Y,"&lt;0"))))</f>
        <v/>
      </c>
      <c r="K30" s="54">
        <f>IF($A30="","",IF((COUNTIFS(RESULTADOS_GRID!$B:$B,$A30,RESULTADOS_GRID!$Z:$Z,"&gt;=0")+COUNTIFS(RESULTADOS_GRID!$B:$B,$A30,RESULTADOS_GRID!$Z:$Z,"&lt;0"))=0,"",SUMIF(RESULTADOS_GRID!$B:$B,$A30,RESULTADOS_GRID!$Z:$Z)/(COUNTIFS(RESULTADOS_GRID!$B:$B,$A30,RESULTADOS_GRID!$Z:$Z,"&gt;=0")+COUNTIFS(RESULTADOS_GRID!$B:$B,$A30,RESULTADOS_GRID!$Z:$Z,"&lt;0"))))</f>
        <v/>
      </c>
      <c r="L30" s="51">
        <f>IF($A30="","",IF((COUNTIFS(RESULTADOS_GRID!$B:$B,$A30,RESULTADOS_GRID!$AA:$AA,"&gt;=0")+COUNTIFS(RESULTADOS_GRID!$B:$B,$A30,RESULTADOS_GRID!$AA:$AA,"&lt;0"))=0,"",SUMIF(RESULTADOS_GRID!$B:$B,$A30,RESULTADOS_GRID!$AA:$AA)/(COUNTIFS(RESULTADOS_GRID!$B:$B,$A30,RESULTADOS_GRID!$AA:$AA,"&gt;=0")+COUNTIFS(RESULTADOS_GRID!$B:$B,$A30,RESULTADOS_GRID!$AA:$AA,"&lt;0"))))</f>
        <v/>
      </c>
      <c r="M30" s="51">
        <f>IF($A30="","",IF((COUNTIFS(RESULTADOS_GRID!$B:$B,$A30,RESULTADOS_GRID!$AB:$AB,"&gt;=0")+COUNTIFS(RESULTADOS_GRID!$B:$B,$A30,RESULTADOS_GRID!$AB:$AB,"&lt;0"))=0,"",SUMIF(RESULTADOS_GRID!$B:$B,$A30,RESULTADOS_GRID!$AB:$AB)/(COUNTIFS(RESULTADOS_GRID!$B:$B,$A30,RESULTADOS_GRID!$AB:$AB,"&gt;=0")+COUNTIFS(RESULTADOS_GRID!$B:$B,$A30,RESULTADOS_GRID!$AB:$AB,"&lt;0"))))</f>
        <v/>
      </c>
      <c r="N30" s="49" t="n"/>
      <c r="O30" s="57">
        <f>IF($I30="","",COUNTIFS($I$2:$I$101,"&lt;"&amp;$I30)+1)</f>
        <v/>
      </c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9" t="n"/>
      <c r="Z30" s="49" t="n"/>
      <c r="AA30" s="49" t="n"/>
      <c r="AB30" s="49" t="n"/>
      <c r="AC30" s="49" t="n"/>
      <c r="AD30" s="49" t="n"/>
      <c r="AE30" s="49" t="n"/>
      <c r="AF30" s="49" t="n"/>
      <c r="AG30" s="49" t="n"/>
      <c r="AH30" s="49" t="n"/>
      <c r="AI30" s="49" t="n"/>
      <c r="AJ30" s="49" t="n"/>
      <c r="AK30" s="49" t="n"/>
    </row>
    <row r="31" ht="15" customHeight="1" s="27">
      <c r="A31" s="49" t="n"/>
      <c r="B31" s="57">
        <f>IF($A31="","",IFERROR(INDEX(RESULTADOS_GRID!$C:$C,MATCH($A31,RESULTADOS_GRID!$B:$B,0)),""))</f>
        <v/>
      </c>
      <c r="C31" s="57">
        <f>IF($A31="","",IFERROR(INDEX(RESULTADOS_GRID!$E:$E,MATCH($A31,RESULTADOS_GRID!$B:$B,0)),""))</f>
        <v/>
      </c>
      <c r="D31" s="57">
        <f>IF($A31="","",IFERROR(INDEX(RESULTADOS_GRID!$D:$D,MATCH($A31,RESULTADOS_GRID!$B:$B,0)),""))</f>
        <v/>
      </c>
      <c r="E31" s="57">
        <f>IF($A31="","",COUNTIF(RESULTADOS_GRID!$B:$B,$A31))</f>
        <v/>
      </c>
      <c r="F31" s="54">
        <f>IF($A31="","",SUMIF(RESULTADOS_GRID!$B:$B,$A31,RESULTADOS_GRID!$X:$X))</f>
        <v/>
      </c>
      <c r="G31" s="53" t="n"/>
      <c r="H31" s="58">
        <f>CONFIG_REFERENCIA!$E$7</f>
        <v/>
      </c>
      <c r="I31" s="54">
        <f>IF($A31="","",$F31+N($G31)*$H31)</f>
        <v/>
      </c>
      <c r="J31" s="54">
        <f>IF($A31="","",IF((COUNTIFS(RESULTADOS_GRID!$B:$B,$A31,RESULTADOS_GRID!$Y:$Y,"&gt;=0")+COUNTIFS(RESULTADOS_GRID!$B:$B,$A31,RESULTADOS_GRID!$Y:$Y,"&lt;0"))=0,"",SUMIF(RESULTADOS_GRID!$B:$B,$A31,RESULTADOS_GRID!$Y:$Y)/(COUNTIFS(RESULTADOS_GRID!$B:$B,$A31,RESULTADOS_GRID!$Y:$Y,"&gt;=0")+COUNTIFS(RESULTADOS_GRID!$B:$B,$A31,RESULTADOS_GRID!$Y:$Y,"&lt;0"))))</f>
        <v/>
      </c>
      <c r="K31" s="54">
        <f>IF($A31="","",IF((COUNTIFS(RESULTADOS_GRID!$B:$B,$A31,RESULTADOS_GRID!$Z:$Z,"&gt;=0")+COUNTIFS(RESULTADOS_GRID!$B:$B,$A31,RESULTADOS_GRID!$Z:$Z,"&lt;0"))=0,"",SUMIF(RESULTADOS_GRID!$B:$B,$A31,RESULTADOS_GRID!$Z:$Z)/(COUNTIFS(RESULTADOS_GRID!$B:$B,$A31,RESULTADOS_GRID!$Z:$Z,"&gt;=0")+COUNTIFS(RESULTADOS_GRID!$B:$B,$A31,RESULTADOS_GRID!$Z:$Z,"&lt;0"))))</f>
        <v/>
      </c>
      <c r="L31" s="51">
        <f>IF($A31="","",IF((COUNTIFS(RESULTADOS_GRID!$B:$B,$A31,RESULTADOS_GRID!$AA:$AA,"&gt;=0")+COUNTIFS(RESULTADOS_GRID!$B:$B,$A31,RESULTADOS_GRID!$AA:$AA,"&lt;0"))=0,"",SUMIF(RESULTADOS_GRID!$B:$B,$A31,RESULTADOS_GRID!$AA:$AA)/(COUNTIFS(RESULTADOS_GRID!$B:$B,$A31,RESULTADOS_GRID!$AA:$AA,"&gt;=0")+COUNTIFS(RESULTADOS_GRID!$B:$B,$A31,RESULTADOS_GRID!$AA:$AA,"&lt;0"))))</f>
        <v/>
      </c>
      <c r="M31" s="51">
        <f>IF($A31="","",IF((COUNTIFS(RESULTADOS_GRID!$B:$B,$A31,RESULTADOS_GRID!$AB:$AB,"&gt;=0")+COUNTIFS(RESULTADOS_GRID!$B:$B,$A31,RESULTADOS_GRID!$AB:$AB,"&lt;0"))=0,"",SUMIF(RESULTADOS_GRID!$B:$B,$A31,RESULTADOS_GRID!$AB:$AB)/(COUNTIFS(RESULTADOS_GRID!$B:$B,$A31,RESULTADOS_GRID!$AB:$AB,"&gt;=0")+COUNTIFS(RESULTADOS_GRID!$B:$B,$A31,RESULTADOS_GRID!$AB:$AB,"&lt;0"))))</f>
        <v/>
      </c>
      <c r="N31" s="49" t="n"/>
      <c r="O31" s="57">
        <f>IF($I31="","",COUNTIFS($I$2:$I$101,"&lt;"&amp;$I31)+1)</f>
        <v/>
      </c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9" t="n"/>
      <c r="Z31" s="49" t="n"/>
      <c r="AA31" s="49" t="n"/>
      <c r="AB31" s="49" t="n"/>
      <c r="AC31" s="49" t="n"/>
      <c r="AD31" s="49" t="n"/>
      <c r="AE31" s="49" t="n"/>
      <c r="AF31" s="49" t="n"/>
      <c r="AG31" s="49" t="n"/>
      <c r="AH31" s="49" t="n"/>
      <c r="AI31" s="49" t="n"/>
      <c r="AJ31" s="49" t="n"/>
      <c r="AK31" s="49" t="n"/>
    </row>
    <row r="32" ht="15" customHeight="1" s="27">
      <c r="A32" s="49" t="n"/>
      <c r="B32" s="57">
        <f>IF($A32="","",IFERROR(INDEX(RESULTADOS_GRID!$C:$C,MATCH($A32,RESULTADOS_GRID!$B:$B,0)),""))</f>
        <v/>
      </c>
      <c r="C32" s="57">
        <f>IF($A32="","",IFERROR(INDEX(RESULTADOS_GRID!$E:$E,MATCH($A32,RESULTADOS_GRID!$B:$B,0)),""))</f>
        <v/>
      </c>
      <c r="D32" s="57">
        <f>IF($A32="","",IFERROR(INDEX(RESULTADOS_GRID!$D:$D,MATCH($A32,RESULTADOS_GRID!$B:$B,0)),""))</f>
        <v/>
      </c>
      <c r="E32" s="57">
        <f>IF($A32="","",COUNTIF(RESULTADOS_GRID!$B:$B,$A32))</f>
        <v/>
      </c>
      <c r="F32" s="54">
        <f>IF($A32="","",SUMIF(RESULTADOS_GRID!$B:$B,$A32,RESULTADOS_GRID!$X:$X))</f>
        <v/>
      </c>
      <c r="G32" s="53" t="n"/>
      <c r="H32" s="58">
        <f>CONFIG_REFERENCIA!$E$7</f>
        <v/>
      </c>
      <c r="I32" s="54">
        <f>IF($A32="","",$F32+N($G32)*$H32)</f>
        <v/>
      </c>
      <c r="J32" s="54">
        <f>IF($A32="","",IF((COUNTIFS(RESULTADOS_GRID!$B:$B,$A32,RESULTADOS_GRID!$Y:$Y,"&gt;=0")+COUNTIFS(RESULTADOS_GRID!$B:$B,$A32,RESULTADOS_GRID!$Y:$Y,"&lt;0"))=0,"",SUMIF(RESULTADOS_GRID!$B:$B,$A32,RESULTADOS_GRID!$Y:$Y)/(COUNTIFS(RESULTADOS_GRID!$B:$B,$A32,RESULTADOS_GRID!$Y:$Y,"&gt;=0")+COUNTIFS(RESULTADOS_GRID!$B:$B,$A32,RESULTADOS_GRID!$Y:$Y,"&lt;0"))))</f>
        <v/>
      </c>
      <c r="K32" s="54">
        <f>IF($A32="","",IF((COUNTIFS(RESULTADOS_GRID!$B:$B,$A32,RESULTADOS_GRID!$Z:$Z,"&gt;=0")+COUNTIFS(RESULTADOS_GRID!$B:$B,$A32,RESULTADOS_GRID!$Z:$Z,"&lt;0"))=0,"",SUMIF(RESULTADOS_GRID!$B:$B,$A32,RESULTADOS_GRID!$Z:$Z)/(COUNTIFS(RESULTADOS_GRID!$B:$B,$A32,RESULTADOS_GRID!$Z:$Z,"&gt;=0")+COUNTIFS(RESULTADOS_GRID!$B:$B,$A32,RESULTADOS_GRID!$Z:$Z,"&lt;0"))))</f>
        <v/>
      </c>
      <c r="L32" s="51">
        <f>IF($A32="","",IF((COUNTIFS(RESULTADOS_GRID!$B:$B,$A32,RESULTADOS_GRID!$AA:$AA,"&gt;=0")+COUNTIFS(RESULTADOS_GRID!$B:$B,$A32,RESULTADOS_GRID!$AA:$AA,"&lt;0"))=0,"",SUMIF(RESULTADOS_GRID!$B:$B,$A32,RESULTADOS_GRID!$AA:$AA)/(COUNTIFS(RESULTADOS_GRID!$B:$B,$A32,RESULTADOS_GRID!$AA:$AA,"&gt;=0")+COUNTIFS(RESULTADOS_GRID!$B:$B,$A32,RESULTADOS_GRID!$AA:$AA,"&lt;0"))))</f>
        <v/>
      </c>
      <c r="M32" s="51">
        <f>IF($A32="","",IF((COUNTIFS(RESULTADOS_GRID!$B:$B,$A32,RESULTADOS_GRID!$AB:$AB,"&gt;=0")+COUNTIFS(RESULTADOS_GRID!$B:$B,$A32,RESULTADOS_GRID!$AB:$AB,"&lt;0"))=0,"",SUMIF(RESULTADOS_GRID!$B:$B,$A32,RESULTADOS_GRID!$AB:$AB)/(COUNTIFS(RESULTADOS_GRID!$B:$B,$A32,RESULTADOS_GRID!$AB:$AB,"&gt;=0")+COUNTIFS(RESULTADOS_GRID!$B:$B,$A32,RESULTADOS_GRID!$AB:$AB,"&lt;0"))))</f>
        <v/>
      </c>
      <c r="N32" s="49" t="n"/>
      <c r="O32" s="57">
        <f>IF($I32="","",COUNTIFS($I$2:$I$101,"&lt;"&amp;$I32)+1)</f>
        <v/>
      </c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9" t="n"/>
      <c r="Z32" s="49" t="n"/>
      <c r="AA32" s="49" t="n"/>
      <c r="AB32" s="49" t="n"/>
      <c r="AC32" s="49" t="n"/>
      <c r="AD32" s="49" t="n"/>
      <c r="AE32" s="49" t="n"/>
      <c r="AF32" s="49" t="n"/>
      <c r="AG32" s="49" t="n"/>
      <c r="AH32" s="49" t="n"/>
      <c r="AI32" s="49" t="n"/>
      <c r="AJ32" s="49" t="n"/>
      <c r="AK32" s="49" t="n"/>
    </row>
    <row r="33" ht="15" customHeight="1" s="27">
      <c r="A33" s="49" t="n"/>
      <c r="B33" s="57">
        <f>IF($A33="","",IFERROR(INDEX(RESULTADOS_GRID!$C:$C,MATCH($A33,RESULTADOS_GRID!$B:$B,0)),""))</f>
        <v/>
      </c>
      <c r="C33" s="57">
        <f>IF($A33="","",IFERROR(INDEX(RESULTADOS_GRID!$E:$E,MATCH($A33,RESULTADOS_GRID!$B:$B,0)),""))</f>
        <v/>
      </c>
      <c r="D33" s="57">
        <f>IF($A33="","",IFERROR(INDEX(RESULTADOS_GRID!$D:$D,MATCH($A33,RESULTADOS_GRID!$B:$B,0)),""))</f>
        <v/>
      </c>
      <c r="E33" s="57">
        <f>IF($A33="","",COUNTIF(RESULTADOS_GRID!$B:$B,$A33))</f>
        <v/>
      </c>
      <c r="F33" s="54">
        <f>IF($A33="","",SUMIF(RESULTADOS_GRID!$B:$B,$A33,RESULTADOS_GRID!$X:$X))</f>
        <v/>
      </c>
      <c r="G33" s="53" t="n"/>
      <c r="H33" s="58">
        <f>CONFIG_REFERENCIA!$E$7</f>
        <v/>
      </c>
      <c r="I33" s="54">
        <f>IF($A33="","",$F33+N($G33)*$H33)</f>
        <v/>
      </c>
      <c r="J33" s="54">
        <f>IF($A33="","",IF((COUNTIFS(RESULTADOS_GRID!$B:$B,$A33,RESULTADOS_GRID!$Y:$Y,"&gt;=0")+COUNTIFS(RESULTADOS_GRID!$B:$B,$A33,RESULTADOS_GRID!$Y:$Y,"&lt;0"))=0,"",SUMIF(RESULTADOS_GRID!$B:$B,$A33,RESULTADOS_GRID!$Y:$Y)/(COUNTIFS(RESULTADOS_GRID!$B:$B,$A33,RESULTADOS_GRID!$Y:$Y,"&gt;=0")+COUNTIFS(RESULTADOS_GRID!$B:$B,$A33,RESULTADOS_GRID!$Y:$Y,"&lt;0"))))</f>
        <v/>
      </c>
      <c r="K33" s="54">
        <f>IF($A33="","",IF((COUNTIFS(RESULTADOS_GRID!$B:$B,$A33,RESULTADOS_GRID!$Z:$Z,"&gt;=0")+COUNTIFS(RESULTADOS_GRID!$B:$B,$A33,RESULTADOS_GRID!$Z:$Z,"&lt;0"))=0,"",SUMIF(RESULTADOS_GRID!$B:$B,$A33,RESULTADOS_GRID!$Z:$Z)/(COUNTIFS(RESULTADOS_GRID!$B:$B,$A33,RESULTADOS_GRID!$Z:$Z,"&gt;=0")+COUNTIFS(RESULTADOS_GRID!$B:$B,$A33,RESULTADOS_GRID!$Z:$Z,"&lt;0"))))</f>
        <v/>
      </c>
      <c r="L33" s="51">
        <f>IF($A33="","",IF((COUNTIFS(RESULTADOS_GRID!$B:$B,$A33,RESULTADOS_GRID!$AA:$AA,"&gt;=0")+COUNTIFS(RESULTADOS_GRID!$B:$B,$A33,RESULTADOS_GRID!$AA:$AA,"&lt;0"))=0,"",SUMIF(RESULTADOS_GRID!$B:$B,$A33,RESULTADOS_GRID!$AA:$AA)/(COUNTIFS(RESULTADOS_GRID!$B:$B,$A33,RESULTADOS_GRID!$AA:$AA,"&gt;=0")+COUNTIFS(RESULTADOS_GRID!$B:$B,$A33,RESULTADOS_GRID!$AA:$AA,"&lt;0"))))</f>
        <v/>
      </c>
      <c r="M33" s="51">
        <f>IF($A33="","",IF((COUNTIFS(RESULTADOS_GRID!$B:$B,$A33,RESULTADOS_GRID!$AB:$AB,"&gt;=0")+COUNTIFS(RESULTADOS_GRID!$B:$B,$A33,RESULTADOS_GRID!$AB:$AB,"&lt;0"))=0,"",SUMIF(RESULTADOS_GRID!$B:$B,$A33,RESULTADOS_GRID!$AB:$AB)/(COUNTIFS(RESULTADOS_GRID!$B:$B,$A33,RESULTADOS_GRID!$AB:$AB,"&gt;=0")+COUNTIFS(RESULTADOS_GRID!$B:$B,$A33,RESULTADOS_GRID!$AB:$AB,"&lt;0"))))</f>
        <v/>
      </c>
      <c r="N33" s="49" t="n"/>
      <c r="O33" s="57">
        <f>IF($I33="","",COUNTIFS($I$2:$I$101,"&lt;"&amp;$I33)+1)</f>
        <v/>
      </c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9" t="n"/>
      <c r="Z33" s="49" t="n"/>
      <c r="AA33" s="49" t="n"/>
      <c r="AB33" s="49" t="n"/>
      <c r="AC33" s="49" t="n"/>
      <c r="AD33" s="49" t="n"/>
      <c r="AE33" s="49" t="n"/>
      <c r="AF33" s="49" t="n"/>
      <c r="AG33" s="49" t="n"/>
      <c r="AH33" s="49" t="n"/>
      <c r="AI33" s="49" t="n"/>
      <c r="AJ33" s="49" t="n"/>
      <c r="AK33" s="49" t="n"/>
    </row>
    <row r="34" ht="15" customHeight="1" s="27">
      <c r="A34" s="49" t="n"/>
      <c r="B34" s="57">
        <f>IF($A34="","",IFERROR(INDEX(RESULTADOS_GRID!$C:$C,MATCH($A34,RESULTADOS_GRID!$B:$B,0)),""))</f>
        <v/>
      </c>
      <c r="C34" s="57">
        <f>IF($A34="","",IFERROR(INDEX(RESULTADOS_GRID!$E:$E,MATCH($A34,RESULTADOS_GRID!$B:$B,0)),""))</f>
        <v/>
      </c>
      <c r="D34" s="57">
        <f>IF($A34="","",IFERROR(INDEX(RESULTADOS_GRID!$D:$D,MATCH($A34,RESULTADOS_GRID!$B:$B,0)),""))</f>
        <v/>
      </c>
      <c r="E34" s="57">
        <f>IF($A34="","",COUNTIF(RESULTADOS_GRID!$B:$B,$A34))</f>
        <v/>
      </c>
      <c r="F34" s="54">
        <f>IF($A34="","",SUMIF(RESULTADOS_GRID!$B:$B,$A34,RESULTADOS_GRID!$X:$X))</f>
        <v/>
      </c>
      <c r="G34" s="53" t="n"/>
      <c r="H34" s="58">
        <f>CONFIG_REFERENCIA!$E$7</f>
        <v/>
      </c>
      <c r="I34" s="54">
        <f>IF($A34="","",$F34+N($G34)*$H34)</f>
        <v/>
      </c>
      <c r="J34" s="54">
        <f>IF($A34="","",IF((COUNTIFS(RESULTADOS_GRID!$B:$B,$A34,RESULTADOS_GRID!$Y:$Y,"&gt;=0")+COUNTIFS(RESULTADOS_GRID!$B:$B,$A34,RESULTADOS_GRID!$Y:$Y,"&lt;0"))=0,"",SUMIF(RESULTADOS_GRID!$B:$B,$A34,RESULTADOS_GRID!$Y:$Y)/(COUNTIFS(RESULTADOS_GRID!$B:$B,$A34,RESULTADOS_GRID!$Y:$Y,"&gt;=0")+COUNTIFS(RESULTADOS_GRID!$B:$B,$A34,RESULTADOS_GRID!$Y:$Y,"&lt;0"))))</f>
        <v/>
      </c>
      <c r="K34" s="54">
        <f>IF($A34="","",IF((COUNTIFS(RESULTADOS_GRID!$B:$B,$A34,RESULTADOS_GRID!$Z:$Z,"&gt;=0")+COUNTIFS(RESULTADOS_GRID!$B:$B,$A34,RESULTADOS_GRID!$Z:$Z,"&lt;0"))=0,"",SUMIF(RESULTADOS_GRID!$B:$B,$A34,RESULTADOS_GRID!$Z:$Z)/(COUNTIFS(RESULTADOS_GRID!$B:$B,$A34,RESULTADOS_GRID!$Z:$Z,"&gt;=0")+COUNTIFS(RESULTADOS_GRID!$B:$B,$A34,RESULTADOS_GRID!$Z:$Z,"&lt;0"))))</f>
        <v/>
      </c>
      <c r="L34" s="51">
        <f>IF($A34="","",IF((COUNTIFS(RESULTADOS_GRID!$B:$B,$A34,RESULTADOS_GRID!$AA:$AA,"&gt;=0")+COUNTIFS(RESULTADOS_GRID!$B:$B,$A34,RESULTADOS_GRID!$AA:$AA,"&lt;0"))=0,"",SUMIF(RESULTADOS_GRID!$B:$B,$A34,RESULTADOS_GRID!$AA:$AA)/(COUNTIFS(RESULTADOS_GRID!$B:$B,$A34,RESULTADOS_GRID!$AA:$AA,"&gt;=0")+COUNTIFS(RESULTADOS_GRID!$B:$B,$A34,RESULTADOS_GRID!$AA:$AA,"&lt;0"))))</f>
        <v/>
      </c>
      <c r="M34" s="51">
        <f>IF($A34="","",IF((COUNTIFS(RESULTADOS_GRID!$B:$B,$A34,RESULTADOS_GRID!$AB:$AB,"&gt;=0")+COUNTIFS(RESULTADOS_GRID!$B:$B,$A34,RESULTADOS_GRID!$AB:$AB,"&lt;0"))=0,"",SUMIF(RESULTADOS_GRID!$B:$B,$A34,RESULTADOS_GRID!$AB:$AB)/(COUNTIFS(RESULTADOS_GRID!$B:$B,$A34,RESULTADOS_GRID!$AB:$AB,"&gt;=0")+COUNTIFS(RESULTADOS_GRID!$B:$B,$A34,RESULTADOS_GRID!$AB:$AB,"&lt;0"))))</f>
        <v/>
      </c>
      <c r="N34" s="49" t="n"/>
      <c r="O34" s="57">
        <f>IF($I34="","",COUNTIFS($I$2:$I$101,"&lt;"&amp;$I34)+1)</f>
        <v/>
      </c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9" t="n"/>
      <c r="Z34" s="49" t="n"/>
      <c r="AA34" s="49" t="n"/>
      <c r="AB34" s="49" t="n"/>
      <c r="AC34" s="49" t="n"/>
      <c r="AD34" s="49" t="n"/>
      <c r="AE34" s="49" t="n"/>
      <c r="AF34" s="49" t="n"/>
      <c r="AG34" s="49" t="n"/>
      <c r="AH34" s="49" t="n"/>
      <c r="AI34" s="49" t="n"/>
      <c r="AJ34" s="49" t="n"/>
      <c r="AK34" s="49" t="n"/>
    </row>
    <row r="35" ht="15" customHeight="1" s="27">
      <c r="A35" s="49" t="n"/>
      <c r="B35" s="57">
        <f>IF($A35="","",IFERROR(INDEX(RESULTADOS_GRID!$C:$C,MATCH($A35,RESULTADOS_GRID!$B:$B,0)),""))</f>
        <v/>
      </c>
      <c r="C35" s="57">
        <f>IF($A35="","",IFERROR(INDEX(RESULTADOS_GRID!$E:$E,MATCH($A35,RESULTADOS_GRID!$B:$B,0)),""))</f>
        <v/>
      </c>
      <c r="D35" s="57">
        <f>IF($A35="","",IFERROR(INDEX(RESULTADOS_GRID!$D:$D,MATCH($A35,RESULTADOS_GRID!$B:$B,0)),""))</f>
        <v/>
      </c>
      <c r="E35" s="57">
        <f>IF($A35="","",COUNTIF(RESULTADOS_GRID!$B:$B,$A35))</f>
        <v/>
      </c>
      <c r="F35" s="54">
        <f>IF($A35="","",SUMIF(RESULTADOS_GRID!$B:$B,$A35,RESULTADOS_GRID!$X:$X))</f>
        <v/>
      </c>
      <c r="G35" s="53" t="n"/>
      <c r="H35" s="58">
        <f>CONFIG_REFERENCIA!$E$7</f>
        <v/>
      </c>
      <c r="I35" s="54">
        <f>IF($A35="","",$F35+N($G35)*$H35)</f>
        <v/>
      </c>
      <c r="J35" s="54">
        <f>IF($A35="","",IF((COUNTIFS(RESULTADOS_GRID!$B:$B,$A35,RESULTADOS_GRID!$Y:$Y,"&gt;=0")+COUNTIFS(RESULTADOS_GRID!$B:$B,$A35,RESULTADOS_GRID!$Y:$Y,"&lt;0"))=0,"",SUMIF(RESULTADOS_GRID!$B:$B,$A35,RESULTADOS_GRID!$Y:$Y)/(COUNTIFS(RESULTADOS_GRID!$B:$B,$A35,RESULTADOS_GRID!$Y:$Y,"&gt;=0")+COUNTIFS(RESULTADOS_GRID!$B:$B,$A35,RESULTADOS_GRID!$Y:$Y,"&lt;0"))))</f>
        <v/>
      </c>
      <c r="K35" s="54">
        <f>IF($A35="","",IF((COUNTIFS(RESULTADOS_GRID!$B:$B,$A35,RESULTADOS_GRID!$Z:$Z,"&gt;=0")+COUNTIFS(RESULTADOS_GRID!$B:$B,$A35,RESULTADOS_GRID!$Z:$Z,"&lt;0"))=0,"",SUMIF(RESULTADOS_GRID!$B:$B,$A35,RESULTADOS_GRID!$Z:$Z)/(COUNTIFS(RESULTADOS_GRID!$B:$B,$A35,RESULTADOS_GRID!$Z:$Z,"&gt;=0")+COUNTIFS(RESULTADOS_GRID!$B:$B,$A35,RESULTADOS_GRID!$Z:$Z,"&lt;0"))))</f>
        <v/>
      </c>
      <c r="L35" s="51">
        <f>IF($A35="","",IF((COUNTIFS(RESULTADOS_GRID!$B:$B,$A35,RESULTADOS_GRID!$AA:$AA,"&gt;=0")+COUNTIFS(RESULTADOS_GRID!$B:$B,$A35,RESULTADOS_GRID!$AA:$AA,"&lt;0"))=0,"",SUMIF(RESULTADOS_GRID!$B:$B,$A35,RESULTADOS_GRID!$AA:$AA)/(COUNTIFS(RESULTADOS_GRID!$B:$B,$A35,RESULTADOS_GRID!$AA:$AA,"&gt;=0")+COUNTIFS(RESULTADOS_GRID!$B:$B,$A35,RESULTADOS_GRID!$AA:$AA,"&lt;0"))))</f>
        <v/>
      </c>
      <c r="M35" s="51">
        <f>IF($A35="","",IF((COUNTIFS(RESULTADOS_GRID!$B:$B,$A35,RESULTADOS_GRID!$AB:$AB,"&gt;=0")+COUNTIFS(RESULTADOS_GRID!$B:$B,$A35,RESULTADOS_GRID!$AB:$AB,"&lt;0"))=0,"",SUMIF(RESULTADOS_GRID!$B:$B,$A35,RESULTADOS_GRID!$AB:$AB)/(COUNTIFS(RESULTADOS_GRID!$B:$B,$A35,RESULTADOS_GRID!$AB:$AB,"&gt;=0")+COUNTIFS(RESULTADOS_GRID!$B:$B,$A35,RESULTADOS_GRID!$AB:$AB,"&lt;0"))))</f>
        <v/>
      </c>
      <c r="N35" s="49" t="n"/>
      <c r="O35" s="57">
        <f>IF($I35="","",COUNTIFS($I$2:$I$101,"&lt;"&amp;$I35)+1)</f>
        <v/>
      </c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9" t="n"/>
      <c r="Z35" s="49" t="n"/>
      <c r="AA35" s="49" t="n"/>
      <c r="AB35" s="49" t="n"/>
      <c r="AC35" s="49" t="n"/>
      <c r="AD35" s="49" t="n"/>
      <c r="AE35" s="49" t="n"/>
      <c r="AF35" s="49" t="n"/>
      <c r="AG35" s="49" t="n"/>
      <c r="AH35" s="49" t="n"/>
      <c r="AI35" s="49" t="n"/>
      <c r="AJ35" s="49" t="n"/>
      <c r="AK35" s="49" t="n"/>
    </row>
    <row r="36" ht="15" customHeight="1" s="27">
      <c r="A36" s="49" t="n"/>
      <c r="B36" s="57">
        <f>IF($A36="","",IFERROR(INDEX(RESULTADOS_GRID!$C:$C,MATCH($A36,RESULTADOS_GRID!$B:$B,0)),""))</f>
        <v/>
      </c>
      <c r="C36" s="57">
        <f>IF($A36="","",IFERROR(INDEX(RESULTADOS_GRID!$E:$E,MATCH($A36,RESULTADOS_GRID!$B:$B,0)),""))</f>
        <v/>
      </c>
      <c r="D36" s="57">
        <f>IF($A36="","",IFERROR(INDEX(RESULTADOS_GRID!$D:$D,MATCH($A36,RESULTADOS_GRID!$B:$B,0)),""))</f>
        <v/>
      </c>
      <c r="E36" s="57">
        <f>IF($A36="","",COUNTIF(RESULTADOS_GRID!$B:$B,$A36))</f>
        <v/>
      </c>
      <c r="F36" s="54">
        <f>IF($A36="","",SUMIF(RESULTADOS_GRID!$B:$B,$A36,RESULTADOS_GRID!$X:$X))</f>
        <v/>
      </c>
      <c r="G36" s="53" t="n"/>
      <c r="H36" s="58">
        <f>CONFIG_REFERENCIA!$E$7</f>
        <v/>
      </c>
      <c r="I36" s="54">
        <f>IF($A36="","",$F36+N($G36)*$H36)</f>
        <v/>
      </c>
      <c r="J36" s="54">
        <f>IF($A36="","",IF((COUNTIFS(RESULTADOS_GRID!$B:$B,$A36,RESULTADOS_GRID!$Y:$Y,"&gt;=0")+COUNTIFS(RESULTADOS_GRID!$B:$B,$A36,RESULTADOS_GRID!$Y:$Y,"&lt;0"))=0,"",SUMIF(RESULTADOS_GRID!$B:$B,$A36,RESULTADOS_GRID!$Y:$Y)/(COUNTIFS(RESULTADOS_GRID!$B:$B,$A36,RESULTADOS_GRID!$Y:$Y,"&gt;=0")+COUNTIFS(RESULTADOS_GRID!$B:$B,$A36,RESULTADOS_GRID!$Y:$Y,"&lt;0"))))</f>
        <v/>
      </c>
      <c r="K36" s="54">
        <f>IF($A36="","",IF((COUNTIFS(RESULTADOS_GRID!$B:$B,$A36,RESULTADOS_GRID!$Z:$Z,"&gt;=0")+COUNTIFS(RESULTADOS_GRID!$B:$B,$A36,RESULTADOS_GRID!$Z:$Z,"&lt;0"))=0,"",SUMIF(RESULTADOS_GRID!$B:$B,$A36,RESULTADOS_GRID!$Z:$Z)/(COUNTIFS(RESULTADOS_GRID!$B:$B,$A36,RESULTADOS_GRID!$Z:$Z,"&gt;=0")+COUNTIFS(RESULTADOS_GRID!$B:$B,$A36,RESULTADOS_GRID!$Z:$Z,"&lt;0"))))</f>
        <v/>
      </c>
      <c r="L36" s="51">
        <f>IF($A36="","",IF((COUNTIFS(RESULTADOS_GRID!$B:$B,$A36,RESULTADOS_GRID!$AA:$AA,"&gt;=0")+COUNTIFS(RESULTADOS_GRID!$B:$B,$A36,RESULTADOS_GRID!$AA:$AA,"&lt;0"))=0,"",SUMIF(RESULTADOS_GRID!$B:$B,$A36,RESULTADOS_GRID!$AA:$AA)/(COUNTIFS(RESULTADOS_GRID!$B:$B,$A36,RESULTADOS_GRID!$AA:$AA,"&gt;=0")+COUNTIFS(RESULTADOS_GRID!$B:$B,$A36,RESULTADOS_GRID!$AA:$AA,"&lt;0"))))</f>
        <v/>
      </c>
      <c r="M36" s="51">
        <f>IF($A36="","",IF((COUNTIFS(RESULTADOS_GRID!$B:$B,$A36,RESULTADOS_GRID!$AB:$AB,"&gt;=0")+COUNTIFS(RESULTADOS_GRID!$B:$B,$A36,RESULTADOS_GRID!$AB:$AB,"&lt;0"))=0,"",SUMIF(RESULTADOS_GRID!$B:$B,$A36,RESULTADOS_GRID!$AB:$AB)/(COUNTIFS(RESULTADOS_GRID!$B:$B,$A36,RESULTADOS_GRID!$AB:$AB,"&gt;=0")+COUNTIFS(RESULTADOS_GRID!$B:$B,$A36,RESULTADOS_GRID!$AB:$AB,"&lt;0"))))</f>
        <v/>
      </c>
      <c r="N36" s="49" t="n"/>
      <c r="O36" s="57">
        <f>IF($I36="","",COUNTIFS($I$2:$I$101,"&lt;"&amp;$I36)+1)</f>
        <v/>
      </c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9" t="n"/>
      <c r="Z36" s="49" t="n"/>
      <c r="AA36" s="49" t="n"/>
      <c r="AB36" s="49" t="n"/>
      <c r="AC36" s="49" t="n"/>
      <c r="AD36" s="49" t="n"/>
      <c r="AE36" s="49" t="n"/>
      <c r="AF36" s="49" t="n"/>
      <c r="AG36" s="49" t="n"/>
      <c r="AH36" s="49" t="n"/>
      <c r="AI36" s="49" t="n"/>
      <c r="AJ36" s="49" t="n"/>
      <c r="AK36" s="49" t="n"/>
    </row>
    <row r="37" ht="15" customHeight="1" s="27">
      <c r="A37" s="49" t="n"/>
      <c r="B37" s="57">
        <f>IF($A37="","",IFERROR(INDEX(RESULTADOS_GRID!$C:$C,MATCH($A37,RESULTADOS_GRID!$B:$B,0)),""))</f>
        <v/>
      </c>
      <c r="C37" s="57">
        <f>IF($A37="","",IFERROR(INDEX(RESULTADOS_GRID!$E:$E,MATCH($A37,RESULTADOS_GRID!$B:$B,0)),""))</f>
        <v/>
      </c>
      <c r="D37" s="57">
        <f>IF($A37="","",IFERROR(INDEX(RESULTADOS_GRID!$D:$D,MATCH($A37,RESULTADOS_GRID!$B:$B,0)),""))</f>
        <v/>
      </c>
      <c r="E37" s="57">
        <f>IF($A37="","",COUNTIF(RESULTADOS_GRID!$B:$B,$A37))</f>
        <v/>
      </c>
      <c r="F37" s="54">
        <f>IF($A37="","",SUMIF(RESULTADOS_GRID!$B:$B,$A37,RESULTADOS_GRID!$X:$X))</f>
        <v/>
      </c>
      <c r="G37" s="53" t="n"/>
      <c r="H37" s="58">
        <f>CONFIG_REFERENCIA!$E$7</f>
        <v/>
      </c>
      <c r="I37" s="54">
        <f>IF($A37="","",$F37+N($G37)*$H37)</f>
        <v/>
      </c>
      <c r="J37" s="54">
        <f>IF($A37="","",IF((COUNTIFS(RESULTADOS_GRID!$B:$B,$A37,RESULTADOS_GRID!$Y:$Y,"&gt;=0")+COUNTIFS(RESULTADOS_GRID!$B:$B,$A37,RESULTADOS_GRID!$Y:$Y,"&lt;0"))=0,"",SUMIF(RESULTADOS_GRID!$B:$B,$A37,RESULTADOS_GRID!$Y:$Y)/(COUNTIFS(RESULTADOS_GRID!$B:$B,$A37,RESULTADOS_GRID!$Y:$Y,"&gt;=0")+COUNTIFS(RESULTADOS_GRID!$B:$B,$A37,RESULTADOS_GRID!$Y:$Y,"&lt;0"))))</f>
        <v/>
      </c>
      <c r="K37" s="54">
        <f>IF($A37="","",IF((COUNTIFS(RESULTADOS_GRID!$B:$B,$A37,RESULTADOS_GRID!$Z:$Z,"&gt;=0")+COUNTIFS(RESULTADOS_GRID!$B:$B,$A37,RESULTADOS_GRID!$Z:$Z,"&lt;0"))=0,"",SUMIF(RESULTADOS_GRID!$B:$B,$A37,RESULTADOS_GRID!$Z:$Z)/(COUNTIFS(RESULTADOS_GRID!$B:$B,$A37,RESULTADOS_GRID!$Z:$Z,"&gt;=0")+COUNTIFS(RESULTADOS_GRID!$B:$B,$A37,RESULTADOS_GRID!$Z:$Z,"&lt;0"))))</f>
        <v/>
      </c>
      <c r="L37" s="51">
        <f>IF($A37="","",IF((COUNTIFS(RESULTADOS_GRID!$B:$B,$A37,RESULTADOS_GRID!$AA:$AA,"&gt;=0")+COUNTIFS(RESULTADOS_GRID!$B:$B,$A37,RESULTADOS_GRID!$AA:$AA,"&lt;0"))=0,"",SUMIF(RESULTADOS_GRID!$B:$B,$A37,RESULTADOS_GRID!$AA:$AA)/(COUNTIFS(RESULTADOS_GRID!$B:$B,$A37,RESULTADOS_GRID!$AA:$AA,"&gt;=0")+COUNTIFS(RESULTADOS_GRID!$B:$B,$A37,RESULTADOS_GRID!$AA:$AA,"&lt;0"))))</f>
        <v/>
      </c>
      <c r="M37" s="51">
        <f>IF($A37="","",IF((COUNTIFS(RESULTADOS_GRID!$B:$B,$A37,RESULTADOS_GRID!$AB:$AB,"&gt;=0")+COUNTIFS(RESULTADOS_GRID!$B:$B,$A37,RESULTADOS_GRID!$AB:$AB,"&lt;0"))=0,"",SUMIF(RESULTADOS_GRID!$B:$B,$A37,RESULTADOS_GRID!$AB:$AB)/(COUNTIFS(RESULTADOS_GRID!$B:$B,$A37,RESULTADOS_GRID!$AB:$AB,"&gt;=0")+COUNTIFS(RESULTADOS_GRID!$B:$B,$A37,RESULTADOS_GRID!$AB:$AB,"&lt;0"))))</f>
        <v/>
      </c>
      <c r="N37" s="49" t="n"/>
      <c r="O37" s="57">
        <f>IF($I37="","",COUNTIFS($I$2:$I$101,"&lt;"&amp;$I37)+1)</f>
        <v/>
      </c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9" t="n"/>
      <c r="Z37" s="49" t="n"/>
      <c r="AA37" s="49" t="n"/>
      <c r="AB37" s="49" t="n"/>
      <c r="AC37" s="49" t="n"/>
      <c r="AD37" s="49" t="n"/>
      <c r="AE37" s="49" t="n"/>
      <c r="AF37" s="49" t="n"/>
      <c r="AG37" s="49" t="n"/>
      <c r="AH37" s="49" t="n"/>
      <c r="AI37" s="49" t="n"/>
      <c r="AJ37" s="49" t="n"/>
      <c r="AK37" s="49" t="n"/>
    </row>
    <row r="38" ht="15" customHeight="1" s="27">
      <c r="A38" s="49" t="n"/>
      <c r="B38" s="57">
        <f>IF($A38="","",IFERROR(INDEX(RESULTADOS_GRID!$C:$C,MATCH($A38,RESULTADOS_GRID!$B:$B,0)),""))</f>
        <v/>
      </c>
      <c r="C38" s="57">
        <f>IF($A38="","",IFERROR(INDEX(RESULTADOS_GRID!$E:$E,MATCH($A38,RESULTADOS_GRID!$B:$B,0)),""))</f>
        <v/>
      </c>
      <c r="D38" s="57">
        <f>IF($A38="","",IFERROR(INDEX(RESULTADOS_GRID!$D:$D,MATCH($A38,RESULTADOS_GRID!$B:$B,0)),""))</f>
        <v/>
      </c>
      <c r="E38" s="57">
        <f>IF($A38="","",COUNTIF(RESULTADOS_GRID!$B:$B,$A38))</f>
        <v/>
      </c>
      <c r="F38" s="54">
        <f>IF($A38="","",SUMIF(RESULTADOS_GRID!$B:$B,$A38,RESULTADOS_GRID!$X:$X))</f>
        <v/>
      </c>
      <c r="G38" s="53" t="n"/>
      <c r="H38" s="58">
        <f>CONFIG_REFERENCIA!$E$7</f>
        <v/>
      </c>
      <c r="I38" s="54">
        <f>IF($A38="","",$F38+N($G38)*$H38)</f>
        <v/>
      </c>
      <c r="J38" s="54">
        <f>IF($A38="","",IF((COUNTIFS(RESULTADOS_GRID!$B:$B,$A38,RESULTADOS_GRID!$Y:$Y,"&gt;=0")+COUNTIFS(RESULTADOS_GRID!$B:$B,$A38,RESULTADOS_GRID!$Y:$Y,"&lt;0"))=0,"",SUMIF(RESULTADOS_GRID!$B:$B,$A38,RESULTADOS_GRID!$Y:$Y)/(COUNTIFS(RESULTADOS_GRID!$B:$B,$A38,RESULTADOS_GRID!$Y:$Y,"&gt;=0")+COUNTIFS(RESULTADOS_GRID!$B:$B,$A38,RESULTADOS_GRID!$Y:$Y,"&lt;0"))))</f>
        <v/>
      </c>
      <c r="K38" s="54">
        <f>IF($A38="","",IF((COUNTIFS(RESULTADOS_GRID!$B:$B,$A38,RESULTADOS_GRID!$Z:$Z,"&gt;=0")+COUNTIFS(RESULTADOS_GRID!$B:$B,$A38,RESULTADOS_GRID!$Z:$Z,"&lt;0"))=0,"",SUMIF(RESULTADOS_GRID!$B:$B,$A38,RESULTADOS_GRID!$Z:$Z)/(COUNTIFS(RESULTADOS_GRID!$B:$B,$A38,RESULTADOS_GRID!$Z:$Z,"&gt;=0")+COUNTIFS(RESULTADOS_GRID!$B:$B,$A38,RESULTADOS_GRID!$Z:$Z,"&lt;0"))))</f>
        <v/>
      </c>
      <c r="L38" s="51">
        <f>IF($A38="","",IF((COUNTIFS(RESULTADOS_GRID!$B:$B,$A38,RESULTADOS_GRID!$AA:$AA,"&gt;=0")+COUNTIFS(RESULTADOS_GRID!$B:$B,$A38,RESULTADOS_GRID!$AA:$AA,"&lt;0"))=0,"",SUMIF(RESULTADOS_GRID!$B:$B,$A38,RESULTADOS_GRID!$AA:$AA)/(COUNTIFS(RESULTADOS_GRID!$B:$B,$A38,RESULTADOS_GRID!$AA:$AA,"&gt;=0")+COUNTIFS(RESULTADOS_GRID!$B:$B,$A38,RESULTADOS_GRID!$AA:$AA,"&lt;0"))))</f>
        <v/>
      </c>
      <c r="M38" s="51">
        <f>IF($A38="","",IF((COUNTIFS(RESULTADOS_GRID!$B:$B,$A38,RESULTADOS_GRID!$AB:$AB,"&gt;=0")+COUNTIFS(RESULTADOS_GRID!$B:$B,$A38,RESULTADOS_GRID!$AB:$AB,"&lt;0"))=0,"",SUMIF(RESULTADOS_GRID!$B:$B,$A38,RESULTADOS_GRID!$AB:$AB)/(COUNTIFS(RESULTADOS_GRID!$B:$B,$A38,RESULTADOS_GRID!$AB:$AB,"&gt;=0")+COUNTIFS(RESULTADOS_GRID!$B:$B,$A38,RESULTADOS_GRID!$AB:$AB,"&lt;0"))))</f>
        <v/>
      </c>
      <c r="N38" s="49" t="n"/>
      <c r="O38" s="57">
        <f>IF($I38="","",COUNTIFS($I$2:$I$101,"&lt;"&amp;$I38)+1)</f>
        <v/>
      </c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9" t="n"/>
      <c r="Z38" s="49" t="n"/>
      <c r="AA38" s="49" t="n"/>
      <c r="AB38" s="49" t="n"/>
      <c r="AC38" s="49" t="n"/>
      <c r="AD38" s="49" t="n"/>
      <c r="AE38" s="49" t="n"/>
      <c r="AF38" s="49" t="n"/>
      <c r="AG38" s="49" t="n"/>
      <c r="AH38" s="49" t="n"/>
      <c r="AI38" s="49" t="n"/>
      <c r="AJ38" s="49" t="n"/>
      <c r="AK38" s="49" t="n"/>
    </row>
    <row r="39" ht="15" customHeight="1" s="27">
      <c r="A39" s="49" t="n"/>
      <c r="B39" s="57">
        <f>IF($A39="","",IFERROR(INDEX(RESULTADOS_GRID!$C:$C,MATCH($A39,RESULTADOS_GRID!$B:$B,0)),""))</f>
        <v/>
      </c>
      <c r="C39" s="57">
        <f>IF($A39="","",IFERROR(INDEX(RESULTADOS_GRID!$E:$E,MATCH($A39,RESULTADOS_GRID!$B:$B,0)),""))</f>
        <v/>
      </c>
      <c r="D39" s="57">
        <f>IF($A39="","",IFERROR(INDEX(RESULTADOS_GRID!$D:$D,MATCH($A39,RESULTADOS_GRID!$B:$B,0)),""))</f>
        <v/>
      </c>
      <c r="E39" s="57">
        <f>IF($A39="","",COUNTIF(RESULTADOS_GRID!$B:$B,$A39))</f>
        <v/>
      </c>
      <c r="F39" s="54">
        <f>IF($A39="","",SUMIF(RESULTADOS_GRID!$B:$B,$A39,RESULTADOS_GRID!$X:$X))</f>
        <v/>
      </c>
      <c r="G39" s="53" t="n"/>
      <c r="H39" s="58">
        <f>CONFIG_REFERENCIA!$E$7</f>
        <v/>
      </c>
      <c r="I39" s="54">
        <f>IF($A39="","",$F39+N($G39)*$H39)</f>
        <v/>
      </c>
      <c r="J39" s="54">
        <f>IF($A39="","",IF((COUNTIFS(RESULTADOS_GRID!$B:$B,$A39,RESULTADOS_GRID!$Y:$Y,"&gt;=0")+COUNTIFS(RESULTADOS_GRID!$B:$B,$A39,RESULTADOS_GRID!$Y:$Y,"&lt;0"))=0,"",SUMIF(RESULTADOS_GRID!$B:$B,$A39,RESULTADOS_GRID!$Y:$Y)/(COUNTIFS(RESULTADOS_GRID!$B:$B,$A39,RESULTADOS_GRID!$Y:$Y,"&gt;=0")+COUNTIFS(RESULTADOS_GRID!$B:$B,$A39,RESULTADOS_GRID!$Y:$Y,"&lt;0"))))</f>
        <v/>
      </c>
      <c r="K39" s="54">
        <f>IF($A39="","",IF((COUNTIFS(RESULTADOS_GRID!$B:$B,$A39,RESULTADOS_GRID!$Z:$Z,"&gt;=0")+COUNTIFS(RESULTADOS_GRID!$B:$B,$A39,RESULTADOS_GRID!$Z:$Z,"&lt;0"))=0,"",SUMIF(RESULTADOS_GRID!$B:$B,$A39,RESULTADOS_GRID!$Z:$Z)/(COUNTIFS(RESULTADOS_GRID!$B:$B,$A39,RESULTADOS_GRID!$Z:$Z,"&gt;=0")+COUNTIFS(RESULTADOS_GRID!$B:$B,$A39,RESULTADOS_GRID!$Z:$Z,"&lt;0"))))</f>
        <v/>
      </c>
      <c r="L39" s="51">
        <f>IF($A39="","",IF((COUNTIFS(RESULTADOS_GRID!$B:$B,$A39,RESULTADOS_GRID!$AA:$AA,"&gt;=0")+COUNTIFS(RESULTADOS_GRID!$B:$B,$A39,RESULTADOS_GRID!$AA:$AA,"&lt;0"))=0,"",SUMIF(RESULTADOS_GRID!$B:$B,$A39,RESULTADOS_GRID!$AA:$AA)/(COUNTIFS(RESULTADOS_GRID!$B:$B,$A39,RESULTADOS_GRID!$AA:$AA,"&gt;=0")+COUNTIFS(RESULTADOS_GRID!$B:$B,$A39,RESULTADOS_GRID!$AA:$AA,"&lt;0"))))</f>
        <v/>
      </c>
      <c r="M39" s="51">
        <f>IF($A39="","",IF((COUNTIFS(RESULTADOS_GRID!$B:$B,$A39,RESULTADOS_GRID!$AB:$AB,"&gt;=0")+COUNTIFS(RESULTADOS_GRID!$B:$B,$A39,RESULTADOS_GRID!$AB:$AB,"&lt;0"))=0,"",SUMIF(RESULTADOS_GRID!$B:$B,$A39,RESULTADOS_GRID!$AB:$AB)/(COUNTIFS(RESULTADOS_GRID!$B:$B,$A39,RESULTADOS_GRID!$AB:$AB,"&gt;=0")+COUNTIFS(RESULTADOS_GRID!$B:$B,$A39,RESULTADOS_GRID!$AB:$AB,"&lt;0"))))</f>
        <v/>
      </c>
      <c r="N39" s="49" t="n"/>
      <c r="O39" s="57">
        <f>IF($I39="","",COUNTIFS($I$2:$I$101,"&lt;"&amp;$I39)+1)</f>
        <v/>
      </c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9" t="n"/>
      <c r="Z39" s="49" t="n"/>
      <c r="AA39" s="49" t="n"/>
      <c r="AB39" s="49" t="n"/>
      <c r="AC39" s="49" t="n"/>
      <c r="AD39" s="49" t="n"/>
      <c r="AE39" s="49" t="n"/>
      <c r="AF39" s="49" t="n"/>
      <c r="AG39" s="49" t="n"/>
      <c r="AH39" s="49" t="n"/>
      <c r="AI39" s="49" t="n"/>
      <c r="AJ39" s="49" t="n"/>
      <c r="AK39" s="49" t="n"/>
    </row>
    <row r="40" ht="15" customHeight="1" s="27">
      <c r="A40" s="49" t="n"/>
      <c r="B40" s="57">
        <f>IF($A40="","",IFERROR(INDEX(RESULTADOS_GRID!$C:$C,MATCH($A40,RESULTADOS_GRID!$B:$B,0)),""))</f>
        <v/>
      </c>
      <c r="C40" s="57">
        <f>IF($A40="","",IFERROR(INDEX(RESULTADOS_GRID!$E:$E,MATCH($A40,RESULTADOS_GRID!$B:$B,0)),""))</f>
        <v/>
      </c>
      <c r="D40" s="57">
        <f>IF($A40="","",IFERROR(INDEX(RESULTADOS_GRID!$D:$D,MATCH($A40,RESULTADOS_GRID!$B:$B,0)),""))</f>
        <v/>
      </c>
      <c r="E40" s="57">
        <f>IF($A40="","",COUNTIF(RESULTADOS_GRID!$B:$B,$A40))</f>
        <v/>
      </c>
      <c r="F40" s="54">
        <f>IF($A40="","",SUMIF(RESULTADOS_GRID!$B:$B,$A40,RESULTADOS_GRID!$X:$X))</f>
        <v/>
      </c>
      <c r="G40" s="53" t="n"/>
      <c r="H40" s="58">
        <f>CONFIG_REFERENCIA!$E$7</f>
        <v/>
      </c>
      <c r="I40" s="54">
        <f>IF($A40="","",$F40+N($G40)*$H40)</f>
        <v/>
      </c>
      <c r="J40" s="54">
        <f>IF($A40="","",IF((COUNTIFS(RESULTADOS_GRID!$B:$B,$A40,RESULTADOS_GRID!$Y:$Y,"&gt;=0")+COUNTIFS(RESULTADOS_GRID!$B:$B,$A40,RESULTADOS_GRID!$Y:$Y,"&lt;0"))=0,"",SUMIF(RESULTADOS_GRID!$B:$B,$A40,RESULTADOS_GRID!$Y:$Y)/(COUNTIFS(RESULTADOS_GRID!$B:$B,$A40,RESULTADOS_GRID!$Y:$Y,"&gt;=0")+COUNTIFS(RESULTADOS_GRID!$B:$B,$A40,RESULTADOS_GRID!$Y:$Y,"&lt;0"))))</f>
        <v/>
      </c>
      <c r="K40" s="54">
        <f>IF($A40="","",IF((COUNTIFS(RESULTADOS_GRID!$B:$B,$A40,RESULTADOS_GRID!$Z:$Z,"&gt;=0")+COUNTIFS(RESULTADOS_GRID!$B:$B,$A40,RESULTADOS_GRID!$Z:$Z,"&lt;0"))=0,"",SUMIF(RESULTADOS_GRID!$B:$B,$A40,RESULTADOS_GRID!$Z:$Z)/(COUNTIFS(RESULTADOS_GRID!$B:$B,$A40,RESULTADOS_GRID!$Z:$Z,"&gt;=0")+COUNTIFS(RESULTADOS_GRID!$B:$B,$A40,RESULTADOS_GRID!$Z:$Z,"&lt;0"))))</f>
        <v/>
      </c>
      <c r="L40" s="51">
        <f>IF($A40="","",IF((COUNTIFS(RESULTADOS_GRID!$B:$B,$A40,RESULTADOS_GRID!$AA:$AA,"&gt;=0")+COUNTIFS(RESULTADOS_GRID!$B:$B,$A40,RESULTADOS_GRID!$AA:$AA,"&lt;0"))=0,"",SUMIF(RESULTADOS_GRID!$B:$B,$A40,RESULTADOS_GRID!$AA:$AA)/(COUNTIFS(RESULTADOS_GRID!$B:$B,$A40,RESULTADOS_GRID!$AA:$AA,"&gt;=0")+COUNTIFS(RESULTADOS_GRID!$B:$B,$A40,RESULTADOS_GRID!$AA:$AA,"&lt;0"))))</f>
        <v/>
      </c>
      <c r="M40" s="51">
        <f>IF($A40="","",IF((COUNTIFS(RESULTADOS_GRID!$B:$B,$A40,RESULTADOS_GRID!$AB:$AB,"&gt;=0")+COUNTIFS(RESULTADOS_GRID!$B:$B,$A40,RESULTADOS_GRID!$AB:$AB,"&lt;0"))=0,"",SUMIF(RESULTADOS_GRID!$B:$B,$A40,RESULTADOS_GRID!$AB:$AB)/(COUNTIFS(RESULTADOS_GRID!$B:$B,$A40,RESULTADOS_GRID!$AB:$AB,"&gt;=0")+COUNTIFS(RESULTADOS_GRID!$B:$B,$A40,RESULTADOS_GRID!$AB:$AB,"&lt;0"))))</f>
        <v/>
      </c>
      <c r="N40" s="49" t="n"/>
      <c r="O40" s="57">
        <f>IF($I40="","",COUNTIFS($I$2:$I$101,"&lt;"&amp;$I40)+1)</f>
        <v/>
      </c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9" t="n"/>
      <c r="Z40" s="49" t="n"/>
      <c r="AA40" s="49" t="n"/>
      <c r="AB40" s="49" t="n"/>
      <c r="AC40" s="49" t="n"/>
      <c r="AD40" s="49" t="n"/>
      <c r="AE40" s="49" t="n"/>
      <c r="AF40" s="49" t="n"/>
      <c r="AG40" s="49" t="n"/>
      <c r="AH40" s="49" t="n"/>
      <c r="AI40" s="49" t="n"/>
      <c r="AJ40" s="49" t="n"/>
      <c r="AK40" s="49" t="n"/>
    </row>
    <row r="41" ht="15" customHeight="1" s="27">
      <c r="A41" s="49" t="n"/>
      <c r="B41" s="57">
        <f>IF($A41="","",IFERROR(INDEX(RESULTADOS_GRID!$C:$C,MATCH($A41,RESULTADOS_GRID!$B:$B,0)),""))</f>
        <v/>
      </c>
      <c r="C41" s="57">
        <f>IF($A41="","",IFERROR(INDEX(RESULTADOS_GRID!$E:$E,MATCH($A41,RESULTADOS_GRID!$B:$B,0)),""))</f>
        <v/>
      </c>
      <c r="D41" s="57">
        <f>IF($A41="","",IFERROR(INDEX(RESULTADOS_GRID!$D:$D,MATCH($A41,RESULTADOS_GRID!$B:$B,0)),""))</f>
        <v/>
      </c>
      <c r="E41" s="57">
        <f>IF($A41="","",COUNTIF(RESULTADOS_GRID!$B:$B,$A41))</f>
        <v/>
      </c>
      <c r="F41" s="54">
        <f>IF($A41="","",SUMIF(RESULTADOS_GRID!$B:$B,$A41,RESULTADOS_GRID!$X:$X))</f>
        <v/>
      </c>
      <c r="G41" s="53" t="n"/>
      <c r="H41" s="58">
        <f>CONFIG_REFERENCIA!$E$7</f>
        <v/>
      </c>
      <c r="I41" s="54">
        <f>IF($A41="","",$F41+N($G41)*$H41)</f>
        <v/>
      </c>
      <c r="J41" s="54">
        <f>IF($A41="","",IF((COUNTIFS(RESULTADOS_GRID!$B:$B,$A41,RESULTADOS_GRID!$Y:$Y,"&gt;=0")+COUNTIFS(RESULTADOS_GRID!$B:$B,$A41,RESULTADOS_GRID!$Y:$Y,"&lt;0"))=0,"",SUMIF(RESULTADOS_GRID!$B:$B,$A41,RESULTADOS_GRID!$Y:$Y)/(COUNTIFS(RESULTADOS_GRID!$B:$B,$A41,RESULTADOS_GRID!$Y:$Y,"&gt;=0")+COUNTIFS(RESULTADOS_GRID!$B:$B,$A41,RESULTADOS_GRID!$Y:$Y,"&lt;0"))))</f>
        <v/>
      </c>
      <c r="K41" s="54">
        <f>IF($A41="","",IF((COUNTIFS(RESULTADOS_GRID!$B:$B,$A41,RESULTADOS_GRID!$Z:$Z,"&gt;=0")+COUNTIFS(RESULTADOS_GRID!$B:$B,$A41,RESULTADOS_GRID!$Z:$Z,"&lt;0"))=0,"",SUMIF(RESULTADOS_GRID!$B:$B,$A41,RESULTADOS_GRID!$Z:$Z)/(COUNTIFS(RESULTADOS_GRID!$B:$B,$A41,RESULTADOS_GRID!$Z:$Z,"&gt;=0")+COUNTIFS(RESULTADOS_GRID!$B:$B,$A41,RESULTADOS_GRID!$Z:$Z,"&lt;0"))))</f>
        <v/>
      </c>
      <c r="L41" s="51">
        <f>IF($A41="","",IF((COUNTIFS(RESULTADOS_GRID!$B:$B,$A41,RESULTADOS_GRID!$AA:$AA,"&gt;=0")+COUNTIFS(RESULTADOS_GRID!$B:$B,$A41,RESULTADOS_GRID!$AA:$AA,"&lt;0"))=0,"",SUMIF(RESULTADOS_GRID!$B:$B,$A41,RESULTADOS_GRID!$AA:$AA)/(COUNTIFS(RESULTADOS_GRID!$B:$B,$A41,RESULTADOS_GRID!$AA:$AA,"&gt;=0")+COUNTIFS(RESULTADOS_GRID!$B:$B,$A41,RESULTADOS_GRID!$AA:$AA,"&lt;0"))))</f>
        <v/>
      </c>
      <c r="M41" s="51">
        <f>IF($A41="","",IF((COUNTIFS(RESULTADOS_GRID!$B:$B,$A41,RESULTADOS_GRID!$AB:$AB,"&gt;=0")+COUNTIFS(RESULTADOS_GRID!$B:$B,$A41,RESULTADOS_GRID!$AB:$AB,"&lt;0"))=0,"",SUMIF(RESULTADOS_GRID!$B:$B,$A41,RESULTADOS_GRID!$AB:$AB)/(COUNTIFS(RESULTADOS_GRID!$B:$B,$A41,RESULTADOS_GRID!$AB:$AB,"&gt;=0")+COUNTIFS(RESULTADOS_GRID!$B:$B,$A41,RESULTADOS_GRID!$AB:$AB,"&lt;0"))))</f>
        <v/>
      </c>
      <c r="N41" s="49" t="n"/>
      <c r="O41" s="57">
        <f>IF($I41="","",COUNTIFS($I$2:$I$101,"&lt;"&amp;$I41)+1)</f>
        <v/>
      </c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9" t="n"/>
      <c r="Z41" s="49" t="n"/>
      <c r="AA41" s="49" t="n"/>
      <c r="AB41" s="49" t="n"/>
      <c r="AC41" s="49" t="n"/>
      <c r="AD41" s="49" t="n"/>
      <c r="AE41" s="49" t="n"/>
      <c r="AF41" s="49" t="n"/>
      <c r="AG41" s="49" t="n"/>
      <c r="AH41" s="49" t="n"/>
      <c r="AI41" s="49" t="n"/>
      <c r="AJ41" s="49" t="n"/>
      <c r="AK41" s="49" t="n"/>
    </row>
    <row r="42" ht="15" customHeight="1" s="27">
      <c r="A42" s="49" t="n"/>
      <c r="B42" s="57">
        <f>IF($A42="","",IFERROR(INDEX(RESULTADOS_GRID!$C:$C,MATCH($A42,RESULTADOS_GRID!$B:$B,0)),""))</f>
        <v/>
      </c>
      <c r="C42" s="57">
        <f>IF($A42="","",IFERROR(INDEX(RESULTADOS_GRID!$E:$E,MATCH($A42,RESULTADOS_GRID!$B:$B,0)),""))</f>
        <v/>
      </c>
      <c r="D42" s="57">
        <f>IF($A42="","",IFERROR(INDEX(RESULTADOS_GRID!$D:$D,MATCH($A42,RESULTADOS_GRID!$B:$B,0)),""))</f>
        <v/>
      </c>
      <c r="E42" s="57">
        <f>IF($A42="","",COUNTIF(RESULTADOS_GRID!$B:$B,$A42))</f>
        <v/>
      </c>
      <c r="F42" s="54">
        <f>IF($A42="","",SUMIF(RESULTADOS_GRID!$B:$B,$A42,RESULTADOS_GRID!$X:$X))</f>
        <v/>
      </c>
      <c r="G42" s="53" t="n"/>
      <c r="H42" s="58">
        <f>CONFIG_REFERENCIA!$E$7</f>
        <v/>
      </c>
      <c r="I42" s="54">
        <f>IF($A42="","",$F42+N($G42)*$H42)</f>
        <v/>
      </c>
      <c r="J42" s="54">
        <f>IF($A42="","",IF((COUNTIFS(RESULTADOS_GRID!$B:$B,$A42,RESULTADOS_GRID!$Y:$Y,"&gt;=0")+COUNTIFS(RESULTADOS_GRID!$B:$B,$A42,RESULTADOS_GRID!$Y:$Y,"&lt;0"))=0,"",SUMIF(RESULTADOS_GRID!$B:$B,$A42,RESULTADOS_GRID!$Y:$Y)/(COUNTIFS(RESULTADOS_GRID!$B:$B,$A42,RESULTADOS_GRID!$Y:$Y,"&gt;=0")+COUNTIFS(RESULTADOS_GRID!$B:$B,$A42,RESULTADOS_GRID!$Y:$Y,"&lt;0"))))</f>
        <v/>
      </c>
      <c r="K42" s="54">
        <f>IF($A42="","",IF((COUNTIFS(RESULTADOS_GRID!$B:$B,$A42,RESULTADOS_GRID!$Z:$Z,"&gt;=0")+COUNTIFS(RESULTADOS_GRID!$B:$B,$A42,RESULTADOS_GRID!$Z:$Z,"&lt;0"))=0,"",SUMIF(RESULTADOS_GRID!$B:$B,$A42,RESULTADOS_GRID!$Z:$Z)/(COUNTIFS(RESULTADOS_GRID!$B:$B,$A42,RESULTADOS_GRID!$Z:$Z,"&gt;=0")+COUNTIFS(RESULTADOS_GRID!$B:$B,$A42,RESULTADOS_GRID!$Z:$Z,"&lt;0"))))</f>
        <v/>
      </c>
      <c r="L42" s="51">
        <f>IF($A42="","",IF((COUNTIFS(RESULTADOS_GRID!$B:$B,$A42,RESULTADOS_GRID!$AA:$AA,"&gt;=0")+COUNTIFS(RESULTADOS_GRID!$B:$B,$A42,RESULTADOS_GRID!$AA:$AA,"&lt;0"))=0,"",SUMIF(RESULTADOS_GRID!$B:$B,$A42,RESULTADOS_GRID!$AA:$AA)/(COUNTIFS(RESULTADOS_GRID!$B:$B,$A42,RESULTADOS_GRID!$AA:$AA,"&gt;=0")+COUNTIFS(RESULTADOS_GRID!$B:$B,$A42,RESULTADOS_GRID!$AA:$AA,"&lt;0"))))</f>
        <v/>
      </c>
      <c r="M42" s="51">
        <f>IF($A42="","",IF((COUNTIFS(RESULTADOS_GRID!$B:$B,$A42,RESULTADOS_GRID!$AB:$AB,"&gt;=0")+COUNTIFS(RESULTADOS_GRID!$B:$B,$A42,RESULTADOS_GRID!$AB:$AB,"&lt;0"))=0,"",SUMIF(RESULTADOS_GRID!$B:$B,$A42,RESULTADOS_GRID!$AB:$AB)/(COUNTIFS(RESULTADOS_GRID!$B:$B,$A42,RESULTADOS_GRID!$AB:$AB,"&gt;=0")+COUNTIFS(RESULTADOS_GRID!$B:$B,$A42,RESULTADOS_GRID!$AB:$AB,"&lt;0"))))</f>
        <v/>
      </c>
      <c r="N42" s="49" t="n"/>
      <c r="O42" s="57">
        <f>IF($I42="","",COUNTIFS($I$2:$I$101,"&lt;"&amp;$I42)+1)</f>
        <v/>
      </c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9" t="n"/>
      <c r="Z42" s="49" t="n"/>
      <c r="AA42" s="49" t="n"/>
      <c r="AB42" s="49" t="n"/>
      <c r="AC42" s="49" t="n"/>
      <c r="AD42" s="49" t="n"/>
      <c r="AE42" s="49" t="n"/>
      <c r="AF42" s="49" t="n"/>
      <c r="AG42" s="49" t="n"/>
      <c r="AH42" s="49" t="n"/>
      <c r="AI42" s="49" t="n"/>
      <c r="AJ42" s="49" t="n"/>
      <c r="AK42" s="49" t="n"/>
    </row>
    <row r="43" ht="15" customHeight="1" s="27">
      <c r="A43" s="49" t="n"/>
      <c r="B43" s="57">
        <f>IF($A43="","",IFERROR(INDEX(RESULTADOS_GRID!$C:$C,MATCH($A43,RESULTADOS_GRID!$B:$B,0)),""))</f>
        <v/>
      </c>
      <c r="C43" s="57">
        <f>IF($A43="","",IFERROR(INDEX(RESULTADOS_GRID!$E:$E,MATCH($A43,RESULTADOS_GRID!$B:$B,0)),""))</f>
        <v/>
      </c>
      <c r="D43" s="57">
        <f>IF($A43="","",IFERROR(INDEX(RESULTADOS_GRID!$D:$D,MATCH($A43,RESULTADOS_GRID!$B:$B,0)),""))</f>
        <v/>
      </c>
      <c r="E43" s="57">
        <f>IF($A43="","",COUNTIF(RESULTADOS_GRID!$B:$B,$A43))</f>
        <v/>
      </c>
      <c r="F43" s="54">
        <f>IF($A43="","",SUMIF(RESULTADOS_GRID!$B:$B,$A43,RESULTADOS_GRID!$X:$X))</f>
        <v/>
      </c>
      <c r="G43" s="53" t="n"/>
      <c r="H43" s="58">
        <f>CONFIG_REFERENCIA!$E$7</f>
        <v/>
      </c>
      <c r="I43" s="54">
        <f>IF($A43="","",$F43+N($G43)*$H43)</f>
        <v/>
      </c>
      <c r="J43" s="54">
        <f>IF($A43="","",IF((COUNTIFS(RESULTADOS_GRID!$B:$B,$A43,RESULTADOS_GRID!$Y:$Y,"&gt;=0")+COUNTIFS(RESULTADOS_GRID!$B:$B,$A43,RESULTADOS_GRID!$Y:$Y,"&lt;0"))=0,"",SUMIF(RESULTADOS_GRID!$B:$B,$A43,RESULTADOS_GRID!$Y:$Y)/(COUNTIFS(RESULTADOS_GRID!$B:$B,$A43,RESULTADOS_GRID!$Y:$Y,"&gt;=0")+COUNTIFS(RESULTADOS_GRID!$B:$B,$A43,RESULTADOS_GRID!$Y:$Y,"&lt;0"))))</f>
        <v/>
      </c>
      <c r="K43" s="54">
        <f>IF($A43="","",IF((COUNTIFS(RESULTADOS_GRID!$B:$B,$A43,RESULTADOS_GRID!$Z:$Z,"&gt;=0")+COUNTIFS(RESULTADOS_GRID!$B:$B,$A43,RESULTADOS_GRID!$Z:$Z,"&lt;0"))=0,"",SUMIF(RESULTADOS_GRID!$B:$B,$A43,RESULTADOS_GRID!$Z:$Z)/(COUNTIFS(RESULTADOS_GRID!$B:$B,$A43,RESULTADOS_GRID!$Z:$Z,"&gt;=0")+COUNTIFS(RESULTADOS_GRID!$B:$B,$A43,RESULTADOS_GRID!$Z:$Z,"&lt;0"))))</f>
        <v/>
      </c>
      <c r="L43" s="51">
        <f>IF($A43="","",IF((COUNTIFS(RESULTADOS_GRID!$B:$B,$A43,RESULTADOS_GRID!$AA:$AA,"&gt;=0")+COUNTIFS(RESULTADOS_GRID!$B:$B,$A43,RESULTADOS_GRID!$AA:$AA,"&lt;0"))=0,"",SUMIF(RESULTADOS_GRID!$B:$B,$A43,RESULTADOS_GRID!$AA:$AA)/(COUNTIFS(RESULTADOS_GRID!$B:$B,$A43,RESULTADOS_GRID!$AA:$AA,"&gt;=0")+COUNTIFS(RESULTADOS_GRID!$B:$B,$A43,RESULTADOS_GRID!$AA:$AA,"&lt;0"))))</f>
        <v/>
      </c>
      <c r="M43" s="51">
        <f>IF($A43="","",IF((COUNTIFS(RESULTADOS_GRID!$B:$B,$A43,RESULTADOS_GRID!$AB:$AB,"&gt;=0")+COUNTIFS(RESULTADOS_GRID!$B:$B,$A43,RESULTADOS_GRID!$AB:$AB,"&lt;0"))=0,"",SUMIF(RESULTADOS_GRID!$B:$B,$A43,RESULTADOS_GRID!$AB:$AB)/(COUNTIFS(RESULTADOS_GRID!$B:$B,$A43,RESULTADOS_GRID!$AB:$AB,"&gt;=0")+COUNTIFS(RESULTADOS_GRID!$B:$B,$A43,RESULTADOS_GRID!$AB:$AB,"&lt;0"))))</f>
        <v/>
      </c>
      <c r="N43" s="49" t="n"/>
      <c r="O43" s="57">
        <f>IF($I43="","",COUNTIFS($I$2:$I$101,"&lt;"&amp;$I43)+1)</f>
        <v/>
      </c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9" t="n"/>
      <c r="Z43" s="49" t="n"/>
      <c r="AA43" s="49" t="n"/>
      <c r="AB43" s="49" t="n"/>
      <c r="AC43" s="49" t="n"/>
      <c r="AD43" s="49" t="n"/>
      <c r="AE43" s="49" t="n"/>
      <c r="AF43" s="49" t="n"/>
      <c r="AG43" s="49" t="n"/>
      <c r="AH43" s="49" t="n"/>
      <c r="AI43" s="49" t="n"/>
      <c r="AJ43" s="49" t="n"/>
      <c r="AK43" s="49" t="n"/>
    </row>
    <row r="44" ht="15" customHeight="1" s="27">
      <c r="A44" s="49" t="n"/>
      <c r="B44" s="57">
        <f>IF($A44="","",IFERROR(INDEX(RESULTADOS_GRID!$C:$C,MATCH($A44,RESULTADOS_GRID!$B:$B,0)),""))</f>
        <v/>
      </c>
      <c r="C44" s="57">
        <f>IF($A44="","",IFERROR(INDEX(RESULTADOS_GRID!$E:$E,MATCH($A44,RESULTADOS_GRID!$B:$B,0)),""))</f>
        <v/>
      </c>
      <c r="D44" s="57">
        <f>IF($A44="","",IFERROR(INDEX(RESULTADOS_GRID!$D:$D,MATCH($A44,RESULTADOS_GRID!$B:$B,0)),""))</f>
        <v/>
      </c>
      <c r="E44" s="57">
        <f>IF($A44="","",COUNTIF(RESULTADOS_GRID!$B:$B,$A44))</f>
        <v/>
      </c>
      <c r="F44" s="54">
        <f>IF($A44="","",SUMIF(RESULTADOS_GRID!$B:$B,$A44,RESULTADOS_GRID!$X:$X))</f>
        <v/>
      </c>
      <c r="G44" s="53" t="n"/>
      <c r="H44" s="58">
        <f>CONFIG_REFERENCIA!$E$7</f>
        <v/>
      </c>
      <c r="I44" s="54">
        <f>IF($A44="","",$F44+N($G44)*$H44)</f>
        <v/>
      </c>
      <c r="J44" s="54">
        <f>IF($A44="","",IF((COUNTIFS(RESULTADOS_GRID!$B:$B,$A44,RESULTADOS_GRID!$Y:$Y,"&gt;=0")+COUNTIFS(RESULTADOS_GRID!$B:$B,$A44,RESULTADOS_GRID!$Y:$Y,"&lt;0"))=0,"",SUMIF(RESULTADOS_GRID!$B:$B,$A44,RESULTADOS_GRID!$Y:$Y)/(COUNTIFS(RESULTADOS_GRID!$B:$B,$A44,RESULTADOS_GRID!$Y:$Y,"&gt;=0")+COUNTIFS(RESULTADOS_GRID!$B:$B,$A44,RESULTADOS_GRID!$Y:$Y,"&lt;0"))))</f>
        <v/>
      </c>
      <c r="K44" s="54">
        <f>IF($A44="","",IF((COUNTIFS(RESULTADOS_GRID!$B:$B,$A44,RESULTADOS_GRID!$Z:$Z,"&gt;=0")+COUNTIFS(RESULTADOS_GRID!$B:$B,$A44,RESULTADOS_GRID!$Z:$Z,"&lt;0"))=0,"",SUMIF(RESULTADOS_GRID!$B:$B,$A44,RESULTADOS_GRID!$Z:$Z)/(COUNTIFS(RESULTADOS_GRID!$B:$B,$A44,RESULTADOS_GRID!$Z:$Z,"&gt;=0")+COUNTIFS(RESULTADOS_GRID!$B:$B,$A44,RESULTADOS_GRID!$Z:$Z,"&lt;0"))))</f>
        <v/>
      </c>
      <c r="L44" s="51">
        <f>IF($A44="","",IF((COUNTIFS(RESULTADOS_GRID!$B:$B,$A44,RESULTADOS_GRID!$AA:$AA,"&gt;=0")+COUNTIFS(RESULTADOS_GRID!$B:$B,$A44,RESULTADOS_GRID!$AA:$AA,"&lt;0"))=0,"",SUMIF(RESULTADOS_GRID!$B:$B,$A44,RESULTADOS_GRID!$AA:$AA)/(COUNTIFS(RESULTADOS_GRID!$B:$B,$A44,RESULTADOS_GRID!$AA:$AA,"&gt;=0")+COUNTIFS(RESULTADOS_GRID!$B:$B,$A44,RESULTADOS_GRID!$AA:$AA,"&lt;0"))))</f>
        <v/>
      </c>
      <c r="M44" s="51">
        <f>IF($A44="","",IF((COUNTIFS(RESULTADOS_GRID!$B:$B,$A44,RESULTADOS_GRID!$AB:$AB,"&gt;=0")+COUNTIFS(RESULTADOS_GRID!$B:$B,$A44,RESULTADOS_GRID!$AB:$AB,"&lt;0"))=0,"",SUMIF(RESULTADOS_GRID!$B:$B,$A44,RESULTADOS_GRID!$AB:$AB)/(COUNTIFS(RESULTADOS_GRID!$B:$B,$A44,RESULTADOS_GRID!$AB:$AB,"&gt;=0")+COUNTIFS(RESULTADOS_GRID!$B:$B,$A44,RESULTADOS_GRID!$AB:$AB,"&lt;0"))))</f>
        <v/>
      </c>
      <c r="N44" s="49" t="n"/>
      <c r="O44" s="57">
        <f>IF($I44="","",COUNTIFS($I$2:$I$101,"&lt;"&amp;$I44)+1)</f>
        <v/>
      </c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9" t="n"/>
      <c r="Z44" s="49" t="n"/>
      <c r="AA44" s="49" t="n"/>
      <c r="AB44" s="49" t="n"/>
      <c r="AC44" s="49" t="n"/>
      <c r="AD44" s="49" t="n"/>
      <c r="AE44" s="49" t="n"/>
      <c r="AF44" s="49" t="n"/>
      <c r="AG44" s="49" t="n"/>
      <c r="AH44" s="49" t="n"/>
      <c r="AI44" s="49" t="n"/>
      <c r="AJ44" s="49" t="n"/>
      <c r="AK44" s="49" t="n"/>
    </row>
    <row r="45" ht="15" customHeight="1" s="27">
      <c r="A45" s="49" t="n"/>
      <c r="B45" s="57">
        <f>IF($A45="","",IFERROR(INDEX(RESULTADOS_GRID!$C:$C,MATCH($A45,RESULTADOS_GRID!$B:$B,0)),""))</f>
        <v/>
      </c>
      <c r="C45" s="57">
        <f>IF($A45="","",IFERROR(INDEX(RESULTADOS_GRID!$E:$E,MATCH($A45,RESULTADOS_GRID!$B:$B,0)),""))</f>
        <v/>
      </c>
      <c r="D45" s="57">
        <f>IF($A45="","",IFERROR(INDEX(RESULTADOS_GRID!$D:$D,MATCH($A45,RESULTADOS_GRID!$B:$B,0)),""))</f>
        <v/>
      </c>
      <c r="E45" s="57">
        <f>IF($A45="","",COUNTIF(RESULTADOS_GRID!$B:$B,$A45))</f>
        <v/>
      </c>
      <c r="F45" s="54">
        <f>IF($A45="","",SUMIF(RESULTADOS_GRID!$B:$B,$A45,RESULTADOS_GRID!$X:$X))</f>
        <v/>
      </c>
      <c r="G45" s="53" t="n"/>
      <c r="H45" s="58">
        <f>CONFIG_REFERENCIA!$E$7</f>
        <v/>
      </c>
      <c r="I45" s="54">
        <f>IF($A45="","",$F45+N($G45)*$H45)</f>
        <v/>
      </c>
      <c r="J45" s="54">
        <f>IF($A45="","",IF((COUNTIFS(RESULTADOS_GRID!$B:$B,$A45,RESULTADOS_GRID!$Y:$Y,"&gt;=0")+COUNTIFS(RESULTADOS_GRID!$B:$B,$A45,RESULTADOS_GRID!$Y:$Y,"&lt;0"))=0,"",SUMIF(RESULTADOS_GRID!$B:$B,$A45,RESULTADOS_GRID!$Y:$Y)/(COUNTIFS(RESULTADOS_GRID!$B:$B,$A45,RESULTADOS_GRID!$Y:$Y,"&gt;=0")+COUNTIFS(RESULTADOS_GRID!$B:$B,$A45,RESULTADOS_GRID!$Y:$Y,"&lt;0"))))</f>
        <v/>
      </c>
      <c r="K45" s="54">
        <f>IF($A45="","",IF((COUNTIFS(RESULTADOS_GRID!$B:$B,$A45,RESULTADOS_GRID!$Z:$Z,"&gt;=0")+COUNTIFS(RESULTADOS_GRID!$B:$B,$A45,RESULTADOS_GRID!$Z:$Z,"&lt;0"))=0,"",SUMIF(RESULTADOS_GRID!$B:$B,$A45,RESULTADOS_GRID!$Z:$Z)/(COUNTIFS(RESULTADOS_GRID!$B:$B,$A45,RESULTADOS_GRID!$Z:$Z,"&gt;=0")+COUNTIFS(RESULTADOS_GRID!$B:$B,$A45,RESULTADOS_GRID!$Z:$Z,"&lt;0"))))</f>
        <v/>
      </c>
      <c r="L45" s="51">
        <f>IF($A45="","",IF((COUNTIFS(RESULTADOS_GRID!$B:$B,$A45,RESULTADOS_GRID!$AA:$AA,"&gt;=0")+COUNTIFS(RESULTADOS_GRID!$B:$B,$A45,RESULTADOS_GRID!$AA:$AA,"&lt;0"))=0,"",SUMIF(RESULTADOS_GRID!$B:$B,$A45,RESULTADOS_GRID!$AA:$AA)/(COUNTIFS(RESULTADOS_GRID!$B:$B,$A45,RESULTADOS_GRID!$AA:$AA,"&gt;=0")+COUNTIFS(RESULTADOS_GRID!$B:$B,$A45,RESULTADOS_GRID!$AA:$AA,"&lt;0"))))</f>
        <v/>
      </c>
      <c r="M45" s="51">
        <f>IF($A45="","",IF((COUNTIFS(RESULTADOS_GRID!$B:$B,$A45,RESULTADOS_GRID!$AB:$AB,"&gt;=0")+COUNTIFS(RESULTADOS_GRID!$B:$B,$A45,RESULTADOS_GRID!$AB:$AB,"&lt;0"))=0,"",SUMIF(RESULTADOS_GRID!$B:$B,$A45,RESULTADOS_GRID!$AB:$AB)/(COUNTIFS(RESULTADOS_GRID!$B:$B,$A45,RESULTADOS_GRID!$AB:$AB,"&gt;=0")+COUNTIFS(RESULTADOS_GRID!$B:$B,$A45,RESULTADOS_GRID!$AB:$AB,"&lt;0"))))</f>
        <v/>
      </c>
      <c r="N45" s="49" t="n"/>
      <c r="O45" s="57">
        <f>IF($I45="","",COUNTIFS($I$2:$I$101,"&lt;"&amp;$I45)+1)</f>
        <v/>
      </c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9" t="n"/>
      <c r="Z45" s="49" t="n"/>
      <c r="AA45" s="49" t="n"/>
      <c r="AB45" s="49" t="n"/>
      <c r="AC45" s="49" t="n"/>
      <c r="AD45" s="49" t="n"/>
      <c r="AE45" s="49" t="n"/>
      <c r="AF45" s="49" t="n"/>
      <c r="AG45" s="49" t="n"/>
      <c r="AH45" s="49" t="n"/>
      <c r="AI45" s="49" t="n"/>
      <c r="AJ45" s="49" t="n"/>
      <c r="AK45" s="49" t="n"/>
    </row>
    <row r="46" ht="15" customHeight="1" s="27">
      <c r="A46" s="49" t="n"/>
      <c r="B46" s="57">
        <f>IF($A46="","",IFERROR(INDEX(RESULTADOS_GRID!$C:$C,MATCH($A46,RESULTADOS_GRID!$B:$B,0)),""))</f>
        <v/>
      </c>
      <c r="C46" s="57">
        <f>IF($A46="","",IFERROR(INDEX(RESULTADOS_GRID!$E:$E,MATCH($A46,RESULTADOS_GRID!$B:$B,0)),""))</f>
        <v/>
      </c>
      <c r="D46" s="57">
        <f>IF($A46="","",IFERROR(INDEX(RESULTADOS_GRID!$D:$D,MATCH($A46,RESULTADOS_GRID!$B:$B,0)),""))</f>
        <v/>
      </c>
      <c r="E46" s="57">
        <f>IF($A46="","",COUNTIF(RESULTADOS_GRID!$B:$B,$A46))</f>
        <v/>
      </c>
      <c r="F46" s="54">
        <f>IF($A46="","",SUMIF(RESULTADOS_GRID!$B:$B,$A46,RESULTADOS_GRID!$X:$X))</f>
        <v/>
      </c>
      <c r="G46" s="53" t="n"/>
      <c r="H46" s="58">
        <f>CONFIG_REFERENCIA!$E$7</f>
        <v/>
      </c>
      <c r="I46" s="54">
        <f>IF($A46="","",$F46+N($G46)*$H46)</f>
        <v/>
      </c>
      <c r="J46" s="54">
        <f>IF($A46="","",IF((COUNTIFS(RESULTADOS_GRID!$B:$B,$A46,RESULTADOS_GRID!$Y:$Y,"&gt;=0")+COUNTIFS(RESULTADOS_GRID!$B:$B,$A46,RESULTADOS_GRID!$Y:$Y,"&lt;0"))=0,"",SUMIF(RESULTADOS_GRID!$B:$B,$A46,RESULTADOS_GRID!$Y:$Y)/(COUNTIFS(RESULTADOS_GRID!$B:$B,$A46,RESULTADOS_GRID!$Y:$Y,"&gt;=0")+COUNTIFS(RESULTADOS_GRID!$B:$B,$A46,RESULTADOS_GRID!$Y:$Y,"&lt;0"))))</f>
        <v/>
      </c>
      <c r="K46" s="54">
        <f>IF($A46="","",IF((COUNTIFS(RESULTADOS_GRID!$B:$B,$A46,RESULTADOS_GRID!$Z:$Z,"&gt;=0")+COUNTIFS(RESULTADOS_GRID!$B:$B,$A46,RESULTADOS_GRID!$Z:$Z,"&lt;0"))=0,"",SUMIF(RESULTADOS_GRID!$B:$B,$A46,RESULTADOS_GRID!$Z:$Z)/(COUNTIFS(RESULTADOS_GRID!$B:$B,$A46,RESULTADOS_GRID!$Z:$Z,"&gt;=0")+COUNTIFS(RESULTADOS_GRID!$B:$B,$A46,RESULTADOS_GRID!$Z:$Z,"&lt;0"))))</f>
        <v/>
      </c>
      <c r="L46" s="51">
        <f>IF($A46="","",IF((COUNTIFS(RESULTADOS_GRID!$B:$B,$A46,RESULTADOS_GRID!$AA:$AA,"&gt;=0")+COUNTIFS(RESULTADOS_GRID!$B:$B,$A46,RESULTADOS_GRID!$AA:$AA,"&lt;0"))=0,"",SUMIF(RESULTADOS_GRID!$B:$B,$A46,RESULTADOS_GRID!$AA:$AA)/(COUNTIFS(RESULTADOS_GRID!$B:$B,$A46,RESULTADOS_GRID!$AA:$AA,"&gt;=0")+COUNTIFS(RESULTADOS_GRID!$B:$B,$A46,RESULTADOS_GRID!$AA:$AA,"&lt;0"))))</f>
        <v/>
      </c>
      <c r="M46" s="51">
        <f>IF($A46="","",IF((COUNTIFS(RESULTADOS_GRID!$B:$B,$A46,RESULTADOS_GRID!$AB:$AB,"&gt;=0")+COUNTIFS(RESULTADOS_GRID!$B:$B,$A46,RESULTADOS_GRID!$AB:$AB,"&lt;0"))=0,"",SUMIF(RESULTADOS_GRID!$B:$B,$A46,RESULTADOS_GRID!$AB:$AB)/(COUNTIFS(RESULTADOS_GRID!$B:$B,$A46,RESULTADOS_GRID!$AB:$AB,"&gt;=0")+COUNTIFS(RESULTADOS_GRID!$B:$B,$A46,RESULTADOS_GRID!$AB:$AB,"&lt;0"))))</f>
        <v/>
      </c>
      <c r="N46" s="49" t="n"/>
      <c r="O46" s="57">
        <f>IF($I46="","",COUNTIFS($I$2:$I$101,"&lt;"&amp;$I46)+1)</f>
        <v/>
      </c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9" t="n"/>
      <c r="Z46" s="49" t="n"/>
      <c r="AA46" s="49" t="n"/>
      <c r="AB46" s="49" t="n"/>
      <c r="AC46" s="49" t="n"/>
      <c r="AD46" s="49" t="n"/>
      <c r="AE46" s="49" t="n"/>
      <c r="AF46" s="49" t="n"/>
      <c r="AG46" s="49" t="n"/>
      <c r="AH46" s="49" t="n"/>
      <c r="AI46" s="49" t="n"/>
      <c r="AJ46" s="49" t="n"/>
      <c r="AK46" s="49" t="n"/>
    </row>
    <row r="47" ht="15" customHeight="1" s="27">
      <c r="A47" s="49" t="n"/>
      <c r="B47" s="57">
        <f>IF($A47="","",IFERROR(INDEX(RESULTADOS_GRID!$C:$C,MATCH($A47,RESULTADOS_GRID!$B:$B,0)),""))</f>
        <v/>
      </c>
      <c r="C47" s="57">
        <f>IF($A47="","",IFERROR(INDEX(RESULTADOS_GRID!$E:$E,MATCH($A47,RESULTADOS_GRID!$B:$B,0)),""))</f>
        <v/>
      </c>
      <c r="D47" s="57">
        <f>IF($A47="","",IFERROR(INDEX(RESULTADOS_GRID!$D:$D,MATCH($A47,RESULTADOS_GRID!$B:$B,0)),""))</f>
        <v/>
      </c>
      <c r="E47" s="57">
        <f>IF($A47="","",COUNTIF(RESULTADOS_GRID!$B:$B,$A47))</f>
        <v/>
      </c>
      <c r="F47" s="54">
        <f>IF($A47="","",SUMIF(RESULTADOS_GRID!$B:$B,$A47,RESULTADOS_GRID!$X:$X))</f>
        <v/>
      </c>
      <c r="G47" s="53" t="n"/>
      <c r="H47" s="58">
        <f>CONFIG_REFERENCIA!$E$7</f>
        <v/>
      </c>
      <c r="I47" s="54">
        <f>IF($A47="","",$F47+N($G47)*$H47)</f>
        <v/>
      </c>
      <c r="J47" s="54">
        <f>IF($A47="","",IF((COUNTIFS(RESULTADOS_GRID!$B:$B,$A47,RESULTADOS_GRID!$Y:$Y,"&gt;=0")+COUNTIFS(RESULTADOS_GRID!$B:$B,$A47,RESULTADOS_GRID!$Y:$Y,"&lt;0"))=0,"",SUMIF(RESULTADOS_GRID!$B:$B,$A47,RESULTADOS_GRID!$Y:$Y)/(COUNTIFS(RESULTADOS_GRID!$B:$B,$A47,RESULTADOS_GRID!$Y:$Y,"&gt;=0")+COUNTIFS(RESULTADOS_GRID!$B:$B,$A47,RESULTADOS_GRID!$Y:$Y,"&lt;0"))))</f>
        <v/>
      </c>
      <c r="K47" s="54">
        <f>IF($A47="","",IF((COUNTIFS(RESULTADOS_GRID!$B:$B,$A47,RESULTADOS_GRID!$Z:$Z,"&gt;=0")+COUNTIFS(RESULTADOS_GRID!$B:$B,$A47,RESULTADOS_GRID!$Z:$Z,"&lt;0"))=0,"",SUMIF(RESULTADOS_GRID!$B:$B,$A47,RESULTADOS_GRID!$Z:$Z)/(COUNTIFS(RESULTADOS_GRID!$B:$B,$A47,RESULTADOS_GRID!$Z:$Z,"&gt;=0")+COUNTIFS(RESULTADOS_GRID!$B:$B,$A47,RESULTADOS_GRID!$Z:$Z,"&lt;0"))))</f>
        <v/>
      </c>
      <c r="L47" s="51">
        <f>IF($A47="","",IF((COUNTIFS(RESULTADOS_GRID!$B:$B,$A47,RESULTADOS_GRID!$AA:$AA,"&gt;=0")+COUNTIFS(RESULTADOS_GRID!$B:$B,$A47,RESULTADOS_GRID!$AA:$AA,"&lt;0"))=0,"",SUMIF(RESULTADOS_GRID!$B:$B,$A47,RESULTADOS_GRID!$AA:$AA)/(COUNTIFS(RESULTADOS_GRID!$B:$B,$A47,RESULTADOS_GRID!$AA:$AA,"&gt;=0")+COUNTIFS(RESULTADOS_GRID!$B:$B,$A47,RESULTADOS_GRID!$AA:$AA,"&lt;0"))))</f>
        <v/>
      </c>
      <c r="M47" s="51">
        <f>IF($A47="","",IF((COUNTIFS(RESULTADOS_GRID!$B:$B,$A47,RESULTADOS_GRID!$AB:$AB,"&gt;=0")+COUNTIFS(RESULTADOS_GRID!$B:$B,$A47,RESULTADOS_GRID!$AB:$AB,"&lt;0"))=0,"",SUMIF(RESULTADOS_GRID!$B:$B,$A47,RESULTADOS_GRID!$AB:$AB)/(COUNTIFS(RESULTADOS_GRID!$B:$B,$A47,RESULTADOS_GRID!$AB:$AB,"&gt;=0")+COUNTIFS(RESULTADOS_GRID!$B:$B,$A47,RESULTADOS_GRID!$AB:$AB,"&lt;0"))))</f>
        <v/>
      </c>
      <c r="N47" s="49" t="n"/>
      <c r="O47" s="57">
        <f>IF($I47="","",COUNTIFS($I$2:$I$101,"&lt;"&amp;$I47)+1)</f>
        <v/>
      </c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9" t="n"/>
      <c r="Z47" s="49" t="n"/>
      <c r="AA47" s="49" t="n"/>
      <c r="AB47" s="49" t="n"/>
      <c r="AC47" s="49" t="n"/>
      <c r="AD47" s="49" t="n"/>
      <c r="AE47" s="49" t="n"/>
      <c r="AF47" s="49" t="n"/>
      <c r="AG47" s="49" t="n"/>
      <c r="AH47" s="49" t="n"/>
      <c r="AI47" s="49" t="n"/>
      <c r="AJ47" s="49" t="n"/>
      <c r="AK47" s="49" t="n"/>
    </row>
    <row r="48" ht="15" customHeight="1" s="27">
      <c r="A48" s="49" t="n"/>
      <c r="B48" s="57">
        <f>IF($A48="","",IFERROR(INDEX(RESULTADOS_GRID!$C:$C,MATCH($A48,RESULTADOS_GRID!$B:$B,0)),""))</f>
        <v/>
      </c>
      <c r="C48" s="57">
        <f>IF($A48="","",IFERROR(INDEX(RESULTADOS_GRID!$E:$E,MATCH($A48,RESULTADOS_GRID!$B:$B,0)),""))</f>
        <v/>
      </c>
      <c r="D48" s="57">
        <f>IF($A48="","",IFERROR(INDEX(RESULTADOS_GRID!$D:$D,MATCH($A48,RESULTADOS_GRID!$B:$B,0)),""))</f>
        <v/>
      </c>
      <c r="E48" s="57">
        <f>IF($A48="","",COUNTIF(RESULTADOS_GRID!$B:$B,$A48))</f>
        <v/>
      </c>
      <c r="F48" s="54">
        <f>IF($A48="","",SUMIF(RESULTADOS_GRID!$B:$B,$A48,RESULTADOS_GRID!$X:$X))</f>
        <v/>
      </c>
      <c r="G48" s="53" t="n"/>
      <c r="H48" s="58">
        <f>CONFIG_REFERENCIA!$E$7</f>
        <v/>
      </c>
      <c r="I48" s="54">
        <f>IF($A48="","",$F48+N($G48)*$H48)</f>
        <v/>
      </c>
      <c r="J48" s="54">
        <f>IF($A48="","",IF((COUNTIFS(RESULTADOS_GRID!$B:$B,$A48,RESULTADOS_GRID!$Y:$Y,"&gt;=0")+COUNTIFS(RESULTADOS_GRID!$B:$B,$A48,RESULTADOS_GRID!$Y:$Y,"&lt;0"))=0,"",SUMIF(RESULTADOS_GRID!$B:$B,$A48,RESULTADOS_GRID!$Y:$Y)/(COUNTIFS(RESULTADOS_GRID!$B:$B,$A48,RESULTADOS_GRID!$Y:$Y,"&gt;=0")+COUNTIFS(RESULTADOS_GRID!$B:$B,$A48,RESULTADOS_GRID!$Y:$Y,"&lt;0"))))</f>
        <v/>
      </c>
      <c r="K48" s="54">
        <f>IF($A48="","",IF((COUNTIFS(RESULTADOS_GRID!$B:$B,$A48,RESULTADOS_GRID!$Z:$Z,"&gt;=0")+COUNTIFS(RESULTADOS_GRID!$B:$B,$A48,RESULTADOS_GRID!$Z:$Z,"&lt;0"))=0,"",SUMIF(RESULTADOS_GRID!$B:$B,$A48,RESULTADOS_GRID!$Z:$Z)/(COUNTIFS(RESULTADOS_GRID!$B:$B,$A48,RESULTADOS_GRID!$Z:$Z,"&gt;=0")+COUNTIFS(RESULTADOS_GRID!$B:$B,$A48,RESULTADOS_GRID!$Z:$Z,"&lt;0"))))</f>
        <v/>
      </c>
      <c r="L48" s="51">
        <f>IF($A48="","",IF((COUNTIFS(RESULTADOS_GRID!$B:$B,$A48,RESULTADOS_GRID!$AA:$AA,"&gt;=0")+COUNTIFS(RESULTADOS_GRID!$B:$B,$A48,RESULTADOS_GRID!$AA:$AA,"&lt;0"))=0,"",SUMIF(RESULTADOS_GRID!$B:$B,$A48,RESULTADOS_GRID!$AA:$AA)/(COUNTIFS(RESULTADOS_GRID!$B:$B,$A48,RESULTADOS_GRID!$AA:$AA,"&gt;=0")+COUNTIFS(RESULTADOS_GRID!$B:$B,$A48,RESULTADOS_GRID!$AA:$AA,"&lt;0"))))</f>
        <v/>
      </c>
      <c r="M48" s="51">
        <f>IF($A48="","",IF((COUNTIFS(RESULTADOS_GRID!$B:$B,$A48,RESULTADOS_GRID!$AB:$AB,"&gt;=0")+COUNTIFS(RESULTADOS_GRID!$B:$B,$A48,RESULTADOS_GRID!$AB:$AB,"&lt;0"))=0,"",SUMIF(RESULTADOS_GRID!$B:$B,$A48,RESULTADOS_GRID!$AB:$AB)/(COUNTIFS(RESULTADOS_GRID!$B:$B,$A48,RESULTADOS_GRID!$AB:$AB,"&gt;=0")+COUNTIFS(RESULTADOS_GRID!$B:$B,$A48,RESULTADOS_GRID!$AB:$AB,"&lt;0"))))</f>
        <v/>
      </c>
      <c r="N48" s="49" t="n"/>
      <c r="O48" s="57">
        <f>IF($I48="","",COUNTIFS($I$2:$I$101,"&lt;"&amp;$I48)+1)</f>
        <v/>
      </c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9" t="n"/>
      <c r="Z48" s="49" t="n"/>
      <c r="AA48" s="49" t="n"/>
      <c r="AB48" s="49" t="n"/>
      <c r="AC48" s="49" t="n"/>
      <c r="AD48" s="49" t="n"/>
      <c r="AE48" s="49" t="n"/>
      <c r="AF48" s="49" t="n"/>
      <c r="AG48" s="49" t="n"/>
      <c r="AH48" s="49" t="n"/>
      <c r="AI48" s="49" t="n"/>
      <c r="AJ48" s="49" t="n"/>
      <c r="AK48" s="49" t="n"/>
    </row>
    <row r="49" ht="15" customHeight="1" s="27">
      <c r="A49" s="49" t="n"/>
      <c r="B49" s="57">
        <f>IF($A49="","",IFERROR(INDEX(RESULTADOS_GRID!$C:$C,MATCH($A49,RESULTADOS_GRID!$B:$B,0)),""))</f>
        <v/>
      </c>
      <c r="C49" s="57">
        <f>IF($A49="","",IFERROR(INDEX(RESULTADOS_GRID!$E:$E,MATCH($A49,RESULTADOS_GRID!$B:$B,0)),""))</f>
        <v/>
      </c>
      <c r="D49" s="57">
        <f>IF($A49="","",IFERROR(INDEX(RESULTADOS_GRID!$D:$D,MATCH($A49,RESULTADOS_GRID!$B:$B,0)),""))</f>
        <v/>
      </c>
      <c r="E49" s="57">
        <f>IF($A49="","",COUNTIF(RESULTADOS_GRID!$B:$B,$A49))</f>
        <v/>
      </c>
      <c r="F49" s="54">
        <f>IF($A49="","",SUMIF(RESULTADOS_GRID!$B:$B,$A49,RESULTADOS_GRID!$X:$X))</f>
        <v/>
      </c>
      <c r="G49" s="53" t="n"/>
      <c r="H49" s="58">
        <f>CONFIG_REFERENCIA!$E$7</f>
        <v/>
      </c>
      <c r="I49" s="54">
        <f>IF($A49="","",$F49+N($G49)*$H49)</f>
        <v/>
      </c>
      <c r="J49" s="54">
        <f>IF($A49="","",IF((COUNTIFS(RESULTADOS_GRID!$B:$B,$A49,RESULTADOS_GRID!$Y:$Y,"&gt;=0")+COUNTIFS(RESULTADOS_GRID!$B:$B,$A49,RESULTADOS_GRID!$Y:$Y,"&lt;0"))=0,"",SUMIF(RESULTADOS_GRID!$B:$B,$A49,RESULTADOS_GRID!$Y:$Y)/(COUNTIFS(RESULTADOS_GRID!$B:$B,$A49,RESULTADOS_GRID!$Y:$Y,"&gt;=0")+COUNTIFS(RESULTADOS_GRID!$B:$B,$A49,RESULTADOS_GRID!$Y:$Y,"&lt;0"))))</f>
        <v/>
      </c>
      <c r="K49" s="54">
        <f>IF($A49="","",IF((COUNTIFS(RESULTADOS_GRID!$B:$B,$A49,RESULTADOS_GRID!$Z:$Z,"&gt;=0")+COUNTIFS(RESULTADOS_GRID!$B:$B,$A49,RESULTADOS_GRID!$Z:$Z,"&lt;0"))=0,"",SUMIF(RESULTADOS_GRID!$B:$B,$A49,RESULTADOS_GRID!$Z:$Z)/(COUNTIFS(RESULTADOS_GRID!$B:$B,$A49,RESULTADOS_GRID!$Z:$Z,"&gt;=0")+COUNTIFS(RESULTADOS_GRID!$B:$B,$A49,RESULTADOS_GRID!$Z:$Z,"&lt;0"))))</f>
        <v/>
      </c>
      <c r="L49" s="51">
        <f>IF($A49="","",IF((COUNTIFS(RESULTADOS_GRID!$B:$B,$A49,RESULTADOS_GRID!$AA:$AA,"&gt;=0")+COUNTIFS(RESULTADOS_GRID!$B:$B,$A49,RESULTADOS_GRID!$AA:$AA,"&lt;0"))=0,"",SUMIF(RESULTADOS_GRID!$B:$B,$A49,RESULTADOS_GRID!$AA:$AA)/(COUNTIFS(RESULTADOS_GRID!$B:$B,$A49,RESULTADOS_GRID!$AA:$AA,"&gt;=0")+COUNTIFS(RESULTADOS_GRID!$B:$B,$A49,RESULTADOS_GRID!$AA:$AA,"&lt;0"))))</f>
        <v/>
      </c>
      <c r="M49" s="51">
        <f>IF($A49="","",IF((COUNTIFS(RESULTADOS_GRID!$B:$B,$A49,RESULTADOS_GRID!$AB:$AB,"&gt;=0")+COUNTIFS(RESULTADOS_GRID!$B:$B,$A49,RESULTADOS_GRID!$AB:$AB,"&lt;0"))=0,"",SUMIF(RESULTADOS_GRID!$B:$B,$A49,RESULTADOS_GRID!$AB:$AB)/(COUNTIFS(RESULTADOS_GRID!$B:$B,$A49,RESULTADOS_GRID!$AB:$AB,"&gt;=0")+COUNTIFS(RESULTADOS_GRID!$B:$B,$A49,RESULTADOS_GRID!$AB:$AB,"&lt;0"))))</f>
        <v/>
      </c>
      <c r="N49" s="49" t="n"/>
      <c r="O49" s="57">
        <f>IF($I49="","",COUNTIFS($I$2:$I$101,"&lt;"&amp;$I49)+1)</f>
        <v/>
      </c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9" t="n"/>
      <c r="Z49" s="49" t="n"/>
      <c r="AA49" s="49" t="n"/>
      <c r="AB49" s="49" t="n"/>
      <c r="AC49" s="49" t="n"/>
      <c r="AD49" s="49" t="n"/>
      <c r="AE49" s="49" t="n"/>
      <c r="AF49" s="49" t="n"/>
      <c r="AG49" s="49" t="n"/>
      <c r="AH49" s="49" t="n"/>
      <c r="AI49" s="49" t="n"/>
      <c r="AJ49" s="49" t="n"/>
      <c r="AK49" s="49" t="n"/>
    </row>
    <row r="50" ht="15" customHeight="1" s="27">
      <c r="A50" s="49" t="n"/>
      <c r="B50" s="57">
        <f>IF($A50="","",IFERROR(INDEX(RESULTADOS_GRID!$C:$C,MATCH($A50,RESULTADOS_GRID!$B:$B,0)),""))</f>
        <v/>
      </c>
      <c r="C50" s="57">
        <f>IF($A50="","",IFERROR(INDEX(RESULTADOS_GRID!$E:$E,MATCH($A50,RESULTADOS_GRID!$B:$B,0)),""))</f>
        <v/>
      </c>
      <c r="D50" s="57">
        <f>IF($A50="","",IFERROR(INDEX(RESULTADOS_GRID!$D:$D,MATCH($A50,RESULTADOS_GRID!$B:$B,0)),""))</f>
        <v/>
      </c>
      <c r="E50" s="57">
        <f>IF($A50="","",COUNTIF(RESULTADOS_GRID!$B:$B,$A50))</f>
        <v/>
      </c>
      <c r="F50" s="54">
        <f>IF($A50="","",SUMIF(RESULTADOS_GRID!$B:$B,$A50,RESULTADOS_GRID!$X:$X))</f>
        <v/>
      </c>
      <c r="G50" s="53" t="n"/>
      <c r="H50" s="58">
        <f>CONFIG_REFERENCIA!$E$7</f>
        <v/>
      </c>
      <c r="I50" s="54">
        <f>IF($A50="","",$F50+N($G50)*$H50)</f>
        <v/>
      </c>
      <c r="J50" s="54">
        <f>IF($A50="","",IF((COUNTIFS(RESULTADOS_GRID!$B:$B,$A50,RESULTADOS_GRID!$Y:$Y,"&gt;=0")+COUNTIFS(RESULTADOS_GRID!$B:$B,$A50,RESULTADOS_GRID!$Y:$Y,"&lt;0"))=0,"",SUMIF(RESULTADOS_GRID!$B:$B,$A50,RESULTADOS_GRID!$Y:$Y)/(COUNTIFS(RESULTADOS_GRID!$B:$B,$A50,RESULTADOS_GRID!$Y:$Y,"&gt;=0")+COUNTIFS(RESULTADOS_GRID!$B:$B,$A50,RESULTADOS_GRID!$Y:$Y,"&lt;0"))))</f>
        <v/>
      </c>
      <c r="K50" s="54">
        <f>IF($A50="","",IF((COUNTIFS(RESULTADOS_GRID!$B:$B,$A50,RESULTADOS_GRID!$Z:$Z,"&gt;=0")+COUNTIFS(RESULTADOS_GRID!$B:$B,$A50,RESULTADOS_GRID!$Z:$Z,"&lt;0"))=0,"",SUMIF(RESULTADOS_GRID!$B:$B,$A50,RESULTADOS_GRID!$Z:$Z)/(COUNTIFS(RESULTADOS_GRID!$B:$B,$A50,RESULTADOS_GRID!$Z:$Z,"&gt;=0")+COUNTIFS(RESULTADOS_GRID!$B:$B,$A50,RESULTADOS_GRID!$Z:$Z,"&lt;0"))))</f>
        <v/>
      </c>
      <c r="L50" s="51">
        <f>IF($A50="","",IF((COUNTIFS(RESULTADOS_GRID!$B:$B,$A50,RESULTADOS_GRID!$AA:$AA,"&gt;=0")+COUNTIFS(RESULTADOS_GRID!$B:$B,$A50,RESULTADOS_GRID!$AA:$AA,"&lt;0"))=0,"",SUMIF(RESULTADOS_GRID!$B:$B,$A50,RESULTADOS_GRID!$AA:$AA)/(COUNTIFS(RESULTADOS_GRID!$B:$B,$A50,RESULTADOS_GRID!$AA:$AA,"&gt;=0")+COUNTIFS(RESULTADOS_GRID!$B:$B,$A50,RESULTADOS_GRID!$AA:$AA,"&lt;0"))))</f>
        <v/>
      </c>
      <c r="M50" s="51">
        <f>IF($A50="","",IF((COUNTIFS(RESULTADOS_GRID!$B:$B,$A50,RESULTADOS_GRID!$AB:$AB,"&gt;=0")+COUNTIFS(RESULTADOS_GRID!$B:$B,$A50,RESULTADOS_GRID!$AB:$AB,"&lt;0"))=0,"",SUMIF(RESULTADOS_GRID!$B:$B,$A50,RESULTADOS_GRID!$AB:$AB)/(COUNTIFS(RESULTADOS_GRID!$B:$B,$A50,RESULTADOS_GRID!$AB:$AB,"&gt;=0")+COUNTIFS(RESULTADOS_GRID!$B:$B,$A50,RESULTADOS_GRID!$AB:$AB,"&lt;0"))))</f>
        <v/>
      </c>
      <c r="N50" s="49" t="n"/>
      <c r="O50" s="57">
        <f>IF($I50="","",COUNTIFS($I$2:$I$101,"&lt;"&amp;$I50)+1)</f>
        <v/>
      </c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9" t="n"/>
      <c r="Z50" s="49" t="n"/>
      <c r="AA50" s="49" t="n"/>
      <c r="AB50" s="49" t="n"/>
      <c r="AC50" s="49" t="n"/>
      <c r="AD50" s="49" t="n"/>
      <c r="AE50" s="49" t="n"/>
      <c r="AF50" s="49" t="n"/>
      <c r="AG50" s="49" t="n"/>
      <c r="AH50" s="49" t="n"/>
      <c r="AI50" s="49" t="n"/>
      <c r="AJ50" s="49" t="n"/>
      <c r="AK50" s="49" t="n"/>
    </row>
    <row r="51" ht="15" customHeight="1" s="27">
      <c r="A51" s="49" t="n"/>
      <c r="B51" s="57">
        <f>IF($A51="","",IFERROR(INDEX(RESULTADOS_GRID!$C:$C,MATCH($A51,RESULTADOS_GRID!$B:$B,0)),""))</f>
        <v/>
      </c>
      <c r="C51" s="57">
        <f>IF($A51="","",IFERROR(INDEX(RESULTADOS_GRID!$E:$E,MATCH($A51,RESULTADOS_GRID!$B:$B,0)),""))</f>
        <v/>
      </c>
      <c r="D51" s="57">
        <f>IF($A51="","",IFERROR(INDEX(RESULTADOS_GRID!$D:$D,MATCH($A51,RESULTADOS_GRID!$B:$B,0)),""))</f>
        <v/>
      </c>
      <c r="E51" s="57">
        <f>IF($A51="","",COUNTIF(RESULTADOS_GRID!$B:$B,$A51))</f>
        <v/>
      </c>
      <c r="F51" s="54">
        <f>IF($A51="","",SUMIF(RESULTADOS_GRID!$B:$B,$A51,RESULTADOS_GRID!$X:$X))</f>
        <v/>
      </c>
      <c r="G51" s="53" t="n"/>
      <c r="H51" s="58">
        <f>CONFIG_REFERENCIA!$E$7</f>
        <v/>
      </c>
      <c r="I51" s="54">
        <f>IF($A51="","",$F51+N($G51)*$H51)</f>
        <v/>
      </c>
      <c r="J51" s="54">
        <f>IF($A51="","",IF((COUNTIFS(RESULTADOS_GRID!$B:$B,$A51,RESULTADOS_GRID!$Y:$Y,"&gt;=0")+COUNTIFS(RESULTADOS_GRID!$B:$B,$A51,RESULTADOS_GRID!$Y:$Y,"&lt;0"))=0,"",SUMIF(RESULTADOS_GRID!$B:$B,$A51,RESULTADOS_GRID!$Y:$Y)/(COUNTIFS(RESULTADOS_GRID!$B:$B,$A51,RESULTADOS_GRID!$Y:$Y,"&gt;=0")+COUNTIFS(RESULTADOS_GRID!$B:$B,$A51,RESULTADOS_GRID!$Y:$Y,"&lt;0"))))</f>
        <v/>
      </c>
      <c r="K51" s="54">
        <f>IF($A51="","",IF((COUNTIFS(RESULTADOS_GRID!$B:$B,$A51,RESULTADOS_GRID!$Z:$Z,"&gt;=0")+COUNTIFS(RESULTADOS_GRID!$B:$B,$A51,RESULTADOS_GRID!$Z:$Z,"&lt;0"))=0,"",SUMIF(RESULTADOS_GRID!$B:$B,$A51,RESULTADOS_GRID!$Z:$Z)/(COUNTIFS(RESULTADOS_GRID!$B:$B,$A51,RESULTADOS_GRID!$Z:$Z,"&gt;=0")+COUNTIFS(RESULTADOS_GRID!$B:$B,$A51,RESULTADOS_GRID!$Z:$Z,"&lt;0"))))</f>
        <v/>
      </c>
      <c r="L51" s="51">
        <f>IF($A51="","",IF((COUNTIFS(RESULTADOS_GRID!$B:$B,$A51,RESULTADOS_GRID!$AA:$AA,"&gt;=0")+COUNTIFS(RESULTADOS_GRID!$B:$B,$A51,RESULTADOS_GRID!$AA:$AA,"&lt;0"))=0,"",SUMIF(RESULTADOS_GRID!$B:$B,$A51,RESULTADOS_GRID!$AA:$AA)/(COUNTIFS(RESULTADOS_GRID!$B:$B,$A51,RESULTADOS_GRID!$AA:$AA,"&gt;=0")+COUNTIFS(RESULTADOS_GRID!$B:$B,$A51,RESULTADOS_GRID!$AA:$AA,"&lt;0"))))</f>
        <v/>
      </c>
      <c r="M51" s="51">
        <f>IF($A51="","",IF((COUNTIFS(RESULTADOS_GRID!$B:$B,$A51,RESULTADOS_GRID!$AB:$AB,"&gt;=0")+COUNTIFS(RESULTADOS_GRID!$B:$B,$A51,RESULTADOS_GRID!$AB:$AB,"&lt;0"))=0,"",SUMIF(RESULTADOS_GRID!$B:$B,$A51,RESULTADOS_GRID!$AB:$AB)/(COUNTIFS(RESULTADOS_GRID!$B:$B,$A51,RESULTADOS_GRID!$AB:$AB,"&gt;=0")+COUNTIFS(RESULTADOS_GRID!$B:$B,$A51,RESULTADOS_GRID!$AB:$AB,"&lt;0"))))</f>
        <v/>
      </c>
      <c r="N51" s="49" t="n"/>
      <c r="O51" s="57">
        <f>IF($I51="","",COUNTIFS($I$2:$I$101,"&lt;"&amp;$I51)+1)</f>
        <v/>
      </c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9" t="n"/>
      <c r="Z51" s="49" t="n"/>
      <c r="AA51" s="49" t="n"/>
      <c r="AB51" s="49" t="n"/>
      <c r="AC51" s="49" t="n"/>
      <c r="AD51" s="49" t="n"/>
      <c r="AE51" s="49" t="n"/>
      <c r="AF51" s="49" t="n"/>
      <c r="AG51" s="49" t="n"/>
      <c r="AH51" s="49" t="n"/>
      <c r="AI51" s="49" t="n"/>
      <c r="AJ51" s="49" t="n"/>
      <c r="AK51" s="49" t="n"/>
    </row>
    <row r="52" ht="15" customHeight="1" s="27">
      <c r="A52" s="49" t="n"/>
      <c r="B52" s="57">
        <f>IF($A52="","",IFERROR(INDEX(RESULTADOS_GRID!$C:$C,MATCH($A52,RESULTADOS_GRID!$B:$B,0)),""))</f>
        <v/>
      </c>
      <c r="C52" s="57">
        <f>IF($A52="","",IFERROR(INDEX(RESULTADOS_GRID!$E:$E,MATCH($A52,RESULTADOS_GRID!$B:$B,0)),""))</f>
        <v/>
      </c>
      <c r="D52" s="57">
        <f>IF($A52="","",IFERROR(INDEX(RESULTADOS_GRID!$D:$D,MATCH($A52,RESULTADOS_GRID!$B:$B,0)),""))</f>
        <v/>
      </c>
      <c r="E52" s="57">
        <f>IF($A52="","",COUNTIF(RESULTADOS_GRID!$B:$B,$A52))</f>
        <v/>
      </c>
      <c r="F52" s="54">
        <f>IF($A52="","",SUMIF(RESULTADOS_GRID!$B:$B,$A52,RESULTADOS_GRID!$X:$X))</f>
        <v/>
      </c>
      <c r="G52" s="53" t="n"/>
      <c r="H52" s="58">
        <f>CONFIG_REFERENCIA!$E$7</f>
        <v/>
      </c>
      <c r="I52" s="54">
        <f>IF($A52="","",$F52+N($G52)*$H52)</f>
        <v/>
      </c>
      <c r="J52" s="54">
        <f>IF($A52="","",IF((COUNTIFS(RESULTADOS_GRID!$B:$B,$A52,RESULTADOS_GRID!$Y:$Y,"&gt;=0")+COUNTIFS(RESULTADOS_GRID!$B:$B,$A52,RESULTADOS_GRID!$Y:$Y,"&lt;0"))=0,"",SUMIF(RESULTADOS_GRID!$B:$B,$A52,RESULTADOS_GRID!$Y:$Y)/(COUNTIFS(RESULTADOS_GRID!$B:$B,$A52,RESULTADOS_GRID!$Y:$Y,"&gt;=0")+COUNTIFS(RESULTADOS_GRID!$B:$B,$A52,RESULTADOS_GRID!$Y:$Y,"&lt;0"))))</f>
        <v/>
      </c>
      <c r="K52" s="54">
        <f>IF($A52="","",IF((COUNTIFS(RESULTADOS_GRID!$B:$B,$A52,RESULTADOS_GRID!$Z:$Z,"&gt;=0")+COUNTIFS(RESULTADOS_GRID!$B:$B,$A52,RESULTADOS_GRID!$Z:$Z,"&lt;0"))=0,"",SUMIF(RESULTADOS_GRID!$B:$B,$A52,RESULTADOS_GRID!$Z:$Z)/(COUNTIFS(RESULTADOS_GRID!$B:$B,$A52,RESULTADOS_GRID!$Z:$Z,"&gt;=0")+COUNTIFS(RESULTADOS_GRID!$B:$B,$A52,RESULTADOS_GRID!$Z:$Z,"&lt;0"))))</f>
        <v/>
      </c>
      <c r="L52" s="51">
        <f>IF($A52="","",IF((COUNTIFS(RESULTADOS_GRID!$B:$B,$A52,RESULTADOS_GRID!$AA:$AA,"&gt;=0")+COUNTIFS(RESULTADOS_GRID!$B:$B,$A52,RESULTADOS_GRID!$AA:$AA,"&lt;0"))=0,"",SUMIF(RESULTADOS_GRID!$B:$B,$A52,RESULTADOS_GRID!$AA:$AA)/(COUNTIFS(RESULTADOS_GRID!$B:$B,$A52,RESULTADOS_GRID!$AA:$AA,"&gt;=0")+COUNTIFS(RESULTADOS_GRID!$B:$B,$A52,RESULTADOS_GRID!$AA:$AA,"&lt;0"))))</f>
        <v/>
      </c>
      <c r="M52" s="51">
        <f>IF($A52="","",IF((COUNTIFS(RESULTADOS_GRID!$B:$B,$A52,RESULTADOS_GRID!$AB:$AB,"&gt;=0")+COUNTIFS(RESULTADOS_GRID!$B:$B,$A52,RESULTADOS_GRID!$AB:$AB,"&lt;0"))=0,"",SUMIF(RESULTADOS_GRID!$B:$B,$A52,RESULTADOS_GRID!$AB:$AB)/(COUNTIFS(RESULTADOS_GRID!$B:$B,$A52,RESULTADOS_GRID!$AB:$AB,"&gt;=0")+COUNTIFS(RESULTADOS_GRID!$B:$B,$A52,RESULTADOS_GRID!$AB:$AB,"&lt;0"))))</f>
        <v/>
      </c>
      <c r="N52" s="49" t="n"/>
      <c r="O52" s="57">
        <f>IF($I52="","",COUNTIFS($I$2:$I$101,"&lt;"&amp;$I52)+1)</f>
        <v/>
      </c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9" t="n"/>
      <c r="Z52" s="49" t="n"/>
      <c r="AA52" s="49" t="n"/>
      <c r="AB52" s="49" t="n"/>
      <c r="AC52" s="49" t="n"/>
      <c r="AD52" s="49" t="n"/>
      <c r="AE52" s="49" t="n"/>
      <c r="AF52" s="49" t="n"/>
      <c r="AG52" s="49" t="n"/>
      <c r="AH52" s="49" t="n"/>
      <c r="AI52" s="49" t="n"/>
      <c r="AJ52" s="49" t="n"/>
      <c r="AK52" s="49" t="n"/>
    </row>
    <row r="53" ht="15" customHeight="1" s="27">
      <c r="A53" s="49" t="n"/>
      <c r="B53" s="57">
        <f>IF($A53="","",IFERROR(INDEX(RESULTADOS_GRID!$C:$C,MATCH($A53,RESULTADOS_GRID!$B:$B,0)),""))</f>
        <v/>
      </c>
      <c r="C53" s="57">
        <f>IF($A53="","",IFERROR(INDEX(RESULTADOS_GRID!$E:$E,MATCH($A53,RESULTADOS_GRID!$B:$B,0)),""))</f>
        <v/>
      </c>
      <c r="D53" s="57">
        <f>IF($A53="","",IFERROR(INDEX(RESULTADOS_GRID!$D:$D,MATCH($A53,RESULTADOS_GRID!$B:$B,0)),""))</f>
        <v/>
      </c>
      <c r="E53" s="57">
        <f>IF($A53="","",COUNTIF(RESULTADOS_GRID!$B:$B,$A53))</f>
        <v/>
      </c>
      <c r="F53" s="54">
        <f>IF($A53="","",SUMIF(RESULTADOS_GRID!$B:$B,$A53,RESULTADOS_GRID!$X:$X))</f>
        <v/>
      </c>
      <c r="G53" s="53" t="n"/>
      <c r="H53" s="58">
        <f>CONFIG_REFERENCIA!$E$7</f>
        <v/>
      </c>
      <c r="I53" s="54">
        <f>IF($A53="","",$F53+N($G53)*$H53)</f>
        <v/>
      </c>
      <c r="J53" s="54">
        <f>IF($A53="","",IF((COUNTIFS(RESULTADOS_GRID!$B:$B,$A53,RESULTADOS_GRID!$Y:$Y,"&gt;=0")+COUNTIFS(RESULTADOS_GRID!$B:$B,$A53,RESULTADOS_GRID!$Y:$Y,"&lt;0"))=0,"",SUMIF(RESULTADOS_GRID!$B:$B,$A53,RESULTADOS_GRID!$Y:$Y)/(COUNTIFS(RESULTADOS_GRID!$B:$B,$A53,RESULTADOS_GRID!$Y:$Y,"&gt;=0")+COUNTIFS(RESULTADOS_GRID!$B:$B,$A53,RESULTADOS_GRID!$Y:$Y,"&lt;0"))))</f>
        <v/>
      </c>
      <c r="K53" s="54">
        <f>IF($A53="","",IF((COUNTIFS(RESULTADOS_GRID!$B:$B,$A53,RESULTADOS_GRID!$Z:$Z,"&gt;=0")+COUNTIFS(RESULTADOS_GRID!$B:$B,$A53,RESULTADOS_GRID!$Z:$Z,"&lt;0"))=0,"",SUMIF(RESULTADOS_GRID!$B:$B,$A53,RESULTADOS_GRID!$Z:$Z)/(COUNTIFS(RESULTADOS_GRID!$B:$B,$A53,RESULTADOS_GRID!$Z:$Z,"&gt;=0")+COUNTIFS(RESULTADOS_GRID!$B:$B,$A53,RESULTADOS_GRID!$Z:$Z,"&lt;0"))))</f>
        <v/>
      </c>
      <c r="L53" s="51">
        <f>IF($A53="","",IF((COUNTIFS(RESULTADOS_GRID!$B:$B,$A53,RESULTADOS_GRID!$AA:$AA,"&gt;=0")+COUNTIFS(RESULTADOS_GRID!$B:$B,$A53,RESULTADOS_GRID!$AA:$AA,"&lt;0"))=0,"",SUMIF(RESULTADOS_GRID!$B:$B,$A53,RESULTADOS_GRID!$AA:$AA)/(COUNTIFS(RESULTADOS_GRID!$B:$B,$A53,RESULTADOS_GRID!$AA:$AA,"&gt;=0")+COUNTIFS(RESULTADOS_GRID!$B:$B,$A53,RESULTADOS_GRID!$AA:$AA,"&lt;0"))))</f>
        <v/>
      </c>
      <c r="M53" s="51">
        <f>IF($A53="","",IF((COUNTIFS(RESULTADOS_GRID!$B:$B,$A53,RESULTADOS_GRID!$AB:$AB,"&gt;=0")+COUNTIFS(RESULTADOS_GRID!$B:$B,$A53,RESULTADOS_GRID!$AB:$AB,"&lt;0"))=0,"",SUMIF(RESULTADOS_GRID!$B:$B,$A53,RESULTADOS_GRID!$AB:$AB)/(COUNTIFS(RESULTADOS_GRID!$B:$B,$A53,RESULTADOS_GRID!$AB:$AB,"&gt;=0")+COUNTIFS(RESULTADOS_GRID!$B:$B,$A53,RESULTADOS_GRID!$AB:$AB,"&lt;0"))))</f>
        <v/>
      </c>
      <c r="N53" s="49" t="n"/>
      <c r="O53" s="57">
        <f>IF($I53="","",COUNTIFS($I$2:$I$101,"&lt;"&amp;$I53)+1)</f>
        <v/>
      </c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9" t="n"/>
      <c r="Z53" s="49" t="n"/>
      <c r="AA53" s="49" t="n"/>
      <c r="AB53" s="49" t="n"/>
      <c r="AC53" s="49" t="n"/>
      <c r="AD53" s="49" t="n"/>
      <c r="AE53" s="49" t="n"/>
      <c r="AF53" s="49" t="n"/>
      <c r="AG53" s="49" t="n"/>
      <c r="AH53" s="49" t="n"/>
      <c r="AI53" s="49" t="n"/>
      <c r="AJ53" s="49" t="n"/>
      <c r="AK53" s="49" t="n"/>
    </row>
    <row r="54" ht="15" customHeight="1" s="27">
      <c r="A54" s="49" t="n"/>
      <c r="B54" s="57">
        <f>IF($A54="","",IFERROR(INDEX(RESULTADOS_GRID!$C:$C,MATCH($A54,RESULTADOS_GRID!$B:$B,0)),""))</f>
        <v/>
      </c>
      <c r="C54" s="57">
        <f>IF($A54="","",IFERROR(INDEX(RESULTADOS_GRID!$E:$E,MATCH($A54,RESULTADOS_GRID!$B:$B,0)),""))</f>
        <v/>
      </c>
      <c r="D54" s="57">
        <f>IF($A54="","",IFERROR(INDEX(RESULTADOS_GRID!$D:$D,MATCH($A54,RESULTADOS_GRID!$B:$B,0)),""))</f>
        <v/>
      </c>
      <c r="E54" s="57">
        <f>IF($A54="","",COUNTIF(RESULTADOS_GRID!$B:$B,$A54))</f>
        <v/>
      </c>
      <c r="F54" s="54">
        <f>IF($A54="","",SUMIF(RESULTADOS_GRID!$B:$B,$A54,RESULTADOS_GRID!$X:$X))</f>
        <v/>
      </c>
      <c r="G54" s="53" t="n"/>
      <c r="H54" s="58">
        <f>CONFIG_REFERENCIA!$E$7</f>
        <v/>
      </c>
      <c r="I54" s="54">
        <f>IF($A54="","",$F54+N($G54)*$H54)</f>
        <v/>
      </c>
      <c r="J54" s="54">
        <f>IF($A54="","",IF((COUNTIFS(RESULTADOS_GRID!$B:$B,$A54,RESULTADOS_GRID!$Y:$Y,"&gt;=0")+COUNTIFS(RESULTADOS_GRID!$B:$B,$A54,RESULTADOS_GRID!$Y:$Y,"&lt;0"))=0,"",SUMIF(RESULTADOS_GRID!$B:$B,$A54,RESULTADOS_GRID!$Y:$Y)/(COUNTIFS(RESULTADOS_GRID!$B:$B,$A54,RESULTADOS_GRID!$Y:$Y,"&gt;=0")+COUNTIFS(RESULTADOS_GRID!$B:$B,$A54,RESULTADOS_GRID!$Y:$Y,"&lt;0"))))</f>
        <v/>
      </c>
      <c r="K54" s="54">
        <f>IF($A54="","",IF((COUNTIFS(RESULTADOS_GRID!$B:$B,$A54,RESULTADOS_GRID!$Z:$Z,"&gt;=0")+COUNTIFS(RESULTADOS_GRID!$B:$B,$A54,RESULTADOS_GRID!$Z:$Z,"&lt;0"))=0,"",SUMIF(RESULTADOS_GRID!$B:$B,$A54,RESULTADOS_GRID!$Z:$Z)/(COUNTIFS(RESULTADOS_GRID!$B:$B,$A54,RESULTADOS_GRID!$Z:$Z,"&gt;=0")+COUNTIFS(RESULTADOS_GRID!$B:$B,$A54,RESULTADOS_GRID!$Z:$Z,"&lt;0"))))</f>
        <v/>
      </c>
      <c r="L54" s="51">
        <f>IF($A54="","",IF((COUNTIFS(RESULTADOS_GRID!$B:$B,$A54,RESULTADOS_GRID!$AA:$AA,"&gt;=0")+COUNTIFS(RESULTADOS_GRID!$B:$B,$A54,RESULTADOS_GRID!$AA:$AA,"&lt;0"))=0,"",SUMIF(RESULTADOS_GRID!$B:$B,$A54,RESULTADOS_GRID!$AA:$AA)/(COUNTIFS(RESULTADOS_GRID!$B:$B,$A54,RESULTADOS_GRID!$AA:$AA,"&gt;=0")+COUNTIFS(RESULTADOS_GRID!$B:$B,$A54,RESULTADOS_GRID!$AA:$AA,"&lt;0"))))</f>
        <v/>
      </c>
      <c r="M54" s="51">
        <f>IF($A54="","",IF((COUNTIFS(RESULTADOS_GRID!$B:$B,$A54,RESULTADOS_GRID!$AB:$AB,"&gt;=0")+COUNTIFS(RESULTADOS_GRID!$B:$B,$A54,RESULTADOS_GRID!$AB:$AB,"&lt;0"))=0,"",SUMIF(RESULTADOS_GRID!$B:$B,$A54,RESULTADOS_GRID!$AB:$AB)/(COUNTIFS(RESULTADOS_GRID!$B:$B,$A54,RESULTADOS_GRID!$AB:$AB,"&gt;=0")+COUNTIFS(RESULTADOS_GRID!$B:$B,$A54,RESULTADOS_GRID!$AB:$AB,"&lt;0"))))</f>
        <v/>
      </c>
      <c r="N54" s="49" t="n"/>
      <c r="O54" s="57">
        <f>IF($I54="","",COUNTIFS($I$2:$I$101,"&lt;"&amp;$I54)+1)</f>
        <v/>
      </c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9" t="n"/>
      <c r="Z54" s="49" t="n"/>
      <c r="AA54" s="49" t="n"/>
      <c r="AB54" s="49" t="n"/>
      <c r="AC54" s="49" t="n"/>
      <c r="AD54" s="49" t="n"/>
      <c r="AE54" s="49" t="n"/>
      <c r="AF54" s="49" t="n"/>
      <c r="AG54" s="49" t="n"/>
      <c r="AH54" s="49" t="n"/>
      <c r="AI54" s="49" t="n"/>
      <c r="AJ54" s="49" t="n"/>
      <c r="AK54" s="49" t="n"/>
    </row>
    <row r="55" ht="15" customHeight="1" s="27">
      <c r="A55" s="49" t="n"/>
      <c r="B55" s="57">
        <f>IF($A55="","",IFERROR(INDEX(RESULTADOS_GRID!$C:$C,MATCH($A55,RESULTADOS_GRID!$B:$B,0)),""))</f>
        <v/>
      </c>
      <c r="C55" s="57">
        <f>IF($A55="","",IFERROR(INDEX(RESULTADOS_GRID!$E:$E,MATCH($A55,RESULTADOS_GRID!$B:$B,0)),""))</f>
        <v/>
      </c>
      <c r="D55" s="57">
        <f>IF($A55="","",IFERROR(INDEX(RESULTADOS_GRID!$D:$D,MATCH($A55,RESULTADOS_GRID!$B:$B,0)),""))</f>
        <v/>
      </c>
      <c r="E55" s="57">
        <f>IF($A55="","",COUNTIF(RESULTADOS_GRID!$B:$B,$A55))</f>
        <v/>
      </c>
      <c r="F55" s="54">
        <f>IF($A55="","",SUMIF(RESULTADOS_GRID!$B:$B,$A55,RESULTADOS_GRID!$X:$X))</f>
        <v/>
      </c>
      <c r="G55" s="53" t="n"/>
      <c r="H55" s="58">
        <f>CONFIG_REFERENCIA!$E$7</f>
        <v/>
      </c>
      <c r="I55" s="54">
        <f>IF($A55="","",$F55+N($G55)*$H55)</f>
        <v/>
      </c>
      <c r="J55" s="54">
        <f>IF($A55="","",IF((COUNTIFS(RESULTADOS_GRID!$B:$B,$A55,RESULTADOS_GRID!$Y:$Y,"&gt;=0")+COUNTIFS(RESULTADOS_GRID!$B:$B,$A55,RESULTADOS_GRID!$Y:$Y,"&lt;0"))=0,"",SUMIF(RESULTADOS_GRID!$B:$B,$A55,RESULTADOS_GRID!$Y:$Y)/(COUNTIFS(RESULTADOS_GRID!$B:$B,$A55,RESULTADOS_GRID!$Y:$Y,"&gt;=0")+COUNTIFS(RESULTADOS_GRID!$B:$B,$A55,RESULTADOS_GRID!$Y:$Y,"&lt;0"))))</f>
        <v/>
      </c>
      <c r="K55" s="54">
        <f>IF($A55="","",IF((COUNTIFS(RESULTADOS_GRID!$B:$B,$A55,RESULTADOS_GRID!$Z:$Z,"&gt;=0")+COUNTIFS(RESULTADOS_GRID!$B:$B,$A55,RESULTADOS_GRID!$Z:$Z,"&lt;0"))=0,"",SUMIF(RESULTADOS_GRID!$B:$B,$A55,RESULTADOS_GRID!$Z:$Z)/(COUNTIFS(RESULTADOS_GRID!$B:$B,$A55,RESULTADOS_GRID!$Z:$Z,"&gt;=0")+COUNTIFS(RESULTADOS_GRID!$B:$B,$A55,RESULTADOS_GRID!$Z:$Z,"&lt;0"))))</f>
        <v/>
      </c>
      <c r="L55" s="51">
        <f>IF($A55="","",IF((COUNTIFS(RESULTADOS_GRID!$B:$B,$A55,RESULTADOS_GRID!$AA:$AA,"&gt;=0")+COUNTIFS(RESULTADOS_GRID!$B:$B,$A55,RESULTADOS_GRID!$AA:$AA,"&lt;0"))=0,"",SUMIF(RESULTADOS_GRID!$B:$B,$A55,RESULTADOS_GRID!$AA:$AA)/(COUNTIFS(RESULTADOS_GRID!$B:$B,$A55,RESULTADOS_GRID!$AA:$AA,"&gt;=0")+COUNTIFS(RESULTADOS_GRID!$B:$B,$A55,RESULTADOS_GRID!$AA:$AA,"&lt;0"))))</f>
        <v/>
      </c>
      <c r="M55" s="51">
        <f>IF($A55="","",IF((COUNTIFS(RESULTADOS_GRID!$B:$B,$A55,RESULTADOS_GRID!$AB:$AB,"&gt;=0")+COUNTIFS(RESULTADOS_GRID!$B:$B,$A55,RESULTADOS_GRID!$AB:$AB,"&lt;0"))=0,"",SUMIF(RESULTADOS_GRID!$B:$B,$A55,RESULTADOS_GRID!$AB:$AB)/(COUNTIFS(RESULTADOS_GRID!$B:$B,$A55,RESULTADOS_GRID!$AB:$AB,"&gt;=0")+COUNTIFS(RESULTADOS_GRID!$B:$B,$A55,RESULTADOS_GRID!$AB:$AB,"&lt;0"))))</f>
        <v/>
      </c>
      <c r="N55" s="49" t="n"/>
      <c r="O55" s="57">
        <f>IF($I55="","",COUNTIFS($I$2:$I$101,"&lt;"&amp;$I55)+1)</f>
        <v/>
      </c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9" t="n"/>
      <c r="Z55" s="49" t="n"/>
      <c r="AA55" s="49" t="n"/>
      <c r="AB55" s="49" t="n"/>
      <c r="AC55" s="49" t="n"/>
      <c r="AD55" s="49" t="n"/>
      <c r="AE55" s="49" t="n"/>
      <c r="AF55" s="49" t="n"/>
      <c r="AG55" s="49" t="n"/>
      <c r="AH55" s="49" t="n"/>
      <c r="AI55" s="49" t="n"/>
      <c r="AJ55" s="49" t="n"/>
      <c r="AK55" s="49" t="n"/>
    </row>
    <row r="56" ht="15" customHeight="1" s="27">
      <c r="A56" s="49" t="n"/>
      <c r="B56" s="57">
        <f>IF($A56="","",IFERROR(INDEX(RESULTADOS_GRID!$C:$C,MATCH($A56,RESULTADOS_GRID!$B:$B,0)),""))</f>
        <v/>
      </c>
      <c r="C56" s="57">
        <f>IF($A56="","",IFERROR(INDEX(RESULTADOS_GRID!$E:$E,MATCH($A56,RESULTADOS_GRID!$B:$B,0)),""))</f>
        <v/>
      </c>
      <c r="D56" s="57">
        <f>IF($A56="","",IFERROR(INDEX(RESULTADOS_GRID!$D:$D,MATCH($A56,RESULTADOS_GRID!$B:$B,0)),""))</f>
        <v/>
      </c>
      <c r="E56" s="57">
        <f>IF($A56="","",COUNTIF(RESULTADOS_GRID!$B:$B,$A56))</f>
        <v/>
      </c>
      <c r="F56" s="54">
        <f>IF($A56="","",SUMIF(RESULTADOS_GRID!$B:$B,$A56,RESULTADOS_GRID!$X:$X))</f>
        <v/>
      </c>
      <c r="G56" s="53" t="n"/>
      <c r="H56" s="58">
        <f>CONFIG_REFERENCIA!$E$7</f>
        <v/>
      </c>
      <c r="I56" s="54">
        <f>IF($A56="","",$F56+N($G56)*$H56)</f>
        <v/>
      </c>
      <c r="J56" s="54">
        <f>IF($A56="","",IF((COUNTIFS(RESULTADOS_GRID!$B:$B,$A56,RESULTADOS_GRID!$Y:$Y,"&gt;=0")+COUNTIFS(RESULTADOS_GRID!$B:$B,$A56,RESULTADOS_GRID!$Y:$Y,"&lt;0"))=0,"",SUMIF(RESULTADOS_GRID!$B:$B,$A56,RESULTADOS_GRID!$Y:$Y)/(COUNTIFS(RESULTADOS_GRID!$B:$B,$A56,RESULTADOS_GRID!$Y:$Y,"&gt;=0")+COUNTIFS(RESULTADOS_GRID!$B:$B,$A56,RESULTADOS_GRID!$Y:$Y,"&lt;0"))))</f>
        <v/>
      </c>
      <c r="K56" s="54">
        <f>IF($A56="","",IF((COUNTIFS(RESULTADOS_GRID!$B:$B,$A56,RESULTADOS_GRID!$Z:$Z,"&gt;=0")+COUNTIFS(RESULTADOS_GRID!$B:$B,$A56,RESULTADOS_GRID!$Z:$Z,"&lt;0"))=0,"",SUMIF(RESULTADOS_GRID!$B:$B,$A56,RESULTADOS_GRID!$Z:$Z)/(COUNTIFS(RESULTADOS_GRID!$B:$B,$A56,RESULTADOS_GRID!$Z:$Z,"&gt;=0")+COUNTIFS(RESULTADOS_GRID!$B:$B,$A56,RESULTADOS_GRID!$Z:$Z,"&lt;0"))))</f>
        <v/>
      </c>
      <c r="L56" s="51">
        <f>IF($A56="","",IF((COUNTIFS(RESULTADOS_GRID!$B:$B,$A56,RESULTADOS_GRID!$AA:$AA,"&gt;=0")+COUNTIFS(RESULTADOS_GRID!$B:$B,$A56,RESULTADOS_GRID!$AA:$AA,"&lt;0"))=0,"",SUMIF(RESULTADOS_GRID!$B:$B,$A56,RESULTADOS_GRID!$AA:$AA)/(COUNTIFS(RESULTADOS_GRID!$B:$B,$A56,RESULTADOS_GRID!$AA:$AA,"&gt;=0")+COUNTIFS(RESULTADOS_GRID!$B:$B,$A56,RESULTADOS_GRID!$AA:$AA,"&lt;0"))))</f>
        <v/>
      </c>
      <c r="M56" s="51">
        <f>IF($A56="","",IF((COUNTIFS(RESULTADOS_GRID!$B:$B,$A56,RESULTADOS_GRID!$AB:$AB,"&gt;=0")+COUNTIFS(RESULTADOS_GRID!$B:$B,$A56,RESULTADOS_GRID!$AB:$AB,"&lt;0"))=0,"",SUMIF(RESULTADOS_GRID!$B:$B,$A56,RESULTADOS_GRID!$AB:$AB)/(COUNTIFS(RESULTADOS_GRID!$B:$B,$A56,RESULTADOS_GRID!$AB:$AB,"&gt;=0")+COUNTIFS(RESULTADOS_GRID!$B:$B,$A56,RESULTADOS_GRID!$AB:$AB,"&lt;0"))))</f>
        <v/>
      </c>
      <c r="N56" s="49" t="n"/>
      <c r="O56" s="57">
        <f>IF($I56="","",COUNTIFS($I$2:$I$101,"&lt;"&amp;$I56)+1)</f>
        <v/>
      </c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9" t="n"/>
      <c r="Z56" s="49" t="n"/>
      <c r="AA56" s="49" t="n"/>
      <c r="AB56" s="49" t="n"/>
      <c r="AC56" s="49" t="n"/>
      <c r="AD56" s="49" t="n"/>
      <c r="AE56" s="49" t="n"/>
      <c r="AF56" s="49" t="n"/>
      <c r="AG56" s="49" t="n"/>
      <c r="AH56" s="49" t="n"/>
      <c r="AI56" s="49" t="n"/>
      <c r="AJ56" s="49" t="n"/>
      <c r="AK56" s="49" t="n"/>
    </row>
    <row r="57" ht="15" customHeight="1" s="27">
      <c r="A57" s="49" t="n"/>
      <c r="B57" s="57">
        <f>IF($A57="","",IFERROR(INDEX(RESULTADOS_GRID!$C:$C,MATCH($A57,RESULTADOS_GRID!$B:$B,0)),""))</f>
        <v/>
      </c>
      <c r="C57" s="57">
        <f>IF($A57="","",IFERROR(INDEX(RESULTADOS_GRID!$E:$E,MATCH($A57,RESULTADOS_GRID!$B:$B,0)),""))</f>
        <v/>
      </c>
      <c r="D57" s="57">
        <f>IF($A57="","",IFERROR(INDEX(RESULTADOS_GRID!$D:$D,MATCH($A57,RESULTADOS_GRID!$B:$B,0)),""))</f>
        <v/>
      </c>
      <c r="E57" s="57">
        <f>IF($A57="","",COUNTIF(RESULTADOS_GRID!$B:$B,$A57))</f>
        <v/>
      </c>
      <c r="F57" s="54">
        <f>IF($A57="","",SUMIF(RESULTADOS_GRID!$B:$B,$A57,RESULTADOS_GRID!$X:$X))</f>
        <v/>
      </c>
      <c r="G57" s="53" t="n"/>
      <c r="H57" s="58">
        <f>CONFIG_REFERENCIA!$E$7</f>
        <v/>
      </c>
      <c r="I57" s="54">
        <f>IF($A57="","",$F57+N($G57)*$H57)</f>
        <v/>
      </c>
      <c r="J57" s="54">
        <f>IF($A57="","",IF((COUNTIFS(RESULTADOS_GRID!$B:$B,$A57,RESULTADOS_GRID!$Y:$Y,"&gt;=0")+COUNTIFS(RESULTADOS_GRID!$B:$B,$A57,RESULTADOS_GRID!$Y:$Y,"&lt;0"))=0,"",SUMIF(RESULTADOS_GRID!$B:$B,$A57,RESULTADOS_GRID!$Y:$Y)/(COUNTIFS(RESULTADOS_GRID!$B:$B,$A57,RESULTADOS_GRID!$Y:$Y,"&gt;=0")+COUNTIFS(RESULTADOS_GRID!$B:$B,$A57,RESULTADOS_GRID!$Y:$Y,"&lt;0"))))</f>
        <v/>
      </c>
      <c r="K57" s="54">
        <f>IF($A57="","",IF((COUNTIFS(RESULTADOS_GRID!$B:$B,$A57,RESULTADOS_GRID!$Z:$Z,"&gt;=0")+COUNTIFS(RESULTADOS_GRID!$B:$B,$A57,RESULTADOS_GRID!$Z:$Z,"&lt;0"))=0,"",SUMIF(RESULTADOS_GRID!$B:$B,$A57,RESULTADOS_GRID!$Z:$Z)/(COUNTIFS(RESULTADOS_GRID!$B:$B,$A57,RESULTADOS_GRID!$Z:$Z,"&gt;=0")+COUNTIFS(RESULTADOS_GRID!$B:$B,$A57,RESULTADOS_GRID!$Z:$Z,"&lt;0"))))</f>
        <v/>
      </c>
      <c r="L57" s="51">
        <f>IF($A57="","",IF((COUNTIFS(RESULTADOS_GRID!$B:$B,$A57,RESULTADOS_GRID!$AA:$AA,"&gt;=0")+COUNTIFS(RESULTADOS_GRID!$B:$B,$A57,RESULTADOS_GRID!$AA:$AA,"&lt;0"))=0,"",SUMIF(RESULTADOS_GRID!$B:$B,$A57,RESULTADOS_GRID!$AA:$AA)/(COUNTIFS(RESULTADOS_GRID!$B:$B,$A57,RESULTADOS_GRID!$AA:$AA,"&gt;=0")+COUNTIFS(RESULTADOS_GRID!$B:$B,$A57,RESULTADOS_GRID!$AA:$AA,"&lt;0"))))</f>
        <v/>
      </c>
      <c r="M57" s="51">
        <f>IF($A57="","",IF((COUNTIFS(RESULTADOS_GRID!$B:$B,$A57,RESULTADOS_GRID!$AB:$AB,"&gt;=0")+COUNTIFS(RESULTADOS_GRID!$B:$B,$A57,RESULTADOS_GRID!$AB:$AB,"&lt;0"))=0,"",SUMIF(RESULTADOS_GRID!$B:$B,$A57,RESULTADOS_GRID!$AB:$AB)/(COUNTIFS(RESULTADOS_GRID!$B:$B,$A57,RESULTADOS_GRID!$AB:$AB,"&gt;=0")+COUNTIFS(RESULTADOS_GRID!$B:$B,$A57,RESULTADOS_GRID!$AB:$AB,"&lt;0"))))</f>
        <v/>
      </c>
      <c r="N57" s="49" t="n"/>
      <c r="O57" s="57">
        <f>IF($I57="","",COUNTIFS($I$2:$I$101,"&lt;"&amp;$I57)+1)</f>
        <v/>
      </c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9" t="n"/>
      <c r="Z57" s="49" t="n"/>
      <c r="AA57" s="49" t="n"/>
      <c r="AB57" s="49" t="n"/>
      <c r="AC57" s="49" t="n"/>
      <c r="AD57" s="49" t="n"/>
      <c r="AE57" s="49" t="n"/>
      <c r="AF57" s="49" t="n"/>
      <c r="AG57" s="49" t="n"/>
      <c r="AH57" s="49" t="n"/>
      <c r="AI57" s="49" t="n"/>
      <c r="AJ57" s="49" t="n"/>
      <c r="AK57" s="49" t="n"/>
    </row>
    <row r="58" ht="15" customHeight="1" s="27">
      <c r="A58" s="49" t="n"/>
      <c r="B58" s="57">
        <f>IF($A58="","",IFERROR(INDEX(RESULTADOS_GRID!$C:$C,MATCH($A58,RESULTADOS_GRID!$B:$B,0)),""))</f>
        <v/>
      </c>
      <c r="C58" s="57">
        <f>IF($A58="","",IFERROR(INDEX(RESULTADOS_GRID!$E:$E,MATCH($A58,RESULTADOS_GRID!$B:$B,0)),""))</f>
        <v/>
      </c>
      <c r="D58" s="57">
        <f>IF($A58="","",IFERROR(INDEX(RESULTADOS_GRID!$D:$D,MATCH($A58,RESULTADOS_GRID!$B:$B,0)),""))</f>
        <v/>
      </c>
      <c r="E58" s="57">
        <f>IF($A58="","",COUNTIF(RESULTADOS_GRID!$B:$B,$A58))</f>
        <v/>
      </c>
      <c r="F58" s="54">
        <f>IF($A58="","",SUMIF(RESULTADOS_GRID!$B:$B,$A58,RESULTADOS_GRID!$X:$X))</f>
        <v/>
      </c>
      <c r="G58" s="53" t="n"/>
      <c r="H58" s="58">
        <f>CONFIG_REFERENCIA!$E$7</f>
        <v/>
      </c>
      <c r="I58" s="54">
        <f>IF($A58="","",$F58+N($G58)*$H58)</f>
        <v/>
      </c>
      <c r="J58" s="54">
        <f>IF($A58="","",IF((COUNTIFS(RESULTADOS_GRID!$B:$B,$A58,RESULTADOS_GRID!$Y:$Y,"&gt;=0")+COUNTIFS(RESULTADOS_GRID!$B:$B,$A58,RESULTADOS_GRID!$Y:$Y,"&lt;0"))=0,"",SUMIF(RESULTADOS_GRID!$B:$B,$A58,RESULTADOS_GRID!$Y:$Y)/(COUNTIFS(RESULTADOS_GRID!$B:$B,$A58,RESULTADOS_GRID!$Y:$Y,"&gt;=0")+COUNTIFS(RESULTADOS_GRID!$B:$B,$A58,RESULTADOS_GRID!$Y:$Y,"&lt;0"))))</f>
        <v/>
      </c>
      <c r="K58" s="54">
        <f>IF($A58="","",IF((COUNTIFS(RESULTADOS_GRID!$B:$B,$A58,RESULTADOS_GRID!$Z:$Z,"&gt;=0")+COUNTIFS(RESULTADOS_GRID!$B:$B,$A58,RESULTADOS_GRID!$Z:$Z,"&lt;0"))=0,"",SUMIF(RESULTADOS_GRID!$B:$B,$A58,RESULTADOS_GRID!$Z:$Z)/(COUNTIFS(RESULTADOS_GRID!$B:$B,$A58,RESULTADOS_GRID!$Z:$Z,"&gt;=0")+COUNTIFS(RESULTADOS_GRID!$B:$B,$A58,RESULTADOS_GRID!$Z:$Z,"&lt;0"))))</f>
        <v/>
      </c>
      <c r="L58" s="51">
        <f>IF($A58="","",IF((COUNTIFS(RESULTADOS_GRID!$B:$B,$A58,RESULTADOS_GRID!$AA:$AA,"&gt;=0")+COUNTIFS(RESULTADOS_GRID!$B:$B,$A58,RESULTADOS_GRID!$AA:$AA,"&lt;0"))=0,"",SUMIF(RESULTADOS_GRID!$B:$B,$A58,RESULTADOS_GRID!$AA:$AA)/(COUNTIFS(RESULTADOS_GRID!$B:$B,$A58,RESULTADOS_GRID!$AA:$AA,"&gt;=0")+COUNTIFS(RESULTADOS_GRID!$B:$B,$A58,RESULTADOS_GRID!$AA:$AA,"&lt;0"))))</f>
        <v/>
      </c>
      <c r="M58" s="51">
        <f>IF($A58="","",IF((COUNTIFS(RESULTADOS_GRID!$B:$B,$A58,RESULTADOS_GRID!$AB:$AB,"&gt;=0")+COUNTIFS(RESULTADOS_GRID!$B:$B,$A58,RESULTADOS_GRID!$AB:$AB,"&lt;0"))=0,"",SUMIF(RESULTADOS_GRID!$B:$B,$A58,RESULTADOS_GRID!$AB:$AB)/(COUNTIFS(RESULTADOS_GRID!$B:$B,$A58,RESULTADOS_GRID!$AB:$AB,"&gt;=0")+COUNTIFS(RESULTADOS_GRID!$B:$B,$A58,RESULTADOS_GRID!$AB:$AB,"&lt;0"))))</f>
        <v/>
      </c>
      <c r="N58" s="49" t="n"/>
      <c r="O58" s="57">
        <f>IF($I58="","",COUNTIFS($I$2:$I$101,"&lt;"&amp;$I58)+1)</f>
        <v/>
      </c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9" t="n"/>
      <c r="Z58" s="49" t="n"/>
      <c r="AA58" s="49" t="n"/>
      <c r="AB58" s="49" t="n"/>
      <c r="AC58" s="49" t="n"/>
      <c r="AD58" s="49" t="n"/>
      <c r="AE58" s="49" t="n"/>
      <c r="AF58" s="49" t="n"/>
      <c r="AG58" s="49" t="n"/>
      <c r="AH58" s="49" t="n"/>
      <c r="AI58" s="49" t="n"/>
      <c r="AJ58" s="49" t="n"/>
      <c r="AK58" s="49" t="n"/>
    </row>
    <row r="59" ht="15" customHeight="1" s="27">
      <c r="A59" s="49" t="n"/>
      <c r="B59" s="57">
        <f>IF($A59="","",IFERROR(INDEX(RESULTADOS_GRID!$C:$C,MATCH($A59,RESULTADOS_GRID!$B:$B,0)),""))</f>
        <v/>
      </c>
      <c r="C59" s="57">
        <f>IF($A59="","",IFERROR(INDEX(RESULTADOS_GRID!$E:$E,MATCH($A59,RESULTADOS_GRID!$B:$B,0)),""))</f>
        <v/>
      </c>
      <c r="D59" s="57">
        <f>IF($A59="","",IFERROR(INDEX(RESULTADOS_GRID!$D:$D,MATCH($A59,RESULTADOS_GRID!$B:$B,0)),""))</f>
        <v/>
      </c>
      <c r="E59" s="57">
        <f>IF($A59="","",COUNTIF(RESULTADOS_GRID!$B:$B,$A59))</f>
        <v/>
      </c>
      <c r="F59" s="54">
        <f>IF($A59="","",SUMIF(RESULTADOS_GRID!$B:$B,$A59,RESULTADOS_GRID!$X:$X))</f>
        <v/>
      </c>
      <c r="G59" s="53" t="n"/>
      <c r="H59" s="58">
        <f>CONFIG_REFERENCIA!$E$7</f>
        <v/>
      </c>
      <c r="I59" s="54">
        <f>IF($A59="","",$F59+N($G59)*$H59)</f>
        <v/>
      </c>
      <c r="J59" s="54">
        <f>IF($A59="","",IF((COUNTIFS(RESULTADOS_GRID!$B:$B,$A59,RESULTADOS_GRID!$Y:$Y,"&gt;=0")+COUNTIFS(RESULTADOS_GRID!$B:$B,$A59,RESULTADOS_GRID!$Y:$Y,"&lt;0"))=0,"",SUMIF(RESULTADOS_GRID!$B:$B,$A59,RESULTADOS_GRID!$Y:$Y)/(COUNTIFS(RESULTADOS_GRID!$B:$B,$A59,RESULTADOS_GRID!$Y:$Y,"&gt;=0")+COUNTIFS(RESULTADOS_GRID!$B:$B,$A59,RESULTADOS_GRID!$Y:$Y,"&lt;0"))))</f>
        <v/>
      </c>
      <c r="K59" s="54">
        <f>IF($A59="","",IF((COUNTIFS(RESULTADOS_GRID!$B:$B,$A59,RESULTADOS_GRID!$Z:$Z,"&gt;=0")+COUNTIFS(RESULTADOS_GRID!$B:$B,$A59,RESULTADOS_GRID!$Z:$Z,"&lt;0"))=0,"",SUMIF(RESULTADOS_GRID!$B:$B,$A59,RESULTADOS_GRID!$Z:$Z)/(COUNTIFS(RESULTADOS_GRID!$B:$B,$A59,RESULTADOS_GRID!$Z:$Z,"&gt;=0")+COUNTIFS(RESULTADOS_GRID!$B:$B,$A59,RESULTADOS_GRID!$Z:$Z,"&lt;0"))))</f>
        <v/>
      </c>
      <c r="L59" s="51">
        <f>IF($A59="","",IF((COUNTIFS(RESULTADOS_GRID!$B:$B,$A59,RESULTADOS_GRID!$AA:$AA,"&gt;=0")+COUNTIFS(RESULTADOS_GRID!$B:$B,$A59,RESULTADOS_GRID!$AA:$AA,"&lt;0"))=0,"",SUMIF(RESULTADOS_GRID!$B:$B,$A59,RESULTADOS_GRID!$AA:$AA)/(COUNTIFS(RESULTADOS_GRID!$B:$B,$A59,RESULTADOS_GRID!$AA:$AA,"&gt;=0")+COUNTIFS(RESULTADOS_GRID!$B:$B,$A59,RESULTADOS_GRID!$AA:$AA,"&lt;0"))))</f>
        <v/>
      </c>
      <c r="M59" s="51">
        <f>IF($A59="","",IF((COUNTIFS(RESULTADOS_GRID!$B:$B,$A59,RESULTADOS_GRID!$AB:$AB,"&gt;=0")+COUNTIFS(RESULTADOS_GRID!$B:$B,$A59,RESULTADOS_GRID!$AB:$AB,"&lt;0"))=0,"",SUMIF(RESULTADOS_GRID!$B:$B,$A59,RESULTADOS_GRID!$AB:$AB)/(COUNTIFS(RESULTADOS_GRID!$B:$B,$A59,RESULTADOS_GRID!$AB:$AB,"&gt;=0")+COUNTIFS(RESULTADOS_GRID!$B:$B,$A59,RESULTADOS_GRID!$AB:$AB,"&lt;0"))))</f>
        <v/>
      </c>
      <c r="N59" s="49" t="n"/>
      <c r="O59" s="57">
        <f>IF($I59="","",COUNTIFS($I$2:$I$101,"&lt;"&amp;$I59)+1)</f>
        <v/>
      </c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9" t="n"/>
      <c r="Z59" s="49" t="n"/>
      <c r="AA59" s="49" t="n"/>
      <c r="AB59" s="49" t="n"/>
      <c r="AC59" s="49" t="n"/>
      <c r="AD59" s="49" t="n"/>
      <c r="AE59" s="49" t="n"/>
      <c r="AF59" s="49" t="n"/>
      <c r="AG59" s="49" t="n"/>
      <c r="AH59" s="49" t="n"/>
      <c r="AI59" s="49" t="n"/>
      <c r="AJ59" s="49" t="n"/>
      <c r="AK59" s="49" t="n"/>
    </row>
    <row r="60" ht="15" customHeight="1" s="27">
      <c r="A60" s="49" t="n"/>
      <c r="B60" s="57">
        <f>IF($A60="","",IFERROR(INDEX(RESULTADOS_GRID!$C:$C,MATCH($A60,RESULTADOS_GRID!$B:$B,0)),""))</f>
        <v/>
      </c>
      <c r="C60" s="57">
        <f>IF($A60="","",IFERROR(INDEX(RESULTADOS_GRID!$E:$E,MATCH($A60,RESULTADOS_GRID!$B:$B,0)),""))</f>
        <v/>
      </c>
      <c r="D60" s="57">
        <f>IF($A60="","",IFERROR(INDEX(RESULTADOS_GRID!$D:$D,MATCH($A60,RESULTADOS_GRID!$B:$B,0)),""))</f>
        <v/>
      </c>
      <c r="E60" s="57">
        <f>IF($A60="","",COUNTIF(RESULTADOS_GRID!$B:$B,$A60))</f>
        <v/>
      </c>
      <c r="F60" s="54">
        <f>IF($A60="","",SUMIF(RESULTADOS_GRID!$B:$B,$A60,RESULTADOS_GRID!$X:$X))</f>
        <v/>
      </c>
      <c r="G60" s="53" t="n"/>
      <c r="H60" s="58">
        <f>CONFIG_REFERENCIA!$E$7</f>
        <v/>
      </c>
      <c r="I60" s="54">
        <f>IF($A60="","",$F60+N($G60)*$H60)</f>
        <v/>
      </c>
      <c r="J60" s="54">
        <f>IF($A60="","",IF((COUNTIFS(RESULTADOS_GRID!$B:$B,$A60,RESULTADOS_GRID!$Y:$Y,"&gt;=0")+COUNTIFS(RESULTADOS_GRID!$B:$B,$A60,RESULTADOS_GRID!$Y:$Y,"&lt;0"))=0,"",SUMIF(RESULTADOS_GRID!$B:$B,$A60,RESULTADOS_GRID!$Y:$Y)/(COUNTIFS(RESULTADOS_GRID!$B:$B,$A60,RESULTADOS_GRID!$Y:$Y,"&gt;=0")+COUNTIFS(RESULTADOS_GRID!$B:$B,$A60,RESULTADOS_GRID!$Y:$Y,"&lt;0"))))</f>
        <v/>
      </c>
      <c r="K60" s="54">
        <f>IF($A60="","",IF((COUNTIFS(RESULTADOS_GRID!$B:$B,$A60,RESULTADOS_GRID!$Z:$Z,"&gt;=0")+COUNTIFS(RESULTADOS_GRID!$B:$B,$A60,RESULTADOS_GRID!$Z:$Z,"&lt;0"))=0,"",SUMIF(RESULTADOS_GRID!$B:$B,$A60,RESULTADOS_GRID!$Z:$Z)/(COUNTIFS(RESULTADOS_GRID!$B:$B,$A60,RESULTADOS_GRID!$Z:$Z,"&gt;=0")+COUNTIFS(RESULTADOS_GRID!$B:$B,$A60,RESULTADOS_GRID!$Z:$Z,"&lt;0"))))</f>
        <v/>
      </c>
      <c r="L60" s="51">
        <f>IF($A60="","",IF((COUNTIFS(RESULTADOS_GRID!$B:$B,$A60,RESULTADOS_GRID!$AA:$AA,"&gt;=0")+COUNTIFS(RESULTADOS_GRID!$B:$B,$A60,RESULTADOS_GRID!$AA:$AA,"&lt;0"))=0,"",SUMIF(RESULTADOS_GRID!$B:$B,$A60,RESULTADOS_GRID!$AA:$AA)/(COUNTIFS(RESULTADOS_GRID!$B:$B,$A60,RESULTADOS_GRID!$AA:$AA,"&gt;=0")+COUNTIFS(RESULTADOS_GRID!$B:$B,$A60,RESULTADOS_GRID!$AA:$AA,"&lt;0"))))</f>
        <v/>
      </c>
      <c r="M60" s="51">
        <f>IF($A60="","",IF((COUNTIFS(RESULTADOS_GRID!$B:$B,$A60,RESULTADOS_GRID!$AB:$AB,"&gt;=0")+COUNTIFS(RESULTADOS_GRID!$B:$B,$A60,RESULTADOS_GRID!$AB:$AB,"&lt;0"))=0,"",SUMIF(RESULTADOS_GRID!$B:$B,$A60,RESULTADOS_GRID!$AB:$AB)/(COUNTIFS(RESULTADOS_GRID!$B:$B,$A60,RESULTADOS_GRID!$AB:$AB,"&gt;=0")+COUNTIFS(RESULTADOS_GRID!$B:$B,$A60,RESULTADOS_GRID!$AB:$AB,"&lt;0"))))</f>
        <v/>
      </c>
      <c r="N60" s="49" t="n"/>
      <c r="O60" s="57">
        <f>IF($I60="","",COUNTIFS($I$2:$I$101,"&lt;"&amp;$I60)+1)</f>
        <v/>
      </c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9" t="n"/>
      <c r="Z60" s="49" t="n"/>
      <c r="AA60" s="49" t="n"/>
      <c r="AB60" s="49" t="n"/>
      <c r="AC60" s="49" t="n"/>
      <c r="AD60" s="49" t="n"/>
      <c r="AE60" s="49" t="n"/>
      <c r="AF60" s="49" t="n"/>
      <c r="AG60" s="49" t="n"/>
      <c r="AH60" s="49" t="n"/>
      <c r="AI60" s="49" t="n"/>
      <c r="AJ60" s="49" t="n"/>
      <c r="AK60" s="49" t="n"/>
    </row>
    <row r="61" ht="15" customHeight="1" s="27">
      <c r="A61" s="49" t="n"/>
      <c r="B61" s="57">
        <f>IF($A61="","",IFERROR(INDEX(RESULTADOS_GRID!$C:$C,MATCH($A61,RESULTADOS_GRID!$B:$B,0)),""))</f>
        <v/>
      </c>
      <c r="C61" s="57">
        <f>IF($A61="","",IFERROR(INDEX(RESULTADOS_GRID!$E:$E,MATCH($A61,RESULTADOS_GRID!$B:$B,0)),""))</f>
        <v/>
      </c>
      <c r="D61" s="57">
        <f>IF($A61="","",IFERROR(INDEX(RESULTADOS_GRID!$D:$D,MATCH($A61,RESULTADOS_GRID!$B:$B,0)),""))</f>
        <v/>
      </c>
      <c r="E61" s="57">
        <f>IF($A61="","",COUNTIF(RESULTADOS_GRID!$B:$B,$A61))</f>
        <v/>
      </c>
      <c r="F61" s="54">
        <f>IF($A61="","",SUMIF(RESULTADOS_GRID!$B:$B,$A61,RESULTADOS_GRID!$X:$X))</f>
        <v/>
      </c>
      <c r="G61" s="53" t="n"/>
      <c r="H61" s="58">
        <f>CONFIG_REFERENCIA!$E$7</f>
        <v/>
      </c>
      <c r="I61" s="54">
        <f>IF($A61="","",$F61+N($G61)*$H61)</f>
        <v/>
      </c>
      <c r="J61" s="54">
        <f>IF($A61="","",IF((COUNTIFS(RESULTADOS_GRID!$B:$B,$A61,RESULTADOS_GRID!$Y:$Y,"&gt;=0")+COUNTIFS(RESULTADOS_GRID!$B:$B,$A61,RESULTADOS_GRID!$Y:$Y,"&lt;0"))=0,"",SUMIF(RESULTADOS_GRID!$B:$B,$A61,RESULTADOS_GRID!$Y:$Y)/(COUNTIFS(RESULTADOS_GRID!$B:$B,$A61,RESULTADOS_GRID!$Y:$Y,"&gt;=0")+COUNTIFS(RESULTADOS_GRID!$B:$B,$A61,RESULTADOS_GRID!$Y:$Y,"&lt;0"))))</f>
        <v/>
      </c>
      <c r="K61" s="54">
        <f>IF($A61="","",IF((COUNTIFS(RESULTADOS_GRID!$B:$B,$A61,RESULTADOS_GRID!$Z:$Z,"&gt;=0")+COUNTIFS(RESULTADOS_GRID!$B:$B,$A61,RESULTADOS_GRID!$Z:$Z,"&lt;0"))=0,"",SUMIF(RESULTADOS_GRID!$B:$B,$A61,RESULTADOS_GRID!$Z:$Z)/(COUNTIFS(RESULTADOS_GRID!$B:$B,$A61,RESULTADOS_GRID!$Z:$Z,"&gt;=0")+COUNTIFS(RESULTADOS_GRID!$B:$B,$A61,RESULTADOS_GRID!$Z:$Z,"&lt;0"))))</f>
        <v/>
      </c>
      <c r="L61" s="51">
        <f>IF($A61="","",IF((COUNTIFS(RESULTADOS_GRID!$B:$B,$A61,RESULTADOS_GRID!$AA:$AA,"&gt;=0")+COUNTIFS(RESULTADOS_GRID!$B:$B,$A61,RESULTADOS_GRID!$AA:$AA,"&lt;0"))=0,"",SUMIF(RESULTADOS_GRID!$B:$B,$A61,RESULTADOS_GRID!$AA:$AA)/(COUNTIFS(RESULTADOS_GRID!$B:$B,$A61,RESULTADOS_GRID!$AA:$AA,"&gt;=0")+COUNTIFS(RESULTADOS_GRID!$B:$B,$A61,RESULTADOS_GRID!$AA:$AA,"&lt;0"))))</f>
        <v/>
      </c>
      <c r="M61" s="51">
        <f>IF($A61="","",IF((COUNTIFS(RESULTADOS_GRID!$B:$B,$A61,RESULTADOS_GRID!$AB:$AB,"&gt;=0")+COUNTIFS(RESULTADOS_GRID!$B:$B,$A61,RESULTADOS_GRID!$AB:$AB,"&lt;0"))=0,"",SUMIF(RESULTADOS_GRID!$B:$B,$A61,RESULTADOS_GRID!$AB:$AB)/(COUNTIFS(RESULTADOS_GRID!$B:$B,$A61,RESULTADOS_GRID!$AB:$AB,"&gt;=0")+COUNTIFS(RESULTADOS_GRID!$B:$B,$A61,RESULTADOS_GRID!$AB:$AB,"&lt;0"))))</f>
        <v/>
      </c>
      <c r="N61" s="49" t="n"/>
      <c r="O61" s="57">
        <f>IF($I61="","",COUNTIFS($I$2:$I$101,"&lt;"&amp;$I61)+1)</f>
        <v/>
      </c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9" t="n"/>
      <c r="Z61" s="49" t="n"/>
      <c r="AA61" s="49" t="n"/>
      <c r="AB61" s="49" t="n"/>
      <c r="AC61" s="49" t="n"/>
      <c r="AD61" s="49" t="n"/>
      <c r="AE61" s="49" t="n"/>
      <c r="AF61" s="49" t="n"/>
      <c r="AG61" s="49" t="n"/>
      <c r="AH61" s="49" t="n"/>
      <c r="AI61" s="49" t="n"/>
      <c r="AJ61" s="49" t="n"/>
      <c r="AK61" s="49" t="n"/>
    </row>
    <row r="62" ht="15" customHeight="1" s="27">
      <c r="A62" s="49" t="n"/>
      <c r="B62" s="57">
        <f>IF($A62="","",IFERROR(INDEX(RESULTADOS_GRID!$C:$C,MATCH($A62,RESULTADOS_GRID!$B:$B,0)),""))</f>
        <v/>
      </c>
      <c r="C62" s="57">
        <f>IF($A62="","",IFERROR(INDEX(RESULTADOS_GRID!$E:$E,MATCH($A62,RESULTADOS_GRID!$B:$B,0)),""))</f>
        <v/>
      </c>
      <c r="D62" s="57">
        <f>IF($A62="","",IFERROR(INDEX(RESULTADOS_GRID!$D:$D,MATCH($A62,RESULTADOS_GRID!$B:$B,0)),""))</f>
        <v/>
      </c>
      <c r="E62" s="57">
        <f>IF($A62="","",COUNTIF(RESULTADOS_GRID!$B:$B,$A62))</f>
        <v/>
      </c>
      <c r="F62" s="54">
        <f>IF($A62="","",SUMIF(RESULTADOS_GRID!$B:$B,$A62,RESULTADOS_GRID!$X:$X))</f>
        <v/>
      </c>
      <c r="G62" s="53" t="n"/>
      <c r="H62" s="58">
        <f>CONFIG_REFERENCIA!$E$7</f>
        <v/>
      </c>
      <c r="I62" s="54">
        <f>IF($A62="","",$F62+N($G62)*$H62)</f>
        <v/>
      </c>
      <c r="J62" s="54">
        <f>IF($A62="","",IF((COUNTIFS(RESULTADOS_GRID!$B:$B,$A62,RESULTADOS_GRID!$Y:$Y,"&gt;=0")+COUNTIFS(RESULTADOS_GRID!$B:$B,$A62,RESULTADOS_GRID!$Y:$Y,"&lt;0"))=0,"",SUMIF(RESULTADOS_GRID!$B:$B,$A62,RESULTADOS_GRID!$Y:$Y)/(COUNTIFS(RESULTADOS_GRID!$B:$B,$A62,RESULTADOS_GRID!$Y:$Y,"&gt;=0")+COUNTIFS(RESULTADOS_GRID!$B:$B,$A62,RESULTADOS_GRID!$Y:$Y,"&lt;0"))))</f>
        <v/>
      </c>
      <c r="K62" s="54">
        <f>IF($A62="","",IF((COUNTIFS(RESULTADOS_GRID!$B:$B,$A62,RESULTADOS_GRID!$Z:$Z,"&gt;=0")+COUNTIFS(RESULTADOS_GRID!$B:$B,$A62,RESULTADOS_GRID!$Z:$Z,"&lt;0"))=0,"",SUMIF(RESULTADOS_GRID!$B:$B,$A62,RESULTADOS_GRID!$Z:$Z)/(COUNTIFS(RESULTADOS_GRID!$B:$B,$A62,RESULTADOS_GRID!$Z:$Z,"&gt;=0")+COUNTIFS(RESULTADOS_GRID!$B:$B,$A62,RESULTADOS_GRID!$Z:$Z,"&lt;0"))))</f>
        <v/>
      </c>
      <c r="L62" s="51">
        <f>IF($A62="","",IF((COUNTIFS(RESULTADOS_GRID!$B:$B,$A62,RESULTADOS_GRID!$AA:$AA,"&gt;=0")+COUNTIFS(RESULTADOS_GRID!$B:$B,$A62,RESULTADOS_GRID!$AA:$AA,"&lt;0"))=0,"",SUMIF(RESULTADOS_GRID!$B:$B,$A62,RESULTADOS_GRID!$AA:$AA)/(COUNTIFS(RESULTADOS_GRID!$B:$B,$A62,RESULTADOS_GRID!$AA:$AA,"&gt;=0")+COUNTIFS(RESULTADOS_GRID!$B:$B,$A62,RESULTADOS_GRID!$AA:$AA,"&lt;0"))))</f>
        <v/>
      </c>
      <c r="M62" s="51">
        <f>IF($A62="","",IF((COUNTIFS(RESULTADOS_GRID!$B:$B,$A62,RESULTADOS_GRID!$AB:$AB,"&gt;=0")+COUNTIFS(RESULTADOS_GRID!$B:$B,$A62,RESULTADOS_GRID!$AB:$AB,"&lt;0"))=0,"",SUMIF(RESULTADOS_GRID!$B:$B,$A62,RESULTADOS_GRID!$AB:$AB)/(COUNTIFS(RESULTADOS_GRID!$B:$B,$A62,RESULTADOS_GRID!$AB:$AB,"&gt;=0")+COUNTIFS(RESULTADOS_GRID!$B:$B,$A62,RESULTADOS_GRID!$AB:$AB,"&lt;0"))))</f>
        <v/>
      </c>
      <c r="N62" s="49" t="n"/>
      <c r="O62" s="57">
        <f>IF($I62="","",COUNTIFS($I$2:$I$101,"&lt;"&amp;$I62)+1)</f>
        <v/>
      </c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9" t="n"/>
      <c r="Z62" s="49" t="n"/>
      <c r="AA62" s="49" t="n"/>
      <c r="AB62" s="49" t="n"/>
      <c r="AC62" s="49" t="n"/>
      <c r="AD62" s="49" t="n"/>
      <c r="AE62" s="49" t="n"/>
      <c r="AF62" s="49" t="n"/>
      <c r="AG62" s="49" t="n"/>
      <c r="AH62" s="49" t="n"/>
      <c r="AI62" s="49" t="n"/>
      <c r="AJ62" s="49" t="n"/>
      <c r="AK62" s="49" t="n"/>
    </row>
    <row r="63" ht="15" customHeight="1" s="27">
      <c r="A63" s="49" t="n"/>
      <c r="B63" s="57">
        <f>IF($A63="","",IFERROR(INDEX(RESULTADOS_GRID!$C:$C,MATCH($A63,RESULTADOS_GRID!$B:$B,0)),""))</f>
        <v/>
      </c>
      <c r="C63" s="57">
        <f>IF($A63="","",IFERROR(INDEX(RESULTADOS_GRID!$E:$E,MATCH($A63,RESULTADOS_GRID!$B:$B,0)),""))</f>
        <v/>
      </c>
      <c r="D63" s="57">
        <f>IF($A63="","",IFERROR(INDEX(RESULTADOS_GRID!$D:$D,MATCH($A63,RESULTADOS_GRID!$B:$B,0)),""))</f>
        <v/>
      </c>
      <c r="E63" s="57">
        <f>IF($A63="","",COUNTIF(RESULTADOS_GRID!$B:$B,$A63))</f>
        <v/>
      </c>
      <c r="F63" s="54">
        <f>IF($A63="","",SUMIF(RESULTADOS_GRID!$B:$B,$A63,RESULTADOS_GRID!$X:$X))</f>
        <v/>
      </c>
      <c r="G63" s="53" t="n"/>
      <c r="H63" s="58">
        <f>CONFIG_REFERENCIA!$E$7</f>
        <v/>
      </c>
      <c r="I63" s="54">
        <f>IF($A63="","",$F63+N($G63)*$H63)</f>
        <v/>
      </c>
      <c r="J63" s="54">
        <f>IF($A63="","",IF((COUNTIFS(RESULTADOS_GRID!$B:$B,$A63,RESULTADOS_GRID!$Y:$Y,"&gt;=0")+COUNTIFS(RESULTADOS_GRID!$B:$B,$A63,RESULTADOS_GRID!$Y:$Y,"&lt;0"))=0,"",SUMIF(RESULTADOS_GRID!$B:$B,$A63,RESULTADOS_GRID!$Y:$Y)/(COUNTIFS(RESULTADOS_GRID!$B:$B,$A63,RESULTADOS_GRID!$Y:$Y,"&gt;=0")+COUNTIFS(RESULTADOS_GRID!$B:$B,$A63,RESULTADOS_GRID!$Y:$Y,"&lt;0"))))</f>
        <v/>
      </c>
      <c r="K63" s="54">
        <f>IF($A63="","",IF((COUNTIFS(RESULTADOS_GRID!$B:$B,$A63,RESULTADOS_GRID!$Z:$Z,"&gt;=0")+COUNTIFS(RESULTADOS_GRID!$B:$B,$A63,RESULTADOS_GRID!$Z:$Z,"&lt;0"))=0,"",SUMIF(RESULTADOS_GRID!$B:$B,$A63,RESULTADOS_GRID!$Z:$Z)/(COUNTIFS(RESULTADOS_GRID!$B:$B,$A63,RESULTADOS_GRID!$Z:$Z,"&gt;=0")+COUNTIFS(RESULTADOS_GRID!$B:$B,$A63,RESULTADOS_GRID!$Z:$Z,"&lt;0"))))</f>
        <v/>
      </c>
      <c r="L63" s="51">
        <f>IF($A63="","",IF((COUNTIFS(RESULTADOS_GRID!$B:$B,$A63,RESULTADOS_GRID!$AA:$AA,"&gt;=0")+COUNTIFS(RESULTADOS_GRID!$B:$B,$A63,RESULTADOS_GRID!$AA:$AA,"&lt;0"))=0,"",SUMIF(RESULTADOS_GRID!$B:$B,$A63,RESULTADOS_GRID!$AA:$AA)/(COUNTIFS(RESULTADOS_GRID!$B:$B,$A63,RESULTADOS_GRID!$AA:$AA,"&gt;=0")+COUNTIFS(RESULTADOS_GRID!$B:$B,$A63,RESULTADOS_GRID!$AA:$AA,"&lt;0"))))</f>
        <v/>
      </c>
      <c r="M63" s="51">
        <f>IF($A63="","",IF((COUNTIFS(RESULTADOS_GRID!$B:$B,$A63,RESULTADOS_GRID!$AB:$AB,"&gt;=0")+COUNTIFS(RESULTADOS_GRID!$B:$B,$A63,RESULTADOS_GRID!$AB:$AB,"&lt;0"))=0,"",SUMIF(RESULTADOS_GRID!$B:$B,$A63,RESULTADOS_GRID!$AB:$AB)/(COUNTIFS(RESULTADOS_GRID!$B:$B,$A63,RESULTADOS_GRID!$AB:$AB,"&gt;=0")+COUNTIFS(RESULTADOS_GRID!$B:$B,$A63,RESULTADOS_GRID!$AB:$AB,"&lt;0"))))</f>
        <v/>
      </c>
      <c r="N63" s="49" t="n"/>
      <c r="O63" s="57">
        <f>IF($I63="","",COUNTIFS($I$2:$I$101,"&lt;"&amp;$I63)+1)</f>
        <v/>
      </c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9" t="n"/>
      <c r="Z63" s="49" t="n"/>
      <c r="AA63" s="49" t="n"/>
      <c r="AB63" s="49" t="n"/>
      <c r="AC63" s="49" t="n"/>
      <c r="AD63" s="49" t="n"/>
      <c r="AE63" s="49" t="n"/>
      <c r="AF63" s="49" t="n"/>
      <c r="AG63" s="49" t="n"/>
      <c r="AH63" s="49" t="n"/>
      <c r="AI63" s="49" t="n"/>
      <c r="AJ63" s="49" t="n"/>
      <c r="AK63" s="49" t="n"/>
    </row>
    <row r="64" ht="15" customHeight="1" s="27">
      <c r="A64" s="49" t="n"/>
      <c r="B64" s="57">
        <f>IF($A64="","",IFERROR(INDEX(RESULTADOS_GRID!$C:$C,MATCH($A64,RESULTADOS_GRID!$B:$B,0)),""))</f>
        <v/>
      </c>
      <c r="C64" s="57">
        <f>IF($A64="","",IFERROR(INDEX(RESULTADOS_GRID!$E:$E,MATCH($A64,RESULTADOS_GRID!$B:$B,0)),""))</f>
        <v/>
      </c>
      <c r="D64" s="57">
        <f>IF($A64="","",IFERROR(INDEX(RESULTADOS_GRID!$D:$D,MATCH($A64,RESULTADOS_GRID!$B:$B,0)),""))</f>
        <v/>
      </c>
      <c r="E64" s="57">
        <f>IF($A64="","",COUNTIF(RESULTADOS_GRID!$B:$B,$A64))</f>
        <v/>
      </c>
      <c r="F64" s="54">
        <f>IF($A64="","",SUMIF(RESULTADOS_GRID!$B:$B,$A64,RESULTADOS_GRID!$X:$X))</f>
        <v/>
      </c>
      <c r="G64" s="53" t="n"/>
      <c r="H64" s="58">
        <f>CONFIG_REFERENCIA!$E$7</f>
        <v/>
      </c>
      <c r="I64" s="54">
        <f>IF($A64="","",$F64+N($G64)*$H64)</f>
        <v/>
      </c>
      <c r="J64" s="54">
        <f>IF($A64="","",IF((COUNTIFS(RESULTADOS_GRID!$B:$B,$A64,RESULTADOS_GRID!$Y:$Y,"&gt;=0")+COUNTIFS(RESULTADOS_GRID!$B:$B,$A64,RESULTADOS_GRID!$Y:$Y,"&lt;0"))=0,"",SUMIF(RESULTADOS_GRID!$B:$B,$A64,RESULTADOS_GRID!$Y:$Y)/(COUNTIFS(RESULTADOS_GRID!$B:$B,$A64,RESULTADOS_GRID!$Y:$Y,"&gt;=0")+COUNTIFS(RESULTADOS_GRID!$B:$B,$A64,RESULTADOS_GRID!$Y:$Y,"&lt;0"))))</f>
        <v/>
      </c>
      <c r="K64" s="54">
        <f>IF($A64="","",IF((COUNTIFS(RESULTADOS_GRID!$B:$B,$A64,RESULTADOS_GRID!$Z:$Z,"&gt;=0")+COUNTIFS(RESULTADOS_GRID!$B:$B,$A64,RESULTADOS_GRID!$Z:$Z,"&lt;0"))=0,"",SUMIF(RESULTADOS_GRID!$B:$B,$A64,RESULTADOS_GRID!$Z:$Z)/(COUNTIFS(RESULTADOS_GRID!$B:$B,$A64,RESULTADOS_GRID!$Z:$Z,"&gt;=0")+COUNTIFS(RESULTADOS_GRID!$B:$B,$A64,RESULTADOS_GRID!$Z:$Z,"&lt;0"))))</f>
        <v/>
      </c>
      <c r="L64" s="51">
        <f>IF($A64="","",IF((COUNTIFS(RESULTADOS_GRID!$B:$B,$A64,RESULTADOS_GRID!$AA:$AA,"&gt;=0")+COUNTIFS(RESULTADOS_GRID!$B:$B,$A64,RESULTADOS_GRID!$AA:$AA,"&lt;0"))=0,"",SUMIF(RESULTADOS_GRID!$B:$B,$A64,RESULTADOS_GRID!$AA:$AA)/(COUNTIFS(RESULTADOS_GRID!$B:$B,$A64,RESULTADOS_GRID!$AA:$AA,"&gt;=0")+COUNTIFS(RESULTADOS_GRID!$B:$B,$A64,RESULTADOS_GRID!$AA:$AA,"&lt;0"))))</f>
        <v/>
      </c>
      <c r="M64" s="51">
        <f>IF($A64="","",IF((COUNTIFS(RESULTADOS_GRID!$B:$B,$A64,RESULTADOS_GRID!$AB:$AB,"&gt;=0")+COUNTIFS(RESULTADOS_GRID!$B:$B,$A64,RESULTADOS_GRID!$AB:$AB,"&lt;0"))=0,"",SUMIF(RESULTADOS_GRID!$B:$B,$A64,RESULTADOS_GRID!$AB:$AB)/(COUNTIFS(RESULTADOS_GRID!$B:$B,$A64,RESULTADOS_GRID!$AB:$AB,"&gt;=0")+COUNTIFS(RESULTADOS_GRID!$B:$B,$A64,RESULTADOS_GRID!$AB:$AB,"&lt;0"))))</f>
        <v/>
      </c>
      <c r="N64" s="49" t="n"/>
      <c r="O64" s="57">
        <f>IF($I64="","",COUNTIFS($I$2:$I$101,"&lt;"&amp;$I64)+1)</f>
        <v/>
      </c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9" t="n"/>
      <c r="Z64" s="49" t="n"/>
      <c r="AA64" s="49" t="n"/>
      <c r="AB64" s="49" t="n"/>
      <c r="AC64" s="49" t="n"/>
      <c r="AD64" s="49" t="n"/>
      <c r="AE64" s="49" t="n"/>
      <c r="AF64" s="49" t="n"/>
      <c r="AG64" s="49" t="n"/>
      <c r="AH64" s="49" t="n"/>
      <c r="AI64" s="49" t="n"/>
      <c r="AJ64" s="49" t="n"/>
      <c r="AK64" s="49" t="n"/>
    </row>
    <row r="65" ht="15" customHeight="1" s="27">
      <c r="A65" s="49" t="n"/>
      <c r="B65" s="57">
        <f>IF($A65="","",IFERROR(INDEX(RESULTADOS_GRID!$C:$C,MATCH($A65,RESULTADOS_GRID!$B:$B,0)),""))</f>
        <v/>
      </c>
      <c r="C65" s="57">
        <f>IF($A65="","",IFERROR(INDEX(RESULTADOS_GRID!$E:$E,MATCH($A65,RESULTADOS_GRID!$B:$B,0)),""))</f>
        <v/>
      </c>
      <c r="D65" s="57">
        <f>IF($A65="","",IFERROR(INDEX(RESULTADOS_GRID!$D:$D,MATCH($A65,RESULTADOS_GRID!$B:$B,0)),""))</f>
        <v/>
      </c>
      <c r="E65" s="57">
        <f>IF($A65="","",COUNTIF(RESULTADOS_GRID!$B:$B,$A65))</f>
        <v/>
      </c>
      <c r="F65" s="54">
        <f>IF($A65="","",SUMIF(RESULTADOS_GRID!$B:$B,$A65,RESULTADOS_GRID!$X:$X))</f>
        <v/>
      </c>
      <c r="G65" s="53" t="n"/>
      <c r="H65" s="58">
        <f>CONFIG_REFERENCIA!$E$7</f>
        <v/>
      </c>
      <c r="I65" s="54">
        <f>IF($A65="","",$F65+N($G65)*$H65)</f>
        <v/>
      </c>
      <c r="J65" s="54">
        <f>IF($A65="","",IF((COUNTIFS(RESULTADOS_GRID!$B:$B,$A65,RESULTADOS_GRID!$Y:$Y,"&gt;=0")+COUNTIFS(RESULTADOS_GRID!$B:$B,$A65,RESULTADOS_GRID!$Y:$Y,"&lt;0"))=0,"",SUMIF(RESULTADOS_GRID!$B:$B,$A65,RESULTADOS_GRID!$Y:$Y)/(COUNTIFS(RESULTADOS_GRID!$B:$B,$A65,RESULTADOS_GRID!$Y:$Y,"&gt;=0")+COUNTIFS(RESULTADOS_GRID!$B:$B,$A65,RESULTADOS_GRID!$Y:$Y,"&lt;0"))))</f>
        <v/>
      </c>
      <c r="K65" s="54">
        <f>IF($A65="","",IF((COUNTIFS(RESULTADOS_GRID!$B:$B,$A65,RESULTADOS_GRID!$Z:$Z,"&gt;=0")+COUNTIFS(RESULTADOS_GRID!$B:$B,$A65,RESULTADOS_GRID!$Z:$Z,"&lt;0"))=0,"",SUMIF(RESULTADOS_GRID!$B:$B,$A65,RESULTADOS_GRID!$Z:$Z)/(COUNTIFS(RESULTADOS_GRID!$B:$B,$A65,RESULTADOS_GRID!$Z:$Z,"&gt;=0")+COUNTIFS(RESULTADOS_GRID!$B:$B,$A65,RESULTADOS_GRID!$Z:$Z,"&lt;0"))))</f>
        <v/>
      </c>
      <c r="L65" s="51">
        <f>IF($A65="","",IF((COUNTIFS(RESULTADOS_GRID!$B:$B,$A65,RESULTADOS_GRID!$AA:$AA,"&gt;=0")+COUNTIFS(RESULTADOS_GRID!$B:$B,$A65,RESULTADOS_GRID!$AA:$AA,"&lt;0"))=0,"",SUMIF(RESULTADOS_GRID!$B:$B,$A65,RESULTADOS_GRID!$AA:$AA)/(COUNTIFS(RESULTADOS_GRID!$B:$B,$A65,RESULTADOS_GRID!$AA:$AA,"&gt;=0")+COUNTIFS(RESULTADOS_GRID!$B:$B,$A65,RESULTADOS_GRID!$AA:$AA,"&lt;0"))))</f>
        <v/>
      </c>
      <c r="M65" s="51">
        <f>IF($A65="","",IF((COUNTIFS(RESULTADOS_GRID!$B:$B,$A65,RESULTADOS_GRID!$AB:$AB,"&gt;=0")+COUNTIFS(RESULTADOS_GRID!$B:$B,$A65,RESULTADOS_GRID!$AB:$AB,"&lt;0"))=0,"",SUMIF(RESULTADOS_GRID!$B:$B,$A65,RESULTADOS_GRID!$AB:$AB)/(COUNTIFS(RESULTADOS_GRID!$B:$B,$A65,RESULTADOS_GRID!$AB:$AB,"&gt;=0")+COUNTIFS(RESULTADOS_GRID!$B:$B,$A65,RESULTADOS_GRID!$AB:$AB,"&lt;0"))))</f>
        <v/>
      </c>
      <c r="N65" s="49" t="n"/>
      <c r="O65" s="57">
        <f>IF($I65="","",COUNTIFS($I$2:$I$101,"&lt;"&amp;$I65)+1)</f>
        <v/>
      </c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9" t="n"/>
      <c r="Z65" s="49" t="n"/>
      <c r="AA65" s="49" t="n"/>
      <c r="AB65" s="49" t="n"/>
      <c r="AC65" s="49" t="n"/>
      <c r="AD65" s="49" t="n"/>
      <c r="AE65" s="49" t="n"/>
      <c r="AF65" s="49" t="n"/>
      <c r="AG65" s="49" t="n"/>
      <c r="AH65" s="49" t="n"/>
      <c r="AI65" s="49" t="n"/>
      <c r="AJ65" s="49" t="n"/>
      <c r="AK65" s="49" t="n"/>
    </row>
    <row r="66" ht="15" customHeight="1" s="27">
      <c r="A66" s="49" t="n"/>
      <c r="B66" s="57">
        <f>IF($A66="","",IFERROR(INDEX(RESULTADOS_GRID!$C:$C,MATCH($A66,RESULTADOS_GRID!$B:$B,0)),""))</f>
        <v/>
      </c>
      <c r="C66" s="57">
        <f>IF($A66="","",IFERROR(INDEX(RESULTADOS_GRID!$E:$E,MATCH($A66,RESULTADOS_GRID!$B:$B,0)),""))</f>
        <v/>
      </c>
      <c r="D66" s="57">
        <f>IF($A66="","",IFERROR(INDEX(RESULTADOS_GRID!$D:$D,MATCH($A66,RESULTADOS_GRID!$B:$B,0)),""))</f>
        <v/>
      </c>
      <c r="E66" s="57">
        <f>IF($A66="","",COUNTIF(RESULTADOS_GRID!$B:$B,$A66))</f>
        <v/>
      </c>
      <c r="F66" s="54">
        <f>IF($A66="","",SUMIF(RESULTADOS_GRID!$B:$B,$A66,RESULTADOS_GRID!$X:$X))</f>
        <v/>
      </c>
      <c r="G66" s="53" t="n"/>
      <c r="H66" s="58">
        <f>CONFIG_REFERENCIA!$E$7</f>
        <v/>
      </c>
      <c r="I66" s="54">
        <f>IF($A66="","",$F66+N($G66)*$H66)</f>
        <v/>
      </c>
      <c r="J66" s="54">
        <f>IF($A66="","",IF((COUNTIFS(RESULTADOS_GRID!$B:$B,$A66,RESULTADOS_GRID!$Y:$Y,"&gt;=0")+COUNTIFS(RESULTADOS_GRID!$B:$B,$A66,RESULTADOS_GRID!$Y:$Y,"&lt;0"))=0,"",SUMIF(RESULTADOS_GRID!$B:$B,$A66,RESULTADOS_GRID!$Y:$Y)/(COUNTIFS(RESULTADOS_GRID!$B:$B,$A66,RESULTADOS_GRID!$Y:$Y,"&gt;=0")+COUNTIFS(RESULTADOS_GRID!$B:$B,$A66,RESULTADOS_GRID!$Y:$Y,"&lt;0"))))</f>
        <v/>
      </c>
      <c r="K66" s="54">
        <f>IF($A66="","",IF((COUNTIFS(RESULTADOS_GRID!$B:$B,$A66,RESULTADOS_GRID!$Z:$Z,"&gt;=0")+COUNTIFS(RESULTADOS_GRID!$B:$B,$A66,RESULTADOS_GRID!$Z:$Z,"&lt;0"))=0,"",SUMIF(RESULTADOS_GRID!$B:$B,$A66,RESULTADOS_GRID!$Z:$Z)/(COUNTIFS(RESULTADOS_GRID!$B:$B,$A66,RESULTADOS_GRID!$Z:$Z,"&gt;=0")+COUNTIFS(RESULTADOS_GRID!$B:$B,$A66,RESULTADOS_GRID!$Z:$Z,"&lt;0"))))</f>
        <v/>
      </c>
      <c r="L66" s="51">
        <f>IF($A66="","",IF((COUNTIFS(RESULTADOS_GRID!$B:$B,$A66,RESULTADOS_GRID!$AA:$AA,"&gt;=0")+COUNTIFS(RESULTADOS_GRID!$B:$B,$A66,RESULTADOS_GRID!$AA:$AA,"&lt;0"))=0,"",SUMIF(RESULTADOS_GRID!$B:$B,$A66,RESULTADOS_GRID!$AA:$AA)/(COUNTIFS(RESULTADOS_GRID!$B:$B,$A66,RESULTADOS_GRID!$AA:$AA,"&gt;=0")+COUNTIFS(RESULTADOS_GRID!$B:$B,$A66,RESULTADOS_GRID!$AA:$AA,"&lt;0"))))</f>
        <v/>
      </c>
      <c r="M66" s="51">
        <f>IF($A66="","",IF((COUNTIFS(RESULTADOS_GRID!$B:$B,$A66,RESULTADOS_GRID!$AB:$AB,"&gt;=0")+COUNTIFS(RESULTADOS_GRID!$B:$B,$A66,RESULTADOS_GRID!$AB:$AB,"&lt;0"))=0,"",SUMIF(RESULTADOS_GRID!$B:$B,$A66,RESULTADOS_GRID!$AB:$AB)/(COUNTIFS(RESULTADOS_GRID!$B:$B,$A66,RESULTADOS_GRID!$AB:$AB,"&gt;=0")+COUNTIFS(RESULTADOS_GRID!$B:$B,$A66,RESULTADOS_GRID!$AB:$AB,"&lt;0"))))</f>
        <v/>
      </c>
      <c r="N66" s="49" t="n"/>
      <c r="O66" s="57">
        <f>IF($I66="","",COUNTIFS($I$2:$I$101,"&lt;"&amp;$I66)+1)</f>
        <v/>
      </c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9" t="n"/>
      <c r="Z66" s="49" t="n"/>
      <c r="AA66" s="49" t="n"/>
      <c r="AB66" s="49" t="n"/>
      <c r="AC66" s="49" t="n"/>
      <c r="AD66" s="49" t="n"/>
      <c r="AE66" s="49" t="n"/>
      <c r="AF66" s="49" t="n"/>
      <c r="AG66" s="49" t="n"/>
      <c r="AH66" s="49" t="n"/>
      <c r="AI66" s="49" t="n"/>
      <c r="AJ66" s="49" t="n"/>
      <c r="AK66" s="49" t="n"/>
    </row>
    <row r="67" ht="15" customHeight="1" s="27">
      <c r="A67" s="49" t="n"/>
      <c r="B67" s="57">
        <f>IF($A67="","",IFERROR(INDEX(RESULTADOS_GRID!$C:$C,MATCH($A67,RESULTADOS_GRID!$B:$B,0)),""))</f>
        <v/>
      </c>
      <c r="C67" s="57">
        <f>IF($A67="","",IFERROR(INDEX(RESULTADOS_GRID!$E:$E,MATCH($A67,RESULTADOS_GRID!$B:$B,0)),""))</f>
        <v/>
      </c>
      <c r="D67" s="57">
        <f>IF($A67="","",IFERROR(INDEX(RESULTADOS_GRID!$D:$D,MATCH($A67,RESULTADOS_GRID!$B:$B,0)),""))</f>
        <v/>
      </c>
      <c r="E67" s="57">
        <f>IF($A67="","",COUNTIF(RESULTADOS_GRID!$B:$B,$A67))</f>
        <v/>
      </c>
      <c r="F67" s="54">
        <f>IF($A67="","",SUMIF(RESULTADOS_GRID!$B:$B,$A67,RESULTADOS_GRID!$X:$X))</f>
        <v/>
      </c>
      <c r="G67" s="53" t="n"/>
      <c r="H67" s="58">
        <f>CONFIG_REFERENCIA!$E$7</f>
        <v/>
      </c>
      <c r="I67" s="54">
        <f>IF($A67="","",$F67+N($G67)*$H67)</f>
        <v/>
      </c>
      <c r="J67" s="54">
        <f>IF($A67="","",IF((COUNTIFS(RESULTADOS_GRID!$B:$B,$A67,RESULTADOS_GRID!$Y:$Y,"&gt;=0")+COUNTIFS(RESULTADOS_GRID!$B:$B,$A67,RESULTADOS_GRID!$Y:$Y,"&lt;0"))=0,"",SUMIF(RESULTADOS_GRID!$B:$B,$A67,RESULTADOS_GRID!$Y:$Y)/(COUNTIFS(RESULTADOS_GRID!$B:$B,$A67,RESULTADOS_GRID!$Y:$Y,"&gt;=0")+COUNTIFS(RESULTADOS_GRID!$B:$B,$A67,RESULTADOS_GRID!$Y:$Y,"&lt;0"))))</f>
        <v/>
      </c>
      <c r="K67" s="54">
        <f>IF($A67="","",IF((COUNTIFS(RESULTADOS_GRID!$B:$B,$A67,RESULTADOS_GRID!$Z:$Z,"&gt;=0")+COUNTIFS(RESULTADOS_GRID!$B:$B,$A67,RESULTADOS_GRID!$Z:$Z,"&lt;0"))=0,"",SUMIF(RESULTADOS_GRID!$B:$B,$A67,RESULTADOS_GRID!$Z:$Z)/(COUNTIFS(RESULTADOS_GRID!$B:$B,$A67,RESULTADOS_GRID!$Z:$Z,"&gt;=0")+COUNTIFS(RESULTADOS_GRID!$B:$B,$A67,RESULTADOS_GRID!$Z:$Z,"&lt;0"))))</f>
        <v/>
      </c>
      <c r="L67" s="51">
        <f>IF($A67="","",IF((COUNTIFS(RESULTADOS_GRID!$B:$B,$A67,RESULTADOS_GRID!$AA:$AA,"&gt;=0")+COUNTIFS(RESULTADOS_GRID!$B:$B,$A67,RESULTADOS_GRID!$AA:$AA,"&lt;0"))=0,"",SUMIF(RESULTADOS_GRID!$B:$B,$A67,RESULTADOS_GRID!$AA:$AA)/(COUNTIFS(RESULTADOS_GRID!$B:$B,$A67,RESULTADOS_GRID!$AA:$AA,"&gt;=0")+COUNTIFS(RESULTADOS_GRID!$B:$B,$A67,RESULTADOS_GRID!$AA:$AA,"&lt;0"))))</f>
        <v/>
      </c>
      <c r="M67" s="51">
        <f>IF($A67="","",IF((COUNTIFS(RESULTADOS_GRID!$B:$B,$A67,RESULTADOS_GRID!$AB:$AB,"&gt;=0")+COUNTIFS(RESULTADOS_GRID!$B:$B,$A67,RESULTADOS_GRID!$AB:$AB,"&lt;0"))=0,"",SUMIF(RESULTADOS_GRID!$B:$B,$A67,RESULTADOS_GRID!$AB:$AB)/(COUNTIFS(RESULTADOS_GRID!$B:$B,$A67,RESULTADOS_GRID!$AB:$AB,"&gt;=0")+COUNTIFS(RESULTADOS_GRID!$B:$B,$A67,RESULTADOS_GRID!$AB:$AB,"&lt;0"))))</f>
        <v/>
      </c>
      <c r="N67" s="49" t="n"/>
      <c r="O67" s="57">
        <f>IF($I67="","",COUNTIFS($I$2:$I$101,"&lt;"&amp;$I67)+1)</f>
        <v/>
      </c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9" t="n"/>
      <c r="Z67" s="49" t="n"/>
      <c r="AA67" s="49" t="n"/>
      <c r="AB67" s="49" t="n"/>
      <c r="AC67" s="49" t="n"/>
      <c r="AD67" s="49" t="n"/>
      <c r="AE67" s="49" t="n"/>
      <c r="AF67" s="49" t="n"/>
      <c r="AG67" s="49" t="n"/>
      <c r="AH67" s="49" t="n"/>
      <c r="AI67" s="49" t="n"/>
      <c r="AJ67" s="49" t="n"/>
      <c r="AK67" s="49" t="n"/>
    </row>
    <row r="68" ht="15" customHeight="1" s="27">
      <c r="A68" s="49" t="n"/>
      <c r="B68" s="57">
        <f>IF($A68="","",IFERROR(INDEX(RESULTADOS_GRID!$C:$C,MATCH($A68,RESULTADOS_GRID!$B:$B,0)),""))</f>
        <v/>
      </c>
      <c r="C68" s="57">
        <f>IF($A68="","",IFERROR(INDEX(RESULTADOS_GRID!$E:$E,MATCH($A68,RESULTADOS_GRID!$B:$B,0)),""))</f>
        <v/>
      </c>
      <c r="D68" s="57">
        <f>IF($A68="","",IFERROR(INDEX(RESULTADOS_GRID!$D:$D,MATCH($A68,RESULTADOS_GRID!$B:$B,0)),""))</f>
        <v/>
      </c>
      <c r="E68" s="57">
        <f>IF($A68="","",COUNTIF(RESULTADOS_GRID!$B:$B,$A68))</f>
        <v/>
      </c>
      <c r="F68" s="54">
        <f>IF($A68="","",SUMIF(RESULTADOS_GRID!$B:$B,$A68,RESULTADOS_GRID!$X:$X))</f>
        <v/>
      </c>
      <c r="G68" s="53" t="n"/>
      <c r="H68" s="58">
        <f>CONFIG_REFERENCIA!$E$7</f>
        <v/>
      </c>
      <c r="I68" s="54">
        <f>IF($A68="","",$F68+N($G68)*$H68)</f>
        <v/>
      </c>
      <c r="J68" s="54">
        <f>IF($A68="","",IF((COUNTIFS(RESULTADOS_GRID!$B:$B,$A68,RESULTADOS_GRID!$Y:$Y,"&gt;=0")+COUNTIFS(RESULTADOS_GRID!$B:$B,$A68,RESULTADOS_GRID!$Y:$Y,"&lt;0"))=0,"",SUMIF(RESULTADOS_GRID!$B:$B,$A68,RESULTADOS_GRID!$Y:$Y)/(COUNTIFS(RESULTADOS_GRID!$B:$B,$A68,RESULTADOS_GRID!$Y:$Y,"&gt;=0")+COUNTIFS(RESULTADOS_GRID!$B:$B,$A68,RESULTADOS_GRID!$Y:$Y,"&lt;0"))))</f>
        <v/>
      </c>
      <c r="K68" s="54">
        <f>IF($A68="","",IF((COUNTIFS(RESULTADOS_GRID!$B:$B,$A68,RESULTADOS_GRID!$Z:$Z,"&gt;=0")+COUNTIFS(RESULTADOS_GRID!$B:$B,$A68,RESULTADOS_GRID!$Z:$Z,"&lt;0"))=0,"",SUMIF(RESULTADOS_GRID!$B:$B,$A68,RESULTADOS_GRID!$Z:$Z)/(COUNTIFS(RESULTADOS_GRID!$B:$B,$A68,RESULTADOS_GRID!$Z:$Z,"&gt;=0")+COUNTIFS(RESULTADOS_GRID!$B:$B,$A68,RESULTADOS_GRID!$Z:$Z,"&lt;0"))))</f>
        <v/>
      </c>
      <c r="L68" s="51">
        <f>IF($A68="","",IF((COUNTIFS(RESULTADOS_GRID!$B:$B,$A68,RESULTADOS_GRID!$AA:$AA,"&gt;=0")+COUNTIFS(RESULTADOS_GRID!$B:$B,$A68,RESULTADOS_GRID!$AA:$AA,"&lt;0"))=0,"",SUMIF(RESULTADOS_GRID!$B:$B,$A68,RESULTADOS_GRID!$AA:$AA)/(COUNTIFS(RESULTADOS_GRID!$B:$B,$A68,RESULTADOS_GRID!$AA:$AA,"&gt;=0")+COUNTIFS(RESULTADOS_GRID!$B:$B,$A68,RESULTADOS_GRID!$AA:$AA,"&lt;0"))))</f>
        <v/>
      </c>
      <c r="M68" s="51">
        <f>IF($A68="","",IF((COUNTIFS(RESULTADOS_GRID!$B:$B,$A68,RESULTADOS_GRID!$AB:$AB,"&gt;=0")+COUNTIFS(RESULTADOS_GRID!$B:$B,$A68,RESULTADOS_GRID!$AB:$AB,"&lt;0"))=0,"",SUMIF(RESULTADOS_GRID!$B:$B,$A68,RESULTADOS_GRID!$AB:$AB)/(COUNTIFS(RESULTADOS_GRID!$B:$B,$A68,RESULTADOS_GRID!$AB:$AB,"&gt;=0")+COUNTIFS(RESULTADOS_GRID!$B:$B,$A68,RESULTADOS_GRID!$AB:$AB,"&lt;0"))))</f>
        <v/>
      </c>
      <c r="N68" s="49" t="n"/>
      <c r="O68" s="57">
        <f>IF($I68="","",COUNTIFS($I$2:$I$101,"&lt;"&amp;$I68)+1)</f>
        <v/>
      </c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9" t="n"/>
      <c r="Z68" s="49" t="n"/>
      <c r="AA68" s="49" t="n"/>
      <c r="AB68" s="49" t="n"/>
      <c r="AC68" s="49" t="n"/>
      <c r="AD68" s="49" t="n"/>
      <c r="AE68" s="49" t="n"/>
      <c r="AF68" s="49" t="n"/>
      <c r="AG68" s="49" t="n"/>
      <c r="AH68" s="49" t="n"/>
      <c r="AI68" s="49" t="n"/>
      <c r="AJ68" s="49" t="n"/>
      <c r="AK68" s="49" t="n"/>
    </row>
    <row r="69" ht="15" customHeight="1" s="27">
      <c r="A69" s="49" t="n"/>
      <c r="B69" s="57">
        <f>IF($A69="","",IFERROR(INDEX(RESULTADOS_GRID!$C:$C,MATCH($A69,RESULTADOS_GRID!$B:$B,0)),""))</f>
        <v/>
      </c>
      <c r="C69" s="57">
        <f>IF($A69="","",IFERROR(INDEX(RESULTADOS_GRID!$E:$E,MATCH($A69,RESULTADOS_GRID!$B:$B,0)),""))</f>
        <v/>
      </c>
      <c r="D69" s="57">
        <f>IF($A69="","",IFERROR(INDEX(RESULTADOS_GRID!$D:$D,MATCH($A69,RESULTADOS_GRID!$B:$B,0)),""))</f>
        <v/>
      </c>
      <c r="E69" s="57">
        <f>IF($A69="","",COUNTIF(RESULTADOS_GRID!$B:$B,$A69))</f>
        <v/>
      </c>
      <c r="F69" s="54">
        <f>IF($A69="","",SUMIF(RESULTADOS_GRID!$B:$B,$A69,RESULTADOS_GRID!$X:$X))</f>
        <v/>
      </c>
      <c r="G69" s="53" t="n"/>
      <c r="H69" s="58">
        <f>CONFIG_REFERENCIA!$E$7</f>
        <v/>
      </c>
      <c r="I69" s="54">
        <f>IF($A69="","",$F69+N($G69)*$H69)</f>
        <v/>
      </c>
      <c r="J69" s="54">
        <f>IF($A69="","",IF((COUNTIFS(RESULTADOS_GRID!$B:$B,$A69,RESULTADOS_GRID!$Y:$Y,"&gt;=0")+COUNTIFS(RESULTADOS_GRID!$B:$B,$A69,RESULTADOS_GRID!$Y:$Y,"&lt;0"))=0,"",SUMIF(RESULTADOS_GRID!$B:$B,$A69,RESULTADOS_GRID!$Y:$Y)/(COUNTIFS(RESULTADOS_GRID!$B:$B,$A69,RESULTADOS_GRID!$Y:$Y,"&gt;=0")+COUNTIFS(RESULTADOS_GRID!$B:$B,$A69,RESULTADOS_GRID!$Y:$Y,"&lt;0"))))</f>
        <v/>
      </c>
      <c r="K69" s="54">
        <f>IF($A69="","",IF((COUNTIFS(RESULTADOS_GRID!$B:$B,$A69,RESULTADOS_GRID!$Z:$Z,"&gt;=0")+COUNTIFS(RESULTADOS_GRID!$B:$B,$A69,RESULTADOS_GRID!$Z:$Z,"&lt;0"))=0,"",SUMIF(RESULTADOS_GRID!$B:$B,$A69,RESULTADOS_GRID!$Z:$Z)/(COUNTIFS(RESULTADOS_GRID!$B:$B,$A69,RESULTADOS_GRID!$Z:$Z,"&gt;=0")+COUNTIFS(RESULTADOS_GRID!$B:$B,$A69,RESULTADOS_GRID!$Z:$Z,"&lt;0"))))</f>
        <v/>
      </c>
      <c r="L69" s="51">
        <f>IF($A69="","",IF((COUNTIFS(RESULTADOS_GRID!$B:$B,$A69,RESULTADOS_GRID!$AA:$AA,"&gt;=0")+COUNTIFS(RESULTADOS_GRID!$B:$B,$A69,RESULTADOS_GRID!$AA:$AA,"&lt;0"))=0,"",SUMIF(RESULTADOS_GRID!$B:$B,$A69,RESULTADOS_GRID!$AA:$AA)/(COUNTIFS(RESULTADOS_GRID!$B:$B,$A69,RESULTADOS_GRID!$AA:$AA,"&gt;=0")+COUNTIFS(RESULTADOS_GRID!$B:$B,$A69,RESULTADOS_GRID!$AA:$AA,"&lt;0"))))</f>
        <v/>
      </c>
      <c r="M69" s="51">
        <f>IF($A69="","",IF((COUNTIFS(RESULTADOS_GRID!$B:$B,$A69,RESULTADOS_GRID!$AB:$AB,"&gt;=0")+COUNTIFS(RESULTADOS_GRID!$B:$B,$A69,RESULTADOS_GRID!$AB:$AB,"&lt;0"))=0,"",SUMIF(RESULTADOS_GRID!$B:$B,$A69,RESULTADOS_GRID!$AB:$AB)/(COUNTIFS(RESULTADOS_GRID!$B:$B,$A69,RESULTADOS_GRID!$AB:$AB,"&gt;=0")+COUNTIFS(RESULTADOS_GRID!$B:$B,$A69,RESULTADOS_GRID!$AB:$AB,"&lt;0"))))</f>
        <v/>
      </c>
      <c r="N69" s="49" t="n"/>
      <c r="O69" s="57">
        <f>IF($I69="","",COUNTIFS($I$2:$I$101,"&lt;"&amp;$I69)+1)</f>
        <v/>
      </c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9" t="n"/>
      <c r="Z69" s="49" t="n"/>
      <c r="AA69" s="49" t="n"/>
      <c r="AB69" s="49" t="n"/>
      <c r="AC69" s="49" t="n"/>
      <c r="AD69" s="49" t="n"/>
      <c r="AE69" s="49" t="n"/>
      <c r="AF69" s="49" t="n"/>
      <c r="AG69" s="49" t="n"/>
      <c r="AH69" s="49" t="n"/>
      <c r="AI69" s="49" t="n"/>
      <c r="AJ69" s="49" t="n"/>
      <c r="AK69" s="49" t="n"/>
    </row>
    <row r="70" ht="15" customHeight="1" s="27">
      <c r="A70" s="49" t="n"/>
      <c r="B70" s="57">
        <f>IF($A70="","",IFERROR(INDEX(RESULTADOS_GRID!$C:$C,MATCH($A70,RESULTADOS_GRID!$B:$B,0)),""))</f>
        <v/>
      </c>
      <c r="C70" s="57">
        <f>IF($A70="","",IFERROR(INDEX(RESULTADOS_GRID!$E:$E,MATCH($A70,RESULTADOS_GRID!$B:$B,0)),""))</f>
        <v/>
      </c>
      <c r="D70" s="57">
        <f>IF($A70="","",IFERROR(INDEX(RESULTADOS_GRID!$D:$D,MATCH($A70,RESULTADOS_GRID!$B:$B,0)),""))</f>
        <v/>
      </c>
      <c r="E70" s="57">
        <f>IF($A70="","",COUNTIF(RESULTADOS_GRID!$B:$B,$A70))</f>
        <v/>
      </c>
      <c r="F70" s="54">
        <f>IF($A70="","",SUMIF(RESULTADOS_GRID!$B:$B,$A70,RESULTADOS_GRID!$X:$X))</f>
        <v/>
      </c>
      <c r="G70" s="53" t="n"/>
      <c r="H70" s="58">
        <f>CONFIG_REFERENCIA!$E$7</f>
        <v/>
      </c>
      <c r="I70" s="54">
        <f>IF($A70="","",$F70+N($G70)*$H70)</f>
        <v/>
      </c>
      <c r="J70" s="54">
        <f>IF($A70="","",IF((COUNTIFS(RESULTADOS_GRID!$B:$B,$A70,RESULTADOS_GRID!$Y:$Y,"&gt;=0")+COUNTIFS(RESULTADOS_GRID!$B:$B,$A70,RESULTADOS_GRID!$Y:$Y,"&lt;0"))=0,"",SUMIF(RESULTADOS_GRID!$B:$B,$A70,RESULTADOS_GRID!$Y:$Y)/(COUNTIFS(RESULTADOS_GRID!$B:$B,$A70,RESULTADOS_GRID!$Y:$Y,"&gt;=0")+COUNTIFS(RESULTADOS_GRID!$B:$B,$A70,RESULTADOS_GRID!$Y:$Y,"&lt;0"))))</f>
        <v/>
      </c>
      <c r="K70" s="54">
        <f>IF($A70="","",IF((COUNTIFS(RESULTADOS_GRID!$B:$B,$A70,RESULTADOS_GRID!$Z:$Z,"&gt;=0")+COUNTIFS(RESULTADOS_GRID!$B:$B,$A70,RESULTADOS_GRID!$Z:$Z,"&lt;0"))=0,"",SUMIF(RESULTADOS_GRID!$B:$B,$A70,RESULTADOS_GRID!$Z:$Z)/(COUNTIFS(RESULTADOS_GRID!$B:$B,$A70,RESULTADOS_GRID!$Z:$Z,"&gt;=0")+COUNTIFS(RESULTADOS_GRID!$B:$B,$A70,RESULTADOS_GRID!$Z:$Z,"&lt;0"))))</f>
        <v/>
      </c>
      <c r="L70" s="51">
        <f>IF($A70="","",IF((COUNTIFS(RESULTADOS_GRID!$B:$B,$A70,RESULTADOS_GRID!$AA:$AA,"&gt;=0")+COUNTIFS(RESULTADOS_GRID!$B:$B,$A70,RESULTADOS_GRID!$AA:$AA,"&lt;0"))=0,"",SUMIF(RESULTADOS_GRID!$B:$B,$A70,RESULTADOS_GRID!$AA:$AA)/(COUNTIFS(RESULTADOS_GRID!$B:$B,$A70,RESULTADOS_GRID!$AA:$AA,"&gt;=0")+COUNTIFS(RESULTADOS_GRID!$B:$B,$A70,RESULTADOS_GRID!$AA:$AA,"&lt;0"))))</f>
        <v/>
      </c>
      <c r="M70" s="51">
        <f>IF($A70="","",IF((COUNTIFS(RESULTADOS_GRID!$B:$B,$A70,RESULTADOS_GRID!$AB:$AB,"&gt;=0")+COUNTIFS(RESULTADOS_GRID!$B:$B,$A70,RESULTADOS_GRID!$AB:$AB,"&lt;0"))=0,"",SUMIF(RESULTADOS_GRID!$B:$B,$A70,RESULTADOS_GRID!$AB:$AB)/(COUNTIFS(RESULTADOS_GRID!$B:$B,$A70,RESULTADOS_GRID!$AB:$AB,"&gt;=0")+COUNTIFS(RESULTADOS_GRID!$B:$B,$A70,RESULTADOS_GRID!$AB:$AB,"&lt;0"))))</f>
        <v/>
      </c>
      <c r="N70" s="49" t="n"/>
      <c r="O70" s="57">
        <f>IF($I70="","",COUNTIFS($I$2:$I$101,"&lt;"&amp;$I70)+1)</f>
        <v/>
      </c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9" t="n"/>
      <c r="Z70" s="49" t="n"/>
      <c r="AA70" s="49" t="n"/>
      <c r="AB70" s="49" t="n"/>
      <c r="AC70" s="49" t="n"/>
      <c r="AD70" s="49" t="n"/>
      <c r="AE70" s="49" t="n"/>
      <c r="AF70" s="49" t="n"/>
      <c r="AG70" s="49" t="n"/>
      <c r="AH70" s="49" t="n"/>
      <c r="AI70" s="49" t="n"/>
      <c r="AJ70" s="49" t="n"/>
      <c r="AK70" s="49" t="n"/>
    </row>
    <row r="71" ht="15" customHeight="1" s="27">
      <c r="A71" s="49" t="n"/>
      <c r="B71" s="57">
        <f>IF($A71="","",IFERROR(INDEX(RESULTADOS_GRID!$C:$C,MATCH($A71,RESULTADOS_GRID!$B:$B,0)),""))</f>
        <v/>
      </c>
      <c r="C71" s="57">
        <f>IF($A71="","",IFERROR(INDEX(RESULTADOS_GRID!$E:$E,MATCH($A71,RESULTADOS_GRID!$B:$B,0)),""))</f>
        <v/>
      </c>
      <c r="D71" s="57">
        <f>IF($A71="","",IFERROR(INDEX(RESULTADOS_GRID!$D:$D,MATCH($A71,RESULTADOS_GRID!$B:$B,0)),""))</f>
        <v/>
      </c>
      <c r="E71" s="57">
        <f>IF($A71="","",COUNTIF(RESULTADOS_GRID!$B:$B,$A71))</f>
        <v/>
      </c>
      <c r="F71" s="54">
        <f>IF($A71="","",SUMIF(RESULTADOS_GRID!$B:$B,$A71,RESULTADOS_GRID!$X:$X))</f>
        <v/>
      </c>
      <c r="G71" s="53" t="n"/>
      <c r="H71" s="58">
        <f>CONFIG_REFERENCIA!$E$7</f>
        <v/>
      </c>
      <c r="I71" s="54">
        <f>IF($A71="","",$F71+N($G71)*$H71)</f>
        <v/>
      </c>
      <c r="J71" s="54">
        <f>IF($A71="","",IF((COUNTIFS(RESULTADOS_GRID!$B:$B,$A71,RESULTADOS_GRID!$Y:$Y,"&gt;=0")+COUNTIFS(RESULTADOS_GRID!$B:$B,$A71,RESULTADOS_GRID!$Y:$Y,"&lt;0"))=0,"",SUMIF(RESULTADOS_GRID!$B:$B,$A71,RESULTADOS_GRID!$Y:$Y)/(COUNTIFS(RESULTADOS_GRID!$B:$B,$A71,RESULTADOS_GRID!$Y:$Y,"&gt;=0")+COUNTIFS(RESULTADOS_GRID!$B:$B,$A71,RESULTADOS_GRID!$Y:$Y,"&lt;0"))))</f>
        <v/>
      </c>
      <c r="K71" s="54">
        <f>IF($A71="","",IF((COUNTIFS(RESULTADOS_GRID!$B:$B,$A71,RESULTADOS_GRID!$Z:$Z,"&gt;=0")+COUNTIFS(RESULTADOS_GRID!$B:$B,$A71,RESULTADOS_GRID!$Z:$Z,"&lt;0"))=0,"",SUMIF(RESULTADOS_GRID!$B:$B,$A71,RESULTADOS_GRID!$Z:$Z)/(COUNTIFS(RESULTADOS_GRID!$B:$B,$A71,RESULTADOS_GRID!$Z:$Z,"&gt;=0")+COUNTIFS(RESULTADOS_GRID!$B:$B,$A71,RESULTADOS_GRID!$Z:$Z,"&lt;0"))))</f>
        <v/>
      </c>
      <c r="L71" s="51">
        <f>IF($A71="","",IF((COUNTIFS(RESULTADOS_GRID!$B:$B,$A71,RESULTADOS_GRID!$AA:$AA,"&gt;=0")+COUNTIFS(RESULTADOS_GRID!$B:$B,$A71,RESULTADOS_GRID!$AA:$AA,"&lt;0"))=0,"",SUMIF(RESULTADOS_GRID!$B:$B,$A71,RESULTADOS_GRID!$AA:$AA)/(COUNTIFS(RESULTADOS_GRID!$B:$B,$A71,RESULTADOS_GRID!$AA:$AA,"&gt;=0")+COUNTIFS(RESULTADOS_GRID!$B:$B,$A71,RESULTADOS_GRID!$AA:$AA,"&lt;0"))))</f>
        <v/>
      </c>
      <c r="M71" s="51">
        <f>IF($A71="","",IF((COUNTIFS(RESULTADOS_GRID!$B:$B,$A71,RESULTADOS_GRID!$AB:$AB,"&gt;=0")+COUNTIFS(RESULTADOS_GRID!$B:$B,$A71,RESULTADOS_GRID!$AB:$AB,"&lt;0"))=0,"",SUMIF(RESULTADOS_GRID!$B:$B,$A71,RESULTADOS_GRID!$AB:$AB)/(COUNTIFS(RESULTADOS_GRID!$B:$B,$A71,RESULTADOS_GRID!$AB:$AB,"&gt;=0")+COUNTIFS(RESULTADOS_GRID!$B:$B,$A71,RESULTADOS_GRID!$AB:$AB,"&lt;0"))))</f>
        <v/>
      </c>
      <c r="N71" s="49" t="n"/>
      <c r="O71" s="57">
        <f>IF($I71="","",COUNTIFS($I$2:$I$101,"&lt;"&amp;$I71)+1)</f>
        <v/>
      </c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9" t="n"/>
      <c r="Z71" s="49" t="n"/>
      <c r="AA71" s="49" t="n"/>
      <c r="AB71" s="49" t="n"/>
      <c r="AC71" s="49" t="n"/>
      <c r="AD71" s="49" t="n"/>
      <c r="AE71" s="49" t="n"/>
      <c r="AF71" s="49" t="n"/>
      <c r="AG71" s="49" t="n"/>
      <c r="AH71" s="49" t="n"/>
      <c r="AI71" s="49" t="n"/>
      <c r="AJ71" s="49" t="n"/>
      <c r="AK71" s="49" t="n"/>
    </row>
    <row r="72" ht="15" customHeight="1" s="27">
      <c r="A72" s="49" t="n"/>
      <c r="B72" s="57">
        <f>IF($A72="","",IFERROR(INDEX(RESULTADOS_GRID!$C:$C,MATCH($A72,RESULTADOS_GRID!$B:$B,0)),""))</f>
        <v/>
      </c>
      <c r="C72" s="57">
        <f>IF($A72="","",IFERROR(INDEX(RESULTADOS_GRID!$E:$E,MATCH($A72,RESULTADOS_GRID!$B:$B,0)),""))</f>
        <v/>
      </c>
      <c r="D72" s="57">
        <f>IF($A72="","",IFERROR(INDEX(RESULTADOS_GRID!$D:$D,MATCH($A72,RESULTADOS_GRID!$B:$B,0)),""))</f>
        <v/>
      </c>
      <c r="E72" s="57">
        <f>IF($A72="","",COUNTIF(RESULTADOS_GRID!$B:$B,$A72))</f>
        <v/>
      </c>
      <c r="F72" s="54">
        <f>IF($A72="","",SUMIF(RESULTADOS_GRID!$B:$B,$A72,RESULTADOS_GRID!$X:$X))</f>
        <v/>
      </c>
      <c r="G72" s="53" t="n"/>
      <c r="H72" s="58">
        <f>CONFIG_REFERENCIA!$E$7</f>
        <v/>
      </c>
      <c r="I72" s="54">
        <f>IF($A72="","",$F72+N($G72)*$H72)</f>
        <v/>
      </c>
      <c r="J72" s="54">
        <f>IF($A72="","",IF((COUNTIFS(RESULTADOS_GRID!$B:$B,$A72,RESULTADOS_GRID!$Y:$Y,"&gt;=0")+COUNTIFS(RESULTADOS_GRID!$B:$B,$A72,RESULTADOS_GRID!$Y:$Y,"&lt;0"))=0,"",SUMIF(RESULTADOS_GRID!$B:$B,$A72,RESULTADOS_GRID!$Y:$Y)/(COUNTIFS(RESULTADOS_GRID!$B:$B,$A72,RESULTADOS_GRID!$Y:$Y,"&gt;=0")+COUNTIFS(RESULTADOS_GRID!$B:$B,$A72,RESULTADOS_GRID!$Y:$Y,"&lt;0"))))</f>
        <v/>
      </c>
      <c r="K72" s="54">
        <f>IF($A72="","",IF((COUNTIFS(RESULTADOS_GRID!$B:$B,$A72,RESULTADOS_GRID!$Z:$Z,"&gt;=0")+COUNTIFS(RESULTADOS_GRID!$B:$B,$A72,RESULTADOS_GRID!$Z:$Z,"&lt;0"))=0,"",SUMIF(RESULTADOS_GRID!$B:$B,$A72,RESULTADOS_GRID!$Z:$Z)/(COUNTIFS(RESULTADOS_GRID!$B:$B,$A72,RESULTADOS_GRID!$Z:$Z,"&gt;=0")+COUNTIFS(RESULTADOS_GRID!$B:$B,$A72,RESULTADOS_GRID!$Z:$Z,"&lt;0"))))</f>
        <v/>
      </c>
      <c r="L72" s="51">
        <f>IF($A72="","",IF((COUNTIFS(RESULTADOS_GRID!$B:$B,$A72,RESULTADOS_GRID!$AA:$AA,"&gt;=0")+COUNTIFS(RESULTADOS_GRID!$B:$B,$A72,RESULTADOS_GRID!$AA:$AA,"&lt;0"))=0,"",SUMIF(RESULTADOS_GRID!$B:$B,$A72,RESULTADOS_GRID!$AA:$AA)/(COUNTIFS(RESULTADOS_GRID!$B:$B,$A72,RESULTADOS_GRID!$AA:$AA,"&gt;=0")+COUNTIFS(RESULTADOS_GRID!$B:$B,$A72,RESULTADOS_GRID!$AA:$AA,"&lt;0"))))</f>
        <v/>
      </c>
      <c r="M72" s="51">
        <f>IF($A72="","",IF((COUNTIFS(RESULTADOS_GRID!$B:$B,$A72,RESULTADOS_GRID!$AB:$AB,"&gt;=0")+COUNTIFS(RESULTADOS_GRID!$B:$B,$A72,RESULTADOS_GRID!$AB:$AB,"&lt;0"))=0,"",SUMIF(RESULTADOS_GRID!$B:$B,$A72,RESULTADOS_GRID!$AB:$AB)/(COUNTIFS(RESULTADOS_GRID!$B:$B,$A72,RESULTADOS_GRID!$AB:$AB,"&gt;=0")+COUNTIFS(RESULTADOS_GRID!$B:$B,$A72,RESULTADOS_GRID!$AB:$AB,"&lt;0"))))</f>
        <v/>
      </c>
      <c r="N72" s="49" t="n"/>
      <c r="O72" s="57">
        <f>IF($I72="","",COUNTIFS($I$2:$I$101,"&lt;"&amp;$I72)+1)</f>
        <v/>
      </c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9" t="n"/>
      <c r="Z72" s="49" t="n"/>
      <c r="AA72" s="49" t="n"/>
      <c r="AB72" s="49" t="n"/>
      <c r="AC72" s="49" t="n"/>
      <c r="AD72" s="49" t="n"/>
      <c r="AE72" s="49" t="n"/>
      <c r="AF72" s="49" t="n"/>
      <c r="AG72" s="49" t="n"/>
      <c r="AH72" s="49" t="n"/>
      <c r="AI72" s="49" t="n"/>
      <c r="AJ72" s="49" t="n"/>
      <c r="AK72" s="49" t="n"/>
    </row>
    <row r="73" ht="15" customHeight="1" s="27">
      <c r="A73" s="49" t="n"/>
      <c r="B73" s="57">
        <f>IF($A73="","",IFERROR(INDEX(RESULTADOS_GRID!$C:$C,MATCH($A73,RESULTADOS_GRID!$B:$B,0)),""))</f>
        <v/>
      </c>
      <c r="C73" s="57">
        <f>IF($A73="","",IFERROR(INDEX(RESULTADOS_GRID!$E:$E,MATCH($A73,RESULTADOS_GRID!$B:$B,0)),""))</f>
        <v/>
      </c>
      <c r="D73" s="57">
        <f>IF($A73="","",IFERROR(INDEX(RESULTADOS_GRID!$D:$D,MATCH($A73,RESULTADOS_GRID!$B:$B,0)),""))</f>
        <v/>
      </c>
      <c r="E73" s="57">
        <f>IF($A73="","",COUNTIF(RESULTADOS_GRID!$B:$B,$A73))</f>
        <v/>
      </c>
      <c r="F73" s="54">
        <f>IF($A73="","",SUMIF(RESULTADOS_GRID!$B:$B,$A73,RESULTADOS_GRID!$X:$X))</f>
        <v/>
      </c>
      <c r="G73" s="53" t="n"/>
      <c r="H73" s="58">
        <f>CONFIG_REFERENCIA!$E$7</f>
        <v/>
      </c>
      <c r="I73" s="54">
        <f>IF($A73="","",$F73+N($G73)*$H73)</f>
        <v/>
      </c>
      <c r="J73" s="54">
        <f>IF($A73="","",IF((COUNTIFS(RESULTADOS_GRID!$B:$B,$A73,RESULTADOS_GRID!$Y:$Y,"&gt;=0")+COUNTIFS(RESULTADOS_GRID!$B:$B,$A73,RESULTADOS_GRID!$Y:$Y,"&lt;0"))=0,"",SUMIF(RESULTADOS_GRID!$B:$B,$A73,RESULTADOS_GRID!$Y:$Y)/(COUNTIFS(RESULTADOS_GRID!$B:$B,$A73,RESULTADOS_GRID!$Y:$Y,"&gt;=0")+COUNTIFS(RESULTADOS_GRID!$B:$B,$A73,RESULTADOS_GRID!$Y:$Y,"&lt;0"))))</f>
        <v/>
      </c>
      <c r="K73" s="54">
        <f>IF($A73="","",IF((COUNTIFS(RESULTADOS_GRID!$B:$B,$A73,RESULTADOS_GRID!$Z:$Z,"&gt;=0")+COUNTIFS(RESULTADOS_GRID!$B:$B,$A73,RESULTADOS_GRID!$Z:$Z,"&lt;0"))=0,"",SUMIF(RESULTADOS_GRID!$B:$B,$A73,RESULTADOS_GRID!$Z:$Z)/(COUNTIFS(RESULTADOS_GRID!$B:$B,$A73,RESULTADOS_GRID!$Z:$Z,"&gt;=0")+COUNTIFS(RESULTADOS_GRID!$B:$B,$A73,RESULTADOS_GRID!$Z:$Z,"&lt;0"))))</f>
        <v/>
      </c>
      <c r="L73" s="51">
        <f>IF($A73="","",IF((COUNTIFS(RESULTADOS_GRID!$B:$B,$A73,RESULTADOS_GRID!$AA:$AA,"&gt;=0")+COUNTIFS(RESULTADOS_GRID!$B:$B,$A73,RESULTADOS_GRID!$AA:$AA,"&lt;0"))=0,"",SUMIF(RESULTADOS_GRID!$B:$B,$A73,RESULTADOS_GRID!$AA:$AA)/(COUNTIFS(RESULTADOS_GRID!$B:$B,$A73,RESULTADOS_GRID!$AA:$AA,"&gt;=0")+COUNTIFS(RESULTADOS_GRID!$B:$B,$A73,RESULTADOS_GRID!$AA:$AA,"&lt;0"))))</f>
        <v/>
      </c>
      <c r="M73" s="51">
        <f>IF($A73="","",IF((COUNTIFS(RESULTADOS_GRID!$B:$B,$A73,RESULTADOS_GRID!$AB:$AB,"&gt;=0")+COUNTIFS(RESULTADOS_GRID!$B:$B,$A73,RESULTADOS_GRID!$AB:$AB,"&lt;0"))=0,"",SUMIF(RESULTADOS_GRID!$B:$B,$A73,RESULTADOS_GRID!$AB:$AB)/(COUNTIFS(RESULTADOS_GRID!$B:$B,$A73,RESULTADOS_GRID!$AB:$AB,"&gt;=0")+COUNTIFS(RESULTADOS_GRID!$B:$B,$A73,RESULTADOS_GRID!$AB:$AB,"&lt;0"))))</f>
        <v/>
      </c>
      <c r="N73" s="49" t="n"/>
      <c r="O73" s="57">
        <f>IF($I73="","",COUNTIFS($I$2:$I$101,"&lt;"&amp;$I73)+1)</f>
        <v/>
      </c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9" t="n"/>
      <c r="Z73" s="49" t="n"/>
      <c r="AA73" s="49" t="n"/>
      <c r="AB73" s="49" t="n"/>
      <c r="AC73" s="49" t="n"/>
      <c r="AD73" s="49" t="n"/>
      <c r="AE73" s="49" t="n"/>
      <c r="AF73" s="49" t="n"/>
      <c r="AG73" s="49" t="n"/>
      <c r="AH73" s="49" t="n"/>
      <c r="AI73" s="49" t="n"/>
      <c r="AJ73" s="49" t="n"/>
      <c r="AK73" s="49" t="n"/>
    </row>
    <row r="74" ht="15" customHeight="1" s="27">
      <c r="A74" s="49" t="n"/>
      <c r="B74" s="57">
        <f>IF($A74="","",IFERROR(INDEX(RESULTADOS_GRID!$C:$C,MATCH($A74,RESULTADOS_GRID!$B:$B,0)),""))</f>
        <v/>
      </c>
      <c r="C74" s="57">
        <f>IF($A74="","",IFERROR(INDEX(RESULTADOS_GRID!$E:$E,MATCH($A74,RESULTADOS_GRID!$B:$B,0)),""))</f>
        <v/>
      </c>
      <c r="D74" s="57">
        <f>IF($A74="","",IFERROR(INDEX(RESULTADOS_GRID!$D:$D,MATCH($A74,RESULTADOS_GRID!$B:$B,0)),""))</f>
        <v/>
      </c>
      <c r="E74" s="57">
        <f>IF($A74="","",COUNTIF(RESULTADOS_GRID!$B:$B,$A74))</f>
        <v/>
      </c>
      <c r="F74" s="54">
        <f>IF($A74="","",SUMIF(RESULTADOS_GRID!$B:$B,$A74,RESULTADOS_GRID!$X:$X))</f>
        <v/>
      </c>
      <c r="G74" s="53" t="n"/>
      <c r="H74" s="58">
        <f>CONFIG_REFERENCIA!$E$7</f>
        <v/>
      </c>
      <c r="I74" s="54">
        <f>IF($A74="","",$F74+N($G74)*$H74)</f>
        <v/>
      </c>
      <c r="J74" s="54">
        <f>IF($A74="","",IF((COUNTIFS(RESULTADOS_GRID!$B:$B,$A74,RESULTADOS_GRID!$Y:$Y,"&gt;=0")+COUNTIFS(RESULTADOS_GRID!$B:$B,$A74,RESULTADOS_GRID!$Y:$Y,"&lt;0"))=0,"",SUMIF(RESULTADOS_GRID!$B:$B,$A74,RESULTADOS_GRID!$Y:$Y)/(COUNTIFS(RESULTADOS_GRID!$B:$B,$A74,RESULTADOS_GRID!$Y:$Y,"&gt;=0")+COUNTIFS(RESULTADOS_GRID!$B:$B,$A74,RESULTADOS_GRID!$Y:$Y,"&lt;0"))))</f>
        <v/>
      </c>
      <c r="K74" s="54">
        <f>IF($A74="","",IF((COUNTIFS(RESULTADOS_GRID!$B:$B,$A74,RESULTADOS_GRID!$Z:$Z,"&gt;=0")+COUNTIFS(RESULTADOS_GRID!$B:$B,$A74,RESULTADOS_GRID!$Z:$Z,"&lt;0"))=0,"",SUMIF(RESULTADOS_GRID!$B:$B,$A74,RESULTADOS_GRID!$Z:$Z)/(COUNTIFS(RESULTADOS_GRID!$B:$B,$A74,RESULTADOS_GRID!$Z:$Z,"&gt;=0")+COUNTIFS(RESULTADOS_GRID!$B:$B,$A74,RESULTADOS_GRID!$Z:$Z,"&lt;0"))))</f>
        <v/>
      </c>
      <c r="L74" s="51">
        <f>IF($A74="","",IF((COUNTIFS(RESULTADOS_GRID!$B:$B,$A74,RESULTADOS_GRID!$AA:$AA,"&gt;=0")+COUNTIFS(RESULTADOS_GRID!$B:$B,$A74,RESULTADOS_GRID!$AA:$AA,"&lt;0"))=0,"",SUMIF(RESULTADOS_GRID!$B:$B,$A74,RESULTADOS_GRID!$AA:$AA)/(COUNTIFS(RESULTADOS_GRID!$B:$B,$A74,RESULTADOS_GRID!$AA:$AA,"&gt;=0")+COUNTIFS(RESULTADOS_GRID!$B:$B,$A74,RESULTADOS_GRID!$AA:$AA,"&lt;0"))))</f>
        <v/>
      </c>
      <c r="M74" s="51">
        <f>IF($A74="","",IF((COUNTIFS(RESULTADOS_GRID!$B:$B,$A74,RESULTADOS_GRID!$AB:$AB,"&gt;=0")+COUNTIFS(RESULTADOS_GRID!$B:$B,$A74,RESULTADOS_GRID!$AB:$AB,"&lt;0"))=0,"",SUMIF(RESULTADOS_GRID!$B:$B,$A74,RESULTADOS_GRID!$AB:$AB)/(COUNTIFS(RESULTADOS_GRID!$B:$B,$A74,RESULTADOS_GRID!$AB:$AB,"&gt;=0")+COUNTIFS(RESULTADOS_GRID!$B:$B,$A74,RESULTADOS_GRID!$AB:$AB,"&lt;0"))))</f>
        <v/>
      </c>
      <c r="N74" s="49" t="n"/>
      <c r="O74" s="57">
        <f>IF($I74="","",COUNTIFS($I$2:$I$101,"&lt;"&amp;$I74)+1)</f>
        <v/>
      </c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9" t="n"/>
      <c r="Z74" s="49" t="n"/>
      <c r="AA74" s="49" t="n"/>
      <c r="AB74" s="49" t="n"/>
      <c r="AC74" s="49" t="n"/>
      <c r="AD74" s="49" t="n"/>
      <c r="AE74" s="49" t="n"/>
      <c r="AF74" s="49" t="n"/>
      <c r="AG74" s="49" t="n"/>
      <c r="AH74" s="49" t="n"/>
      <c r="AI74" s="49" t="n"/>
      <c r="AJ74" s="49" t="n"/>
      <c r="AK74" s="49" t="n"/>
    </row>
    <row r="75" ht="15" customHeight="1" s="27">
      <c r="A75" s="49" t="n"/>
      <c r="B75" s="57">
        <f>IF($A75="","",IFERROR(INDEX(RESULTADOS_GRID!$C:$C,MATCH($A75,RESULTADOS_GRID!$B:$B,0)),""))</f>
        <v/>
      </c>
      <c r="C75" s="57">
        <f>IF($A75="","",IFERROR(INDEX(RESULTADOS_GRID!$E:$E,MATCH($A75,RESULTADOS_GRID!$B:$B,0)),""))</f>
        <v/>
      </c>
      <c r="D75" s="57">
        <f>IF($A75="","",IFERROR(INDEX(RESULTADOS_GRID!$D:$D,MATCH($A75,RESULTADOS_GRID!$B:$B,0)),""))</f>
        <v/>
      </c>
      <c r="E75" s="57">
        <f>IF($A75="","",COUNTIF(RESULTADOS_GRID!$B:$B,$A75))</f>
        <v/>
      </c>
      <c r="F75" s="54">
        <f>IF($A75="","",SUMIF(RESULTADOS_GRID!$B:$B,$A75,RESULTADOS_GRID!$X:$X))</f>
        <v/>
      </c>
      <c r="G75" s="53" t="n"/>
      <c r="H75" s="58">
        <f>CONFIG_REFERENCIA!$E$7</f>
        <v/>
      </c>
      <c r="I75" s="54">
        <f>IF($A75="","",$F75+N($G75)*$H75)</f>
        <v/>
      </c>
      <c r="J75" s="54">
        <f>IF($A75="","",IF((COUNTIFS(RESULTADOS_GRID!$B:$B,$A75,RESULTADOS_GRID!$Y:$Y,"&gt;=0")+COUNTIFS(RESULTADOS_GRID!$B:$B,$A75,RESULTADOS_GRID!$Y:$Y,"&lt;0"))=0,"",SUMIF(RESULTADOS_GRID!$B:$B,$A75,RESULTADOS_GRID!$Y:$Y)/(COUNTIFS(RESULTADOS_GRID!$B:$B,$A75,RESULTADOS_GRID!$Y:$Y,"&gt;=0")+COUNTIFS(RESULTADOS_GRID!$B:$B,$A75,RESULTADOS_GRID!$Y:$Y,"&lt;0"))))</f>
        <v/>
      </c>
      <c r="K75" s="54">
        <f>IF($A75="","",IF((COUNTIFS(RESULTADOS_GRID!$B:$B,$A75,RESULTADOS_GRID!$Z:$Z,"&gt;=0")+COUNTIFS(RESULTADOS_GRID!$B:$B,$A75,RESULTADOS_GRID!$Z:$Z,"&lt;0"))=0,"",SUMIF(RESULTADOS_GRID!$B:$B,$A75,RESULTADOS_GRID!$Z:$Z)/(COUNTIFS(RESULTADOS_GRID!$B:$B,$A75,RESULTADOS_GRID!$Z:$Z,"&gt;=0")+COUNTIFS(RESULTADOS_GRID!$B:$B,$A75,RESULTADOS_GRID!$Z:$Z,"&lt;0"))))</f>
        <v/>
      </c>
      <c r="L75" s="51">
        <f>IF($A75="","",IF((COUNTIFS(RESULTADOS_GRID!$B:$B,$A75,RESULTADOS_GRID!$AA:$AA,"&gt;=0")+COUNTIFS(RESULTADOS_GRID!$B:$B,$A75,RESULTADOS_GRID!$AA:$AA,"&lt;0"))=0,"",SUMIF(RESULTADOS_GRID!$B:$B,$A75,RESULTADOS_GRID!$AA:$AA)/(COUNTIFS(RESULTADOS_GRID!$B:$B,$A75,RESULTADOS_GRID!$AA:$AA,"&gt;=0")+COUNTIFS(RESULTADOS_GRID!$B:$B,$A75,RESULTADOS_GRID!$AA:$AA,"&lt;0"))))</f>
        <v/>
      </c>
      <c r="M75" s="51">
        <f>IF($A75="","",IF((COUNTIFS(RESULTADOS_GRID!$B:$B,$A75,RESULTADOS_GRID!$AB:$AB,"&gt;=0")+COUNTIFS(RESULTADOS_GRID!$B:$B,$A75,RESULTADOS_GRID!$AB:$AB,"&lt;0"))=0,"",SUMIF(RESULTADOS_GRID!$B:$B,$A75,RESULTADOS_GRID!$AB:$AB)/(COUNTIFS(RESULTADOS_GRID!$B:$B,$A75,RESULTADOS_GRID!$AB:$AB,"&gt;=0")+COUNTIFS(RESULTADOS_GRID!$B:$B,$A75,RESULTADOS_GRID!$AB:$AB,"&lt;0"))))</f>
        <v/>
      </c>
      <c r="N75" s="49" t="n"/>
      <c r="O75" s="57">
        <f>IF($I75="","",COUNTIFS($I$2:$I$101,"&lt;"&amp;$I75)+1)</f>
        <v/>
      </c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9" t="n"/>
      <c r="Z75" s="49" t="n"/>
      <c r="AA75" s="49" t="n"/>
      <c r="AB75" s="49" t="n"/>
      <c r="AC75" s="49" t="n"/>
      <c r="AD75" s="49" t="n"/>
      <c r="AE75" s="49" t="n"/>
      <c r="AF75" s="49" t="n"/>
      <c r="AG75" s="49" t="n"/>
      <c r="AH75" s="49" t="n"/>
      <c r="AI75" s="49" t="n"/>
      <c r="AJ75" s="49" t="n"/>
      <c r="AK75" s="49" t="n"/>
    </row>
    <row r="76" ht="15" customHeight="1" s="27">
      <c r="A76" s="49" t="n"/>
      <c r="B76" s="57">
        <f>IF($A76="","",IFERROR(INDEX(RESULTADOS_GRID!$C:$C,MATCH($A76,RESULTADOS_GRID!$B:$B,0)),""))</f>
        <v/>
      </c>
      <c r="C76" s="57">
        <f>IF($A76="","",IFERROR(INDEX(RESULTADOS_GRID!$E:$E,MATCH($A76,RESULTADOS_GRID!$B:$B,0)),""))</f>
        <v/>
      </c>
      <c r="D76" s="57">
        <f>IF($A76="","",IFERROR(INDEX(RESULTADOS_GRID!$D:$D,MATCH($A76,RESULTADOS_GRID!$B:$B,0)),""))</f>
        <v/>
      </c>
      <c r="E76" s="57">
        <f>IF($A76="","",COUNTIF(RESULTADOS_GRID!$B:$B,$A76))</f>
        <v/>
      </c>
      <c r="F76" s="54">
        <f>IF($A76="","",SUMIF(RESULTADOS_GRID!$B:$B,$A76,RESULTADOS_GRID!$X:$X))</f>
        <v/>
      </c>
      <c r="G76" s="53" t="n"/>
      <c r="H76" s="58">
        <f>CONFIG_REFERENCIA!$E$7</f>
        <v/>
      </c>
      <c r="I76" s="54">
        <f>IF($A76="","",$F76+N($G76)*$H76)</f>
        <v/>
      </c>
      <c r="J76" s="54">
        <f>IF($A76="","",IF((COUNTIFS(RESULTADOS_GRID!$B:$B,$A76,RESULTADOS_GRID!$Y:$Y,"&gt;=0")+COUNTIFS(RESULTADOS_GRID!$B:$B,$A76,RESULTADOS_GRID!$Y:$Y,"&lt;0"))=0,"",SUMIF(RESULTADOS_GRID!$B:$B,$A76,RESULTADOS_GRID!$Y:$Y)/(COUNTIFS(RESULTADOS_GRID!$B:$B,$A76,RESULTADOS_GRID!$Y:$Y,"&gt;=0")+COUNTIFS(RESULTADOS_GRID!$B:$B,$A76,RESULTADOS_GRID!$Y:$Y,"&lt;0"))))</f>
        <v/>
      </c>
      <c r="K76" s="54">
        <f>IF($A76="","",IF((COUNTIFS(RESULTADOS_GRID!$B:$B,$A76,RESULTADOS_GRID!$Z:$Z,"&gt;=0")+COUNTIFS(RESULTADOS_GRID!$B:$B,$A76,RESULTADOS_GRID!$Z:$Z,"&lt;0"))=0,"",SUMIF(RESULTADOS_GRID!$B:$B,$A76,RESULTADOS_GRID!$Z:$Z)/(COUNTIFS(RESULTADOS_GRID!$B:$B,$A76,RESULTADOS_GRID!$Z:$Z,"&gt;=0")+COUNTIFS(RESULTADOS_GRID!$B:$B,$A76,RESULTADOS_GRID!$Z:$Z,"&lt;0"))))</f>
        <v/>
      </c>
      <c r="L76" s="51">
        <f>IF($A76="","",IF((COUNTIFS(RESULTADOS_GRID!$B:$B,$A76,RESULTADOS_GRID!$AA:$AA,"&gt;=0")+COUNTIFS(RESULTADOS_GRID!$B:$B,$A76,RESULTADOS_GRID!$AA:$AA,"&lt;0"))=0,"",SUMIF(RESULTADOS_GRID!$B:$B,$A76,RESULTADOS_GRID!$AA:$AA)/(COUNTIFS(RESULTADOS_GRID!$B:$B,$A76,RESULTADOS_GRID!$AA:$AA,"&gt;=0")+COUNTIFS(RESULTADOS_GRID!$B:$B,$A76,RESULTADOS_GRID!$AA:$AA,"&lt;0"))))</f>
        <v/>
      </c>
      <c r="M76" s="51">
        <f>IF($A76="","",IF((COUNTIFS(RESULTADOS_GRID!$B:$B,$A76,RESULTADOS_GRID!$AB:$AB,"&gt;=0")+COUNTIFS(RESULTADOS_GRID!$B:$B,$A76,RESULTADOS_GRID!$AB:$AB,"&lt;0"))=0,"",SUMIF(RESULTADOS_GRID!$B:$B,$A76,RESULTADOS_GRID!$AB:$AB)/(COUNTIFS(RESULTADOS_GRID!$B:$B,$A76,RESULTADOS_GRID!$AB:$AB,"&gt;=0")+COUNTIFS(RESULTADOS_GRID!$B:$B,$A76,RESULTADOS_GRID!$AB:$AB,"&lt;0"))))</f>
        <v/>
      </c>
      <c r="N76" s="49" t="n"/>
      <c r="O76" s="57">
        <f>IF($I76="","",COUNTIFS($I$2:$I$101,"&lt;"&amp;$I76)+1)</f>
        <v/>
      </c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9" t="n"/>
      <c r="Z76" s="49" t="n"/>
      <c r="AA76" s="49" t="n"/>
      <c r="AB76" s="49" t="n"/>
      <c r="AC76" s="49" t="n"/>
      <c r="AD76" s="49" t="n"/>
      <c r="AE76" s="49" t="n"/>
      <c r="AF76" s="49" t="n"/>
      <c r="AG76" s="49" t="n"/>
      <c r="AH76" s="49" t="n"/>
      <c r="AI76" s="49" t="n"/>
      <c r="AJ76" s="49" t="n"/>
      <c r="AK76" s="49" t="n"/>
    </row>
    <row r="77" ht="15" customHeight="1" s="27">
      <c r="A77" s="49" t="n"/>
      <c r="B77" s="57">
        <f>IF($A77="","",IFERROR(INDEX(RESULTADOS_GRID!$C:$C,MATCH($A77,RESULTADOS_GRID!$B:$B,0)),""))</f>
        <v/>
      </c>
      <c r="C77" s="57">
        <f>IF($A77="","",IFERROR(INDEX(RESULTADOS_GRID!$E:$E,MATCH($A77,RESULTADOS_GRID!$B:$B,0)),""))</f>
        <v/>
      </c>
      <c r="D77" s="57">
        <f>IF($A77="","",IFERROR(INDEX(RESULTADOS_GRID!$D:$D,MATCH($A77,RESULTADOS_GRID!$B:$B,0)),""))</f>
        <v/>
      </c>
      <c r="E77" s="57">
        <f>IF($A77="","",COUNTIF(RESULTADOS_GRID!$B:$B,$A77))</f>
        <v/>
      </c>
      <c r="F77" s="54">
        <f>IF($A77="","",SUMIF(RESULTADOS_GRID!$B:$B,$A77,RESULTADOS_GRID!$X:$X))</f>
        <v/>
      </c>
      <c r="G77" s="53" t="n"/>
      <c r="H77" s="58">
        <f>CONFIG_REFERENCIA!$E$7</f>
        <v/>
      </c>
      <c r="I77" s="54">
        <f>IF($A77="","",$F77+N($G77)*$H77)</f>
        <v/>
      </c>
      <c r="J77" s="54">
        <f>IF($A77="","",IF((COUNTIFS(RESULTADOS_GRID!$B:$B,$A77,RESULTADOS_GRID!$Y:$Y,"&gt;=0")+COUNTIFS(RESULTADOS_GRID!$B:$B,$A77,RESULTADOS_GRID!$Y:$Y,"&lt;0"))=0,"",SUMIF(RESULTADOS_GRID!$B:$B,$A77,RESULTADOS_GRID!$Y:$Y)/(COUNTIFS(RESULTADOS_GRID!$B:$B,$A77,RESULTADOS_GRID!$Y:$Y,"&gt;=0")+COUNTIFS(RESULTADOS_GRID!$B:$B,$A77,RESULTADOS_GRID!$Y:$Y,"&lt;0"))))</f>
        <v/>
      </c>
      <c r="K77" s="54">
        <f>IF($A77="","",IF((COUNTIFS(RESULTADOS_GRID!$B:$B,$A77,RESULTADOS_GRID!$Z:$Z,"&gt;=0")+COUNTIFS(RESULTADOS_GRID!$B:$B,$A77,RESULTADOS_GRID!$Z:$Z,"&lt;0"))=0,"",SUMIF(RESULTADOS_GRID!$B:$B,$A77,RESULTADOS_GRID!$Z:$Z)/(COUNTIFS(RESULTADOS_GRID!$B:$B,$A77,RESULTADOS_GRID!$Z:$Z,"&gt;=0")+COUNTIFS(RESULTADOS_GRID!$B:$B,$A77,RESULTADOS_GRID!$Z:$Z,"&lt;0"))))</f>
        <v/>
      </c>
      <c r="L77" s="51">
        <f>IF($A77="","",IF((COUNTIFS(RESULTADOS_GRID!$B:$B,$A77,RESULTADOS_GRID!$AA:$AA,"&gt;=0")+COUNTIFS(RESULTADOS_GRID!$B:$B,$A77,RESULTADOS_GRID!$AA:$AA,"&lt;0"))=0,"",SUMIF(RESULTADOS_GRID!$B:$B,$A77,RESULTADOS_GRID!$AA:$AA)/(COUNTIFS(RESULTADOS_GRID!$B:$B,$A77,RESULTADOS_GRID!$AA:$AA,"&gt;=0")+COUNTIFS(RESULTADOS_GRID!$B:$B,$A77,RESULTADOS_GRID!$AA:$AA,"&lt;0"))))</f>
        <v/>
      </c>
      <c r="M77" s="51">
        <f>IF($A77="","",IF((COUNTIFS(RESULTADOS_GRID!$B:$B,$A77,RESULTADOS_GRID!$AB:$AB,"&gt;=0")+COUNTIFS(RESULTADOS_GRID!$B:$B,$A77,RESULTADOS_GRID!$AB:$AB,"&lt;0"))=0,"",SUMIF(RESULTADOS_GRID!$B:$B,$A77,RESULTADOS_GRID!$AB:$AB)/(COUNTIFS(RESULTADOS_GRID!$B:$B,$A77,RESULTADOS_GRID!$AB:$AB,"&gt;=0")+COUNTIFS(RESULTADOS_GRID!$B:$B,$A77,RESULTADOS_GRID!$AB:$AB,"&lt;0"))))</f>
        <v/>
      </c>
      <c r="N77" s="49" t="n"/>
      <c r="O77" s="57">
        <f>IF($I77="","",COUNTIFS($I$2:$I$101,"&lt;"&amp;$I77)+1)</f>
        <v/>
      </c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9" t="n"/>
      <c r="Z77" s="49" t="n"/>
      <c r="AA77" s="49" t="n"/>
      <c r="AB77" s="49" t="n"/>
      <c r="AC77" s="49" t="n"/>
      <c r="AD77" s="49" t="n"/>
      <c r="AE77" s="49" t="n"/>
      <c r="AF77" s="49" t="n"/>
      <c r="AG77" s="49" t="n"/>
      <c r="AH77" s="49" t="n"/>
      <c r="AI77" s="49" t="n"/>
      <c r="AJ77" s="49" t="n"/>
      <c r="AK77" s="49" t="n"/>
    </row>
    <row r="78" ht="15" customHeight="1" s="27">
      <c r="A78" s="49" t="n"/>
      <c r="B78" s="57">
        <f>IF($A78="","",IFERROR(INDEX(RESULTADOS_GRID!$C:$C,MATCH($A78,RESULTADOS_GRID!$B:$B,0)),""))</f>
        <v/>
      </c>
      <c r="C78" s="57">
        <f>IF($A78="","",IFERROR(INDEX(RESULTADOS_GRID!$E:$E,MATCH($A78,RESULTADOS_GRID!$B:$B,0)),""))</f>
        <v/>
      </c>
      <c r="D78" s="57">
        <f>IF($A78="","",IFERROR(INDEX(RESULTADOS_GRID!$D:$D,MATCH($A78,RESULTADOS_GRID!$B:$B,0)),""))</f>
        <v/>
      </c>
      <c r="E78" s="57">
        <f>IF($A78="","",COUNTIF(RESULTADOS_GRID!$B:$B,$A78))</f>
        <v/>
      </c>
      <c r="F78" s="54">
        <f>IF($A78="","",SUMIF(RESULTADOS_GRID!$B:$B,$A78,RESULTADOS_GRID!$X:$X))</f>
        <v/>
      </c>
      <c r="G78" s="53" t="n"/>
      <c r="H78" s="58">
        <f>CONFIG_REFERENCIA!$E$7</f>
        <v/>
      </c>
      <c r="I78" s="54">
        <f>IF($A78="","",$F78+N($G78)*$H78)</f>
        <v/>
      </c>
      <c r="J78" s="54">
        <f>IF($A78="","",IF((COUNTIFS(RESULTADOS_GRID!$B:$B,$A78,RESULTADOS_GRID!$Y:$Y,"&gt;=0")+COUNTIFS(RESULTADOS_GRID!$B:$B,$A78,RESULTADOS_GRID!$Y:$Y,"&lt;0"))=0,"",SUMIF(RESULTADOS_GRID!$B:$B,$A78,RESULTADOS_GRID!$Y:$Y)/(COUNTIFS(RESULTADOS_GRID!$B:$B,$A78,RESULTADOS_GRID!$Y:$Y,"&gt;=0")+COUNTIFS(RESULTADOS_GRID!$B:$B,$A78,RESULTADOS_GRID!$Y:$Y,"&lt;0"))))</f>
        <v/>
      </c>
      <c r="K78" s="54">
        <f>IF($A78="","",IF((COUNTIFS(RESULTADOS_GRID!$B:$B,$A78,RESULTADOS_GRID!$Z:$Z,"&gt;=0")+COUNTIFS(RESULTADOS_GRID!$B:$B,$A78,RESULTADOS_GRID!$Z:$Z,"&lt;0"))=0,"",SUMIF(RESULTADOS_GRID!$B:$B,$A78,RESULTADOS_GRID!$Z:$Z)/(COUNTIFS(RESULTADOS_GRID!$B:$B,$A78,RESULTADOS_GRID!$Z:$Z,"&gt;=0")+COUNTIFS(RESULTADOS_GRID!$B:$B,$A78,RESULTADOS_GRID!$Z:$Z,"&lt;0"))))</f>
        <v/>
      </c>
      <c r="L78" s="51">
        <f>IF($A78="","",IF((COUNTIFS(RESULTADOS_GRID!$B:$B,$A78,RESULTADOS_GRID!$AA:$AA,"&gt;=0")+COUNTIFS(RESULTADOS_GRID!$B:$B,$A78,RESULTADOS_GRID!$AA:$AA,"&lt;0"))=0,"",SUMIF(RESULTADOS_GRID!$B:$B,$A78,RESULTADOS_GRID!$AA:$AA)/(COUNTIFS(RESULTADOS_GRID!$B:$B,$A78,RESULTADOS_GRID!$AA:$AA,"&gt;=0")+COUNTIFS(RESULTADOS_GRID!$B:$B,$A78,RESULTADOS_GRID!$AA:$AA,"&lt;0"))))</f>
        <v/>
      </c>
      <c r="M78" s="51">
        <f>IF($A78="","",IF((COUNTIFS(RESULTADOS_GRID!$B:$B,$A78,RESULTADOS_GRID!$AB:$AB,"&gt;=0")+COUNTIFS(RESULTADOS_GRID!$B:$B,$A78,RESULTADOS_GRID!$AB:$AB,"&lt;0"))=0,"",SUMIF(RESULTADOS_GRID!$B:$B,$A78,RESULTADOS_GRID!$AB:$AB)/(COUNTIFS(RESULTADOS_GRID!$B:$B,$A78,RESULTADOS_GRID!$AB:$AB,"&gt;=0")+COUNTIFS(RESULTADOS_GRID!$B:$B,$A78,RESULTADOS_GRID!$AB:$AB,"&lt;0"))))</f>
        <v/>
      </c>
      <c r="N78" s="49" t="n"/>
      <c r="O78" s="57">
        <f>IF($I78="","",COUNTIFS($I$2:$I$101,"&lt;"&amp;$I78)+1)</f>
        <v/>
      </c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9" t="n"/>
      <c r="Z78" s="49" t="n"/>
      <c r="AA78" s="49" t="n"/>
      <c r="AB78" s="49" t="n"/>
      <c r="AC78" s="49" t="n"/>
      <c r="AD78" s="49" t="n"/>
      <c r="AE78" s="49" t="n"/>
      <c r="AF78" s="49" t="n"/>
      <c r="AG78" s="49" t="n"/>
      <c r="AH78" s="49" t="n"/>
      <c r="AI78" s="49" t="n"/>
      <c r="AJ78" s="49" t="n"/>
      <c r="AK78" s="49" t="n"/>
    </row>
    <row r="79" ht="15" customHeight="1" s="27">
      <c r="A79" s="49" t="n"/>
      <c r="B79" s="57">
        <f>IF($A79="","",IFERROR(INDEX(RESULTADOS_GRID!$C:$C,MATCH($A79,RESULTADOS_GRID!$B:$B,0)),""))</f>
        <v/>
      </c>
      <c r="C79" s="57">
        <f>IF($A79="","",IFERROR(INDEX(RESULTADOS_GRID!$E:$E,MATCH($A79,RESULTADOS_GRID!$B:$B,0)),""))</f>
        <v/>
      </c>
      <c r="D79" s="57">
        <f>IF($A79="","",IFERROR(INDEX(RESULTADOS_GRID!$D:$D,MATCH($A79,RESULTADOS_GRID!$B:$B,0)),""))</f>
        <v/>
      </c>
      <c r="E79" s="57">
        <f>IF($A79="","",COUNTIF(RESULTADOS_GRID!$B:$B,$A79))</f>
        <v/>
      </c>
      <c r="F79" s="54">
        <f>IF($A79="","",SUMIF(RESULTADOS_GRID!$B:$B,$A79,RESULTADOS_GRID!$X:$X))</f>
        <v/>
      </c>
      <c r="G79" s="53" t="n"/>
      <c r="H79" s="58">
        <f>CONFIG_REFERENCIA!$E$7</f>
        <v/>
      </c>
      <c r="I79" s="54">
        <f>IF($A79="","",$F79+N($G79)*$H79)</f>
        <v/>
      </c>
      <c r="J79" s="54">
        <f>IF($A79="","",IF((COUNTIFS(RESULTADOS_GRID!$B:$B,$A79,RESULTADOS_GRID!$Y:$Y,"&gt;=0")+COUNTIFS(RESULTADOS_GRID!$B:$B,$A79,RESULTADOS_GRID!$Y:$Y,"&lt;0"))=0,"",SUMIF(RESULTADOS_GRID!$B:$B,$A79,RESULTADOS_GRID!$Y:$Y)/(COUNTIFS(RESULTADOS_GRID!$B:$B,$A79,RESULTADOS_GRID!$Y:$Y,"&gt;=0")+COUNTIFS(RESULTADOS_GRID!$B:$B,$A79,RESULTADOS_GRID!$Y:$Y,"&lt;0"))))</f>
        <v/>
      </c>
      <c r="K79" s="54">
        <f>IF($A79="","",IF((COUNTIFS(RESULTADOS_GRID!$B:$B,$A79,RESULTADOS_GRID!$Z:$Z,"&gt;=0")+COUNTIFS(RESULTADOS_GRID!$B:$B,$A79,RESULTADOS_GRID!$Z:$Z,"&lt;0"))=0,"",SUMIF(RESULTADOS_GRID!$B:$B,$A79,RESULTADOS_GRID!$Z:$Z)/(COUNTIFS(RESULTADOS_GRID!$B:$B,$A79,RESULTADOS_GRID!$Z:$Z,"&gt;=0")+COUNTIFS(RESULTADOS_GRID!$B:$B,$A79,RESULTADOS_GRID!$Z:$Z,"&lt;0"))))</f>
        <v/>
      </c>
      <c r="L79" s="51">
        <f>IF($A79="","",IF((COUNTIFS(RESULTADOS_GRID!$B:$B,$A79,RESULTADOS_GRID!$AA:$AA,"&gt;=0")+COUNTIFS(RESULTADOS_GRID!$B:$B,$A79,RESULTADOS_GRID!$AA:$AA,"&lt;0"))=0,"",SUMIF(RESULTADOS_GRID!$B:$B,$A79,RESULTADOS_GRID!$AA:$AA)/(COUNTIFS(RESULTADOS_GRID!$B:$B,$A79,RESULTADOS_GRID!$AA:$AA,"&gt;=0")+COUNTIFS(RESULTADOS_GRID!$B:$B,$A79,RESULTADOS_GRID!$AA:$AA,"&lt;0"))))</f>
        <v/>
      </c>
      <c r="M79" s="51">
        <f>IF($A79="","",IF((COUNTIFS(RESULTADOS_GRID!$B:$B,$A79,RESULTADOS_GRID!$AB:$AB,"&gt;=0")+COUNTIFS(RESULTADOS_GRID!$B:$B,$A79,RESULTADOS_GRID!$AB:$AB,"&lt;0"))=0,"",SUMIF(RESULTADOS_GRID!$B:$B,$A79,RESULTADOS_GRID!$AB:$AB)/(COUNTIFS(RESULTADOS_GRID!$B:$B,$A79,RESULTADOS_GRID!$AB:$AB,"&gt;=0")+COUNTIFS(RESULTADOS_GRID!$B:$B,$A79,RESULTADOS_GRID!$AB:$AB,"&lt;0"))))</f>
        <v/>
      </c>
      <c r="N79" s="49" t="n"/>
      <c r="O79" s="57">
        <f>IF($I79="","",COUNTIFS($I$2:$I$101,"&lt;"&amp;$I79)+1)</f>
        <v/>
      </c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9" t="n"/>
      <c r="Z79" s="49" t="n"/>
      <c r="AA79" s="49" t="n"/>
      <c r="AB79" s="49" t="n"/>
      <c r="AC79" s="49" t="n"/>
      <c r="AD79" s="49" t="n"/>
      <c r="AE79" s="49" t="n"/>
      <c r="AF79" s="49" t="n"/>
      <c r="AG79" s="49" t="n"/>
      <c r="AH79" s="49" t="n"/>
      <c r="AI79" s="49" t="n"/>
      <c r="AJ79" s="49" t="n"/>
      <c r="AK79" s="49" t="n"/>
    </row>
    <row r="80" ht="15" customHeight="1" s="27">
      <c r="A80" s="49" t="n"/>
      <c r="B80" s="57">
        <f>IF($A80="","",IFERROR(INDEX(RESULTADOS_GRID!$C:$C,MATCH($A80,RESULTADOS_GRID!$B:$B,0)),""))</f>
        <v/>
      </c>
      <c r="C80" s="57">
        <f>IF($A80="","",IFERROR(INDEX(RESULTADOS_GRID!$E:$E,MATCH($A80,RESULTADOS_GRID!$B:$B,0)),""))</f>
        <v/>
      </c>
      <c r="D80" s="57">
        <f>IF($A80="","",IFERROR(INDEX(RESULTADOS_GRID!$D:$D,MATCH($A80,RESULTADOS_GRID!$B:$B,0)),""))</f>
        <v/>
      </c>
      <c r="E80" s="57">
        <f>IF($A80="","",COUNTIF(RESULTADOS_GRID!$B:$B,$A80))</f>
        <v/>
      </c>
      <c r="F80" s="54">
        <f>IF($A80="","",SUMIF(RESULTADOS_GRID!$B:$B,$A80,RESULTADOS_GRID!$X:$X))</f>
        <v/>
      </c>
      <c r="G80" s="53" t="n"/>
      <c r="H80" s="58">
        <f>CONFIG_REFERENCIA!$E$7</f>
        <v/>
      </c>
      <c r="I80" s="54">
        <f>IF($A80="","",$F80+N($G80)*$H80)</f>
        <v/>
      </c>
      <c r="J80" s="54">
        <f>IF($A80="","",IF((COUNTIFS(RESULTADOS_GRID!$B:$B,$A80,RESULTADOS_GRID!$Y:$Y,"&gt;=0")+COUNTIFS(RESULTADOS_GRID!$B:$B,$A80,RESULTADOS_GRID!$Y:$Y,"&lt;0"))=0,"",SUMIF(RESULTADOS_GRID!$B:$B,$A80,RESULTADOS_GRID!$Y:$Y)/(COUNTIFS(RESULTADOS_GRID!$B:$B,$A80,RESULTADOS_GRID!$Y:$Y,"&gt;=0")+COUNTIFS(RESULTADOS_GRID!$B:$B,$A80,RESULTADOS_GRID!$Y:$Y,"&lt;0"))))</f>
        <v/>
      </c>
      <c r="K80" s="54">
        <f>IF($A80="","",IF((COUNTIFS(RESULTADOS_GRID!$B:$B,$A80,RESULTADOS_GRID!$Z:$Z,"&gt;=0")+COUNTIFS(RESULTADOS_GRID!$B:$B,$A80,RESULTADOS_GRID!$Z:$Z,"&lt;0"))=0,"",SUMIF(RESULTADOS_GRID!$B:$B,$A80,RESULTADOS_GRID!$Z:$Z)/(COUNTIFS(RESULTADOS_GRID!$B:$B,$A80,RESULTADOS_GRID!$Z:$Z,"&gt;=0")+COUNTIFS(RESULTADOS_GRID!$B:$B,$A80,RESULTADOS_GRID!$Z:$Z,"&lt;0"))))</f>
        <v/>
      </c>
      <c r="L80" s="51">
        <f>IF($A80="","",IF((COUNTIFS(RESULTADOS_GRID!$B:$B,$A80,RESULTADOS_GRID!$AA:$AA,"&gt;=0")+COUNTIFS(RESULTADOS_GRID!$B:$B,$A80,RESULTADOS_GRID!$AA:$AA,"&lt;0"))=0,"",SUMIF(RESULTADOS_GRID!$B:$B,$A80,RESULTADOS_GRID!$AA:$AA)/(COUNTIFS(RESULTADOS_GRID!$B:$B,$A80,RESULTADOS_GRID!$AA:$AA,"&gt;=0")+COUNTIFS(RESULTADOS_GRID!$B:$B,$A80,RESULTADOS_GRID!$AA:$AA,"&lt;0"))))</f>
        <v/>
      </c>
      <c r="M80" s="51">
        <f>IF($A80="","",IF((COUNTIFS(RESULTADOS_GRID!$B:$B,$A80,RESULTADOS_GRID!$AB:$AB,"&gt;=0")+COUNTIFS(RESULTADOS_GRID!$B:$B,$A80,RESULTADOS_GRID!$AB:$AB,"&lt;0"))=0,"",SUMIF(RESULTADOS_GRID!$B:$B,$A80,RESULTADOS_GRID!$AB:$AB)/(COUNTIFS(RESULTADOS_GRID!$B:$B,$A80,RESULTADOS_GRID!$AB:$AB,"&gt;=0")+COUNTIFS(RESULTADOS_GRID!$B:$B,$A80,RESULTADOS_GRID!$AB:$AB,"&lt;0"))))</f>
        <v/>
      </c>
      <c r="N80" s="49" t="n"/>
      <c r="O80" s="57">
        <f>IF($I80="","",COUNTIFS($I$2:$I$101,"&lt;"&amp;$I80)+1)</f>
        <v/>
      </c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9" t="n"/>
      <c r="Z80" s="49" t="n"/>
      <c r="AA80" s="49" t="n"/>
      <c r="AB80" s="49" t="n"/>
      <c r="AC80" s="49" t="n"/>
      <c r="AD80" s="49" t="n"/>
      <c r="AE80" s="49" t="n"/>
      <c r="AF80" s="49" t="n"/>
      <c r="AG80" s="49" t="n"/>
      <c r="AH80" s="49" t="n"/>
      <c r="AI80" s="49" t="n"/>
      <c r="AJ80" s="49" t="n"/>
      <c r="AK80" s="49" t="n"/>
    </row>
    <row r="81" ht="15" customHeight="1" s="27">
      <c r="A81" s="49" t="n"/>
      <c r="B81" s="57">
        <f>IF($A81="","",IFERROR(INDEX(RESULTADOS_GRID!$C:$C,MATCH($A81,RESULTADOS_GRID!$B:$B,0)),""))</f>
        <v/>
      </c>
      <c r="C81" s="57">
        <f>IF($A81="","",IFERROR(INDEX(RESULTADOS_GRID!$E:$E,MATCH($A81,RESULTADOS_GRID!$B:$B,0)),""))</f>
        <v/>
      </c>
      <c r="D81" s="57">
        <f>IF($A81="","",IFERROR(INDEX(RESULTADOS_GRID!$D:$D,MATCH($A81,RESULTADOS_GRID!$B:$B,0)),""))</f>
        <v/>
      </c>
      <c r="E81" s="57">
        <f>IF($A81="","",COUNTIF(RESULTADOS_GRID!$B:$B,$A81))</f>
        <v/>
      </c>
      <c r="F81" s="54">
        <f>IF($A81="","",SUMIF(RESULTADOS_GRID!$B:$B,$A81,RESULTADOS_GRID!$X:$X))</f>
        <v/>
      </c>
      <c r="G81" s="53" t="n"/>
      <c r="H81" s="58">
        <f>CONFIG_REFERENCIA!$E$7</f>
        <v/>
      </c>
      <c r="I81" s="54">
        <f>IF($A81="","",$F81+N($G81)*$H81)</f>
        <v/>
      </c>
      <c r="J81" s="54">
        <f>IF($A81="","",IF((COUNTIFS(RESULTADOS_GRID!$B:$B,$A81,RESULTADOS_GRID!$Y:$Y,"&gt;=0")+COUNTIFS(RESULTADOS_GRID!$B:$B,$A81,RESULTADOS_GRID!$Y:$Y,"&lt;0"))=0,"",SUMIF(RESULTADOS_GRID!$B:$B,$A81,RESULTADOS_GRID!$Y:$Y)/(COUNTIFS(RESULTADOS_GRID!$B:$B,$A81,RESULTADOS_GRID!$Y:$Y,"&gt;=0")+COUNTIFS(RESULTADOS_GRID!$B:$B,$A81,RESULTADOS_GRID!$Y:$Y,"&lt;0"))))</f>
        <v/>
      </c>
      <c r="K81" s="54">
        <f>IF($A81="","",IF((COUNTIFS(RESULTADOS_GRID!$B:$B,$A81,RESULTADOS_GRID!$Z:$Z,"&gt;=0")+COUNTIFS(RESULTADOS_GRID!$B:$B,$A81,RESULTADOS_GRID!$Z:$Z,"&lt;0"))=0,"",SUMIF(RESULTADOS_GRID!$B:$B,$A81,RESULTADOS_GRID!$Z:$Z)/(COUNTIFS(RESULTADOS_GRID!$B:$B,$A81,RESULTADOS_GRID!$Z:$Z,"&gt;=0")+COUNTIFS(RESULTADOS_GRID!$B:$B,$A81,RESULTADOS_GRID!$Z:$Z,"&lt;0"))))</f>
        <v/>
      </c>
      <c r="L81" s="51">
        <f>IF($A81="","",IF((COUNTIFS(RESULTADOS_GRID!$B:$B,$A81,RESULTADOS_GRID!$AA:$AA,"&gt;=0")+COUNTIFS(RESULTADOS_GRID!$B:$B,$A81,RESULTADOS_GRID!$AA:$AA,"&lt;0"))=0,"",SUMIF(RESULTADOS_GRID!$B:$B,$A81,RESULTADOS_GRID!$AA:$AA)/(COUNTIFS(RESULTADOS_GRID!$B:$B,$A81,RESULTADOS_GRID!$AA:$AA,"&gt;=0")+COUNTIFS(RESULTADOS_GRID!$B:$B,$A81,RESULTADOS_GRID!$AA:$AA,"&lt;0"))))</f>
        <v/>
      </c>
      <c r="M81" s="51">
        <f>IF($A81="","",IF((COUNTIFS(RESULTADOS_GRID!$B:$B,$A81,RESULTADOS_GRID!$AB:$AB,"&gt;=0")+COUNTIFS(RESULTADOS_GRID!$B:$B,$A81,RESULTADOS_GRID!$AB:$AB,"&lt;0"))=0,"",SUMIF(RESULTADOS_GRID!$B:$B,$A81,RESULTADOS_GRID!$AB:$AB)/(COUNTIFS(RESULTADOS_GRID!$B:$B,$A81,RESULTADOS_GRID!$AB:$AB,"&gt;=0")+COUNTIFS(RESULTADOS_GRID!$B:$B,$A81,RESULTADOS_GRID!$AB:$AB,"&lt;0"))))</f>
        <v/>
      </c>
      <c r="N81" s="49" t="n"/>
      <c r="O81" s="57">
        <f>IF($I81="","",COUNTIFS($I$2:$I$101,"&lt;"&amp;$I81)+1)</f>
        <v/>
      </c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9" t="n"/>
      <c r="Z81" s="49" t="n"/>
      <c r="AA81" s="49" t="n"/>
      <c r="AB81" s="49" t="n"/>
      <c r="AC81" s="49" t="n"/>
      <c r="AD81" s="49" t="n"/>
      <c r="AE81" s="49" t="n"/>
      <c r="AF81" s="49" t="n"/>
      <c r="AG81" s="49" t="n"/>
      <c r="AH81" s="49" t="n"/>
      <c r="AI81" s="49" t="n"/>
      <c r="AJ81" s="49" t="n"/>
      <c r="AK81" s="49" t="n"/>
    </row>
    <row r="82" ht="15" customHeight="1" s="27">
      <c r="A82" s="49" t="n"/>
      <c r="B82" s="57">
        <f>IF($A82="","",IFERROR(INDEX(RESULTADOS_GRID!$C:$C,MATCH($A82,RESULTADOS_GRID!$B:$B,0)),""))</f>
        <v/>
      </c>
      <c r="C82" s="57">
        <f>IF($A82="","",IFERROR(INDEX(RESULTADOS_GRID!$E:$E,MATCH($A82,RESULTADOS_GRID!$B:$B,0)),""))</f>
        <v/>
      </c>
      <c r="D82" s="57">
        <f>IF($A82="","",IFERROR(INDEX(RESULTADOS_GRID!$D:$D,MATCH($A82,RESULTADOS_GRID!$B:$B,0)),""))</f>
        <v/>
      </c>
      <c r="E82" s="57">
        <f>IF($A82="","",COUNTIF(RESULTADOS_GRID!$B:$B,$A82))</f>
        <v/>
      </c>
      <c r="F82" s="54">
        <f>IF($A82="","",SUMIF(RESULTADOS_GRID!$B:$B,$A82,RESULTADOS_GRID!$X:$X))</f>
        <v/>
      </c>
      <c r="G82" s="53" t="n"/>
      <c r="H82" s="58">
        <f>CONFIG_REFERENCIA!$E$7</f>
        <v/>
      </c>
      <c r="I82" s="54">
        <f>IF($A82="","",$F82+N($G82)*$H82)</f>
        <v/>
      </c>
      <c r="J82" s="54">
        <f>IF($A82="","",IF((COUNTIFS(RESULTADOS_GRID!$B:$B,$A82,RESULTADOS_GRID!$Y:$Y,"&gt;=0")+COUNTIFS(RESULTADOS_GRID!$B:$B,$A82,RESULTADOS_GRID!$Y:$Y,"&lt;0"))=0,"",SUMIF(RESULTADOS_GRID!$B:$B,$A82,RESULTADOS_GRID!$Y:$Y)/(COUNTIFS(RESULTADOS_GRID!$B:$B,$A82,RESULTADOS_GRID!$Y:$Y,"&gt;=0")+COUNTIFS(RESULTADOS_GRID!$B:$B,$A82,RESULTADOS_GRID!$Y:$Y,"&lt;0"))))</f>
        <v/>
      </c>
      <c r="K82" s="54">
        <f>IF($A82="","",IF((COUNTIFS(RESULTADOS_GRID!$B:$B,$A82,RESULTADOS_GRID!$Z:$Z,"&gt;=0")+COUNTIFS(RESULTADOS_GRID!$B:$B,$A82,RESULTADOS_GRID!$Z:$Z,"&lt;0"))=0,"",SUMIF(RESULTADOS_GRID!$B:$B,$A82,RESULTADOS_GRID!$Z:$Z)/(COUNTIFS(RESULTADOS_GRID!$B:$B,$A82,RESULTADOS_GRID!$Z:$Z,"&gt;=0")+COUNTIFS(RESULTADOS_GRID!$B:$B,$A82,RESULTADOS_GRID!$Z:$Z,"&lt;0"))))</f>
        <v/>
      </c>
      <c r="L82" s="51">
        <f>IF($A82="","",IF((COUNTIFS(RESULTADOS_GRID!$B:$B,$A82,RESULTADOS_GRID!$AA:$AA,"&gt;=0")+COUNTIFS(RESULTADOS_GRID!$B:$B,$A82,RESULTADOS_GRID!$AA:$AA,"&lt;0"))=0,"",SUMIF(RESULTADOS_GRID!$B:$B,$A82,RESULTADOS_GRID!$AA:$AA)/(COUNTIFS(RESULTADOS_GRID!$B:$B,$A82,RESULTADOS_GRID!$AA:$AA,"&gt;=0")+COUNTIFS(RESULTADOS_GRID!$B:$B,$A82,RESULTADOS_GRID!$AA:$AA,"&lt;0"))))</f>
        <v/>
      </c>
      <c r="M82" s="51">
        <f>IF($A82="","",IF((COUNTIFS(RESULTADOS_GRID!$B:$B,$A82,RESULTADOS_GRID!$AB:$AB,"&gt;=0")+COUNTIFS(RESULTADOS_GRID!$B:$B,$A82,RESULTADOS_GRID!$AB:$AB,"&lt;0"))=0,"",SUMIF(RESULTADOS_GRID!$B:$B,$A82,RESULTADOS_GRID!$AB:$AB)/(COUNTIFS(RESULTADOS_GRID!$B:$B,$A82,RESULTADOS_GRID!$AB:$AB,"&gt;=0")+COUNTIFS(RESULTADOS_GRID!$B:$B,$A82,RESULTADOS_GRID!$AB:$AB,"&lt;0"))))</f>
        <v/>
      </c>
      <c r="N82" s="49" t="n"/>
      <c r="O82" s="57">
        <f>IF($I82="","",COUNTIFS($I$2:$I$101,"&lt;"&amp;$I82)+1)</f>
        <v/>
      </c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9" t="n"/>
      <c r="Z82" s="49" t="n"/>
      <c r="AA82" s="49" t="n"/>
      <c r="AB82" s="49" t="n"/>
      <c r="AC82" s="49" t="n"/>
      <c r="AD82" s="49" t="n"/>
      <c r="AE82" s="49" t="n"/>
      <c r="AF82" s="49" t="n"/>
      <c r="AG82" s="49" t="n"/>
      <c r="AH82" s="49" t="n"/>
      <c r="AI82" s="49" t="n"/>
      <c r="AJ82" s="49" t="n"/>
      <c r="AK82" s="49" t="n"/>
    </row>
    <row r="83" ht="15" customHeight="1" s="27">
      <c r="A83" s="49" t="n"/>
      <c r="B83" s="57">
        <f>IF($A83="","",IFERROR(INDEX(RESULTADOS_GRID!$C:$C,MATCH($A83,RESULTADOS_GRID!$B:$B,0)),""))</f>
        <v/>
      </c>
      <c r="C83" s="57">
        <f>IF($A83="","",IFERROR(INDEX(RESULTADOS_GRID!$E:$E,MATCH($A83,RESULTADOS_GRID!$B:$B,0)),""))</f>
        <v/>
      </c>
      <c r="D83" s="57">
        <f>IF($A83="","",IFERROR(INDEX(RESULTADOS_GRID!$D:$D,MATCH($A83,RESULTADOS_GRID!$B:$B,0)),""))</f>
        <v/>
      </c>
      <c r="E83" s="57">
        <f>IF($A83="","",COUNTIF(RESULTADOS_GRID!$B:$B,$A83))</f>
        <v/>
      </c>
      <c r="F83" s="54">
        <f>IF($A83="","",SUMIF(RESULTADOS_GRID!$B:$B,$A83,RESULTADOS_GRID!$X:$X))</f>
        <v/>
      </c>
      <c r="G83" s="53" t="n"/>
      <c r="H83" s="58">
        <f>CONFIG_REFERENCIA!$E$7</f>
        <v/>
      </c>
      <c r="I83" s="54">
        <f>IF($A83="","",$F83+N($G83)*$H83)</f>
        <v/>
      </c>
      <c r="J83" s="54">
        <f>IF($A83="","",IF((COUNTIFS(RESULTADOS_GRID!$B:$B,$A83,RESULTADOS_GRID!$Y:$Y,"&gt;=0")+COUNTIFS(RESULTADOS_GRID!$B:$B,$A83,RESULTADOS_GRID!$Y:$Y,"&lt;0"))=0,"",SUMIF(RESULTADOS_GRID!$B:$B,$A83,RESULTADOS_GRID!$Y:$Y)/(COUNTIFS(RESULTADOS_GRID!$B:$B,$A83,RESULTADOS_GRID!$Y:$Y,"&gt;=0")+COUNTIFS(RESULTADOS_GRID!$B:$B,$A83,RESULTADOS_GRID!$Y:$Y,"&lt;0"))))</f>
        <v/>
      </c>
      <c r="K83" s="54">
        <f>IF($A83="","",IF((COUNTIFS(RESULTADOS_GRID!$B:$B,$A83,RESULTADOS_GRID!$Z:$Z,"&gt;=0")+COUNTIFS(RESULTADOS_GRID!$B:$B,$A83,RESULTADOS_GRID!$Z:$Z,"&lt;0"))=0,"",SUMIF(RESULTADOS_GRID!$B:$B,$A83,RESULTADOS_GRID!$Z:$Z)/(COUNTIFS(RESULTADOS_GRID!$B:$B,$A83,RESULTADOS_GRID!$Z:$Z,"&gt;=0")+COUNTIFS(RESULTADOS_GRID!$B:$B,$A83,RESULTADOS_GRID!$Z:$Z,"&lt;0"))))</f>
        <v/>
      </c>
      <c r="L83" s="51">
        <f>IF($A83="","",IF((COUNTIFS(RESULTADOS_GRID!$B:$B,$A83,RESULTADOS_GRID!$AA:$AA,"&gt;=0")+COUNTIFS(RESULTADOS_GRID!$B:$B,$A83,RESULTADOS_GRID!$AA:$AA,"&lt;0"))=0,"",SUMIF(RESULTADOS_GRID!$B:$B,$A83,RESULTADOS_GRID!$AA:$AA)/(COUNTIFS(RESULTADOS_GRID!$B:$B,$A83,RESULTADOS_GRID!$AA:$AA,"&gt;=0")+COUNTIFS(RESULTADOS_GRID!$B:$B,$A83,RESULTADOS_GRID!$AA:$AA,"&lt;0"))))</f>
        <v/>
      </c>
      <c r="M83" s="51">
        <f>IF($A83="","",IF((COUNTIFS(RESULTADOS_GRID!$B:$B,$A83,RESULTADOS_GRID!$AB:$AB,"&gt;=0")+COUNTIFS(RESULTADOS_GRID!$B:$B,$A83,RESULTADOS_GRID!$AB:$AB,"&lt;0"))=0,"",SUMIF(RESULTADOS_GRID!$B:$B,$A83,RESULTADOS_GRID!$AB:$AB)/(COUNTIFS(RESULTADOS_GRID!$B:$B,$A83,RESULTADOS_GRID!$AB:$AB,"&gt;=0")+COUNTIFS(RESULTADOS_GRID!$B:$B,$A83,RESULTADOS_GRID!$AB:$AB,"&lt;0"))))</f>
        <v/>
      </c>
      <c r="N83" s="49" t="n"/>
      <c r="O83" s="57">
        <f>IF($I83="","",COUNTIFS($I$2:$I$101,"&lt;"&amp;$I83)+1)</f>
        <v/>
      </c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9" t="n"/>
      <c r="Z83" s="49" t="n"/>
      <c r="AA83" s="49" t="n"/>
      <c r="AB83" s="49" t="n"/>
      <c r="AC83" s="49" t="n"/>
      <c r="AD83" s="49" t="n"/>
      <c r="AE83" s="49" t="n"/>
      <c r="AF83" s="49" t="n"/>
      <c r="AG83" s="49" t="n"/>
      <c r="AH83" s="49" t="n"/>
      <c r="AI83" s="49" t="n"/>
      <c r="AJ83" s="49" t="n"/>
      <c r="AK83" s="49" t="n"/>
    </row>
    <row r="84" ht="15" customHeight="1" s="27">
      <c r="A84" s="49" t="n"/>
      <c r="B84" s="57">
        <f>IF($A84="","",IFERROR(INDEX(RESULTADOS_GRID!$C:$C,MATCH($A84,RESULTADOS_GRID!$B:$B,0)),""))</f>
        <v/>
      </c>
      <c r="C84" s="57">
        <f>IF($A84="","",IFERROR(INDEX(RESULTADOS_GRID!$E:$E,MATCH($A84,RESULTADOS_GRID!$B:$B,0)),""))</f>
        <v/>
      </c>
      <c r="D84" s="57">
        <f>IF($A84="","",IFERROR(INDEX(RESULTADOS_GRID!$D:$D,MATCH($A84,RESULTADOS_GRID!$B:$B,0)),""))</f>
        <v/>
      </c>
      <c r="E84" s="57">
        <f>IF($A84="","",COUNTIF(RESULTADOS_GRID!$B:$B,$A84))</f>
        <v/>
      </c>
      <c r="F84" s="54">
        <f>IF($A84="","",SUMIF(RESULTADOS_GRID!$B:$B,$A84,RESULTADOS_GRID!$X:$X))</f>
        <v/>
      </c>
      <c r="G84" s="53" t="n"/>
      <c r="H84" s="58">
        <f>CONFIG_REFERENCIA!$E$7</f>
        <v/>
      </c>
      <c r="I84" s="54">
        <f>IF($A84="","",$F84+N($G84)*$H84)</f>
        <v/>
      </c>
      <c r="J84" s="54">
        <f>IF($A84="","",IF((COUNTIFS(RESULTADOS_GRID!$B:$B,$A84,RESULTADOS_GRID!$Y:$Y,"&gt;=0")+COUNTIFS(RESULTADOS_GRID!$B:$B,$A84,RESULTADOS_GRID!$Y:$Y,"&lt;0"))=0,"",SUMIF(RESULTADOS_GRID!$B:$B,$A84,RESULTADOS_GRID!$Y:$Y)/(COUNTIFS(RESULTADOS_GRID!$B:$B,$A84,RESULTADOS_GRID!$Y:$Y,"&gt;=0")+COUNTIFS(RESULTADOS_GRID!$B:$B,$A84,RESULTADOS_GRID!$Y:$Y,"&lt;0"))))</f>
        <v/>
      </c>
      <c r="K84" s="54">
        <f>IF($A84="","",IF((COUNTIFS(RESULTADOS_GRID!$B:$B,$A84,RESULTADOS_GRID!$Z:$Z,"&gt;=0")+COUNTIFS(RESULTADOS_GRID!$B:$B,$A84,RESULTADOS_GRID!$Z:$Z,"&lt;0"))=0,"",SUMIF(RESULTADOS_GRID!$B:$B,$A84,RESULTADOS_GRID!$Z:$Z)/(COUNTIFS(RESULTADOS_GRID!$B:$B,$A84,RESULTADOS_GRID!$Z:$Z,"&gt;=0")+COUNTIFS(RESULTADOS_GRID!$B:$B,$A84,RESULTADOS_GRID!$Z:$Z,"&lt;0"))))</f>
        <v/>
      </c>
      <c r="L84" s="51">
        <f>IF($A84="","",IF((COUNTIFS(RESULTADOS_GRID!$B:$B,$A84,RESULTADOS_GRID!$AA:$AA,"&gt;=0")+COUNTIFS(RESULTADOS_GRID!$B:$B,$A84,RESULTADOS_GRID!$AA:$AA,"&lt;0"))=0,"",SUMIF(RESULTADOS_GRID!$B:$B,$A84,RESULTADOS_GRID!$AA:$AA)/(COUNTIFS(RESULTADOS_GRID!$B:$B,$A84,RESULTADOS_GRID!$AA:$AA,"&gt;=0")+COUNTIFS(RESULTADOS_GRID!$B:$B,$A84,RESULTADOS_GRID!$AA:$AA,"&lt;0"))))</f>
        <v/>
      </c>
      <c r="M84" s="51">
        <f>IF($A84="","",IF((COUNTIFS(RESULTADOS_GRID!$B:$B,$A84,RESULTADOS_GRID!$AB:$AB,"&gt;=0")+COUNTIFS(RESULTADOS_GRID!$B:$B,$A84,RESULTADOS_GRID!$AB:$AB,"&lt;0"))=0,"",SUMIF(RESULTADOS_GRID!$B:$B,$A84,RESULTADOS_GRID!$AB:$AB)/(COUNTIFS(RESULTADOS_GRID!$B:$B,$A84,RESULTADOS_GRID!$AB:$AB,"&gt;=0")+COUNTIFS(RESULTADOS_GRID!$B:$B,$A84,RESULTADOS_GRID!$AB:$AB,"&lt;0"))))</f>
        <v/>
      </c>
      <c r="N84" s="49" t="n"/>
      <c r="O84" s="57">
        <f>IF($I84="","",COUNTIFS($I$2:$I$101,"&lt;"&amp;$I84)+1)</f>
        <v/>
      </c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9" t="n"/>
      <c r="Z84" s="49" t="n"/>
      <c r="AA84" s="49" t="n"/>
      <c r="AB84" s="49" t="n"/>
      <c r="AC84" s="49" t="n"/>
      <c r="AD84" s="49" t="n"/>
      <c r="AE84" s="49" t="n"/>
      <c r="AF84" s="49" t="n"/>
      <c r="AG84" s="49" t="n"/>
      <c r="AH84" s="49" t="n"/>
      <c r="AI84" s="49" t="n"/>
      <c r="AJ84" s="49" t="n"/>
      <c r="AK84" s="49" t="n"/>
    </row>
    <row r="85" ht="15" customHeight="1" s="27">
      <c r="A85" s="49" t="n"/>
      <c r="B85" s="57">
        <f>IF($A85="","",IFERROR(INDEX(RESULTADOS_GRID!$C:$C,MATCH($A85,RESULTADOS_GRID!$B:$B,0)),""))</f>
        <v/>
      </c>
      <c r="C85" s="57">
        <f>IF($A85="","",IFERROR(INDEX(RESULTADOS_GRID!$E:$E,MATCH($A85,RESULTADOS_GRID!$B:$B,0)),""))</f>
        <v/>
      </c>
      <c r="D85" s="57">
        <f>IF($A85="","",IFERROR(INDEX(RESULTADOS_GRID!$D:$D,MATCH($A85,RESULTADOS_GRID!$B:$B,0)),""))</f>
        <v/>
      </c>
      <c r="E85" s="57">
        <f>IF($A85="","",COUNTIF(RESULTADOS_GRID!$B:$B,$A85))</f>
        <v/>
      </c>
      <c r="F85" s="54">
        <f>IF($A85="","",SUMIF(RESULTADOS_GRID!$B:$B,$A85,RESULTADOS_GRID!$X:$X))</f>
        <v/>
      </c>
      <c r="G85" s="53" t="n"/>
      <c r="H85" s="58">
        <f>CONFIG_REFERENCIA!$E$7</f>
        <v/>
      </c>
      <c r="I85" s="54">
        <f>IF($A85="","",$F85+N($G85)*$H85)</f>
        <v/>
      </c>
      <c r="J85" s="54">
        <f>IF($A85="","",IF((COUNTIFS(RESULTADOS_GRID!$B:$B,$A85,RESULTADOS_GRID!$Y:$Y,"&gt;=0")+COUNTIFS(RESULTADOS_GRID!$B:$B,$A85,RESULTADOS_GRID!$Y:$Y,"&lt;0"))=0,"",SUMIF(RESULTADOS_GRID!$B:$B,$A85,RESULTADOS_GRID!$Y:$Y)/(COUNTIFS(RESULTADOS_GRID!$B:$B,$A85,RESULTADOS_GRID!$Y:$Y,"&gt;=0")+COUNTIFS(RESULTADOS_GRID!$B:$B,$A85,RESULTADOS_GRID!$Y:$Y,"&lt;0"))))</f>
        <v/>
      </c>
      <c r="K85" s="54">
        <f>IF($A85="","",IF((COUNTIFS(RESULTADOS_GRID!$B:$B,$A85,RESULTADOS_GRID!$Z:$Z,"&gt;=0")+COUNTIFS(RESULTADOS_GRID!$B:$B,$A85,RESULTADOS_GRID!$Z:$Z,"&lt;0"))=0,"",SUMIF(RESULTADOS_GRID!$B:$B,$A85,RESULTADOS_GRID!$Z:$Z)/(COUNTIFS(RESULTADOS_GRID!$B:$B,$A85,RESULTADOS_GRID!$Z:$Z,"&gt;=0")+COUNTIFS(RESULTADOS_GRID!$B:$B,$A85,RESULTADOS_GRID!$Z:$Z,"&lt;0"))))</f>
        <v/>
      </c>
      <c r="L85" s="51">
        <f>IF($A85="","",IF((COUNTIFS(RESULTADOS_GRID!$B:$B,$A85,RESULTADOS_GRID!$AA:$AA,"&gt;=0")+COUNTIFS(RESULTADOS_GRID!$B:$B,$A85,RESULTADOS_GRID!$AA:$AA,"&lt;0"))=0,"",SUMIF(RESULTADOS_GRID!$B:$B,$A85,RESULTADOS_GRID!$AA:$AA)/(COUNTIFS(RESULTADOS_GRID!$B:$B,$A85,RESULTADOS_GRID!$AA:$AA,"&gt;=0")+COUNTIFS(RESULTADOS_GRID!$B:$B,$A85,RESULTADOS_GRID!$AA:$AA,"&lt;0"))))</f>
        <v/>
      </c>
      <c r="M85" s="51">
        <f>IF($A85="","",IF((COUNTIFS(RESULTADOS_GRID!$B:$B,$A85,RESULTADOS_GRID!$AB:$AB,"&gt;=0")+COUNTIFS(RESULTADOS_GRID!$B:$B,$A85,RESULTADOS_GRID!$AB:$AB,"&lt;0"))=0,"",SUMIF(RESULTADOS_GRID!$B:$B,$A85,RESULTADOS_GRID!$AB:$AB)/(COUNTIFS(RESULTADOS_GRID!$B:$B,$A85,RESULTADOS_GRID!$AB:$AB,"&gt;=0")+COUNTIFS(RESULTADOS_GRID!$B:$B,$A85,RESULTADOS_GRID!$AB:$AB,"&lt;0"))))</f>
        <v/>
      </c>
      <c r="N85" s="49" t="n"/>
      <c r="O85" s="57">
        <f>IF($I85="","",COUNTIFS($I$2:$I$101,"&lt;"&amp;$I85)+1)</f>
        <v/>
      </c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9" t="n"/>
      <c r="Z85" s="49" t="n"/>
      <c r="AA85" s="49" t="n"/>
      <c r="AB85" s="49" t="n"/>
      <c r="AC85" s="49" t="n"/>
      <c r="AD85" s="49" t="n"/>
      <c r="AE85" s="49" t="n"/>
      <c r="AF85" s="49" t="n"/>
      <c r="AG85" s="49" t="n"/>
      <c r="AH85" s="49" t="n"/>
      <c r="AI85" s="49" t="n"/>
      <c r="AJ85" s="49" t="n"/>
      <c r="AK85" s="49" t="n"/>
    </row>
    <row r="86" ht="15" customHeight="1" s="27">
      <c r="A86" s="49" t="n"/>
      <c r="B86" s="57">
        <f>IF($A86="","",IFERROR(INDEX(RESULTADOS_GRID!$C:$C,MATCH($A86,RESULTADOS_GRID!$B:$B,0)),""))</f>
        <v/>
      </c>
      <c r="C86" s="57">
        <f>IF($A86="","",IFERROR(INDEX(RESULTADOS_GRID!$E:$E,MATCH($A86,RESULTADOS_GRID!$B:$B,0)),""))</f>
        <v/>
      </c>
      <c r="D86" s="57">
        <f>IF($A86="","",IFERROR(INDEX(RESULTADOS_GRID!$D:$D,MATCH($A86,RESULTADOS_GRID!$B:$B,0)),""))</f>
        <v/>
      </c>
      <c r="E86" s="57">
        <f>IF($A86="","",COUNTIF(RESULTADOS_GRID!$B:$B,$A86))</f>
        <v/>
      </c>
      <c r="F86" s="54">
        <f>IF($A86="","",SUMIF(RESULTADOS_GRID!$B:$B,$A86,RESULTADOS_GRID!$X:$X))</f>
        <v/>
      </c>
      <c r="G86" s="53" t="n"/>
      <c r="H86" s="58">
        <f>CONFIG_REFERENCIA!$E$7</f>
        <v/>
      </c>
      <c r="I86" s="54">
        <f>IF($A86="","",$F86+N($G86)*$H86)</f>
        <v/>
      </c>
      <c r="J86" s="54">
        <f>IF($A86="","",IF((COUNTIFS(RESULTADOS_GRID!$B:$B,$A86,RESULTADOS_GRID!$Y:$Y,"&gt;=0")+COUNTIFS(RESULTADOS_GRID!$B:$B,$A86,RESULTADOS_GRID!$Y:$Y,"&lt;0"))=0,"",SUMIF(RESULTADOS_GRID!$B:$B,$A86,RESULTADOS_GRID!$Y:$Y)/(COUNTIFS(RESULTADOS_GRID!$B:$B,$A86,RESULTADOS_GRID!$Y:$Y,"&gt;=0")+COUNTIFS(RESULTADOS_GRID!$B:$B,$A86,RESULTADOS_GRID!$Y:$Y,"&lt;0"))))</f>
        <v/>
      </c>
      <c r="K86" s="54">
        <f>IF($A86="","",IF((COUNTIFS(RESULTADOS_GRID!$B:$B,$A86,RESULTADOS_GRID!$Z:$Z,"&gt;=0")+COUNTIFS(RESULTADOS_GRID!$B:$B,$A86,RESULTADOS_GRID!$Z:$Z,"&lt;0"))=0,"",SUMIF(RESULTADOS_GRID!$B:$B,$A86,RESULTADOS_GRID!$Z:$Z)/(COUNTIFS(RESULTADOS_GRID!$B:$B,$A86,RESULTADOS_GRID!$Z:$Z,"&gt;=0")+COUNTIFS(RESULTADOS_GRID!$B:$B,$A86,RESULTADOS_GRID!$Z:$Z,"&lt;0"))))</f>
        <v/>
      </c>
      <c r="L86" s="51">
        <f>IF($A86="","",IF((COUNTIFS(RESULTADOS_GRID!$B:$B,$A86,RESULTADOS_GRID!$AA:$AA,"&gt;=0")+COUNTIFS(RESULTADOS_GRID!$B:$B,$A86,RESULTADOS_GRID!$AA:$AA,"&lt;0"))=0,"",SUMIF(RESULTADOS_GRID!$B:$B,$A86,RESULTADOS_GRID!$AA:$AA)/(COUNTIFS(RESULTADOS_GRID!$B:$B,$A86,RESULTADOS_GRID!$AA:$AA,"&gt;=0")+COUNTIFS(RESULTADOS_GRID!$B:$B,$A86,RESULTADOS_GRID!$AA:$AA,"&lt;0"))))</f>
        <v/>
      </c>
      <c r="M86" s="51">
        <f>IF($A86="","",IF((COUNTIFS(RESULTADOS_GRID!$B:$B,$A86,RESULTADOS_GRID!$AB:$AB,"&gt;=0")+COUNTIFS(RESULTADOS_GRID!$B:$B,$A86,RESULTADOS_GRID!$AB:$AB,"&lt;0"))=0,"",SUMIF(RESULTADOS_GRID!$B:$B,$A86,RESULTADOS_GRID!$AB:$AB)/(COUNTIFS(RESULTADOS_GRID!$B:$B,$A86,RESULTADOS_GRID!$AB:$AB,"&gt;=0")+COUNTIFS(RESULTADOS_GRID!$B:$B,$A86,RESULTADOS_GRID!$AB:$AB,"&lt;0"))))</f>
        <v/>
      </c>
      <c r="N86" s="49" t="n"/>
      <c r="O86" s="57">
        <f>IF($I86="","",COUNTIFS($I$2:$I$101,"&lt;"&amp;$I86)+1)</f>
        <v/>
      </c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9" t="n"/>
      <c r="Z86" s="49" t="n"/>
      <c r="AA86" s="49" t="n"/>
      <c r="AB86" s="49" t="n"/>
      <c r="AC86" s="49" t="n"/>
      <c r="AD86" s="49" t="n"/>
      <c r="AE86" s="49" t="n"/>
      <c r="AF86" s="49" t="n"/>
      <c r="AG86" s="49" t="n"/>
      <c r="AH86" s="49" t="n"/>
      <c r="AI86" s="49" t="n"/>
      <c r="AJ86" s="49" t="n"/>
      <c r="AK86" s="49" t="n"/>
    </row>
    <row r="87" ht="15" customHeight="1" s="27">
      <c r="A87" s="49" t="n"/>
      <c r="B87" s="57">
        <f>IF($A87="","",IFERROR(INDEX(RESULTADOS_GRID!$C:$C,MATCH($A87,RESULTADOS_GRID!$B:$B,0)),""))</f>
        <v/>
      </c>
      <c r="C87" s="57">
        <f>IF($A87="","",IFERROR(INDEX(RESULTADOS_GRID!$E:$E,MATCH($A87,RESULTADOS_GRID!$B:$B,0)),""))</f>
        <v/>
      </c>
      <c r="D87" s="57">
        <f>IF($A87="","",IFERROR(INDEX(RESULTADOS_GRID!$D:$D,MATCH($A87,RESULTADOS_GRID!$B:$B,0)),""))</f>
        <v/>
      </c>
      <c r="E87" s="57">
        <f>IF($A87="","",COUNTIF(RESULTADOS_GRID!$B:$B,$A87))</f>
        <v/>
      </c>
      <c r="F87" s="54">
        <f>IF($A87="","",SUMIF(RESULTADOS_GRID!$B:$B,$A87,RESULTADOS_GRID!$X:$X))</f>
        <v/>
      </c>
      <c r="G87" s="53" t="n"/>
      <c r="H87" s="58">
        <f>CONFIG_REFERENCIA!$E$7</f>
        <v/>
      </c>
      <c r="I87" s="54">
        <f>IF($A87="","",$F87+N($G87)*$H87)</f>
        <v/>
      </c>
      <c r="J87" s="54">
        <f>IF($A87="","",IF((COUNTIFS(RESULTADOS_GRID!$B:$B,$A87,RESULTADOS_GRID!$Y:$Y,"&gt;=0")+COUNTIFS(RESULTADOS_GRID!$B:$B,$A87,RESULTADOS_GRID!$Y:$Y,"&lt;0"))=0,"",SUMIF(RESULTADOS_GRID!$B:$B,$A87,RESULTADOS_GRID!$Y:$Y)/(COUNTIFS(RESULTADOS_GRID!$B:$B,$A87,RESULTADOS_GRID!$Y:$Y,"&gt;=0")+COUNTIFS(RESULTADOS_GRID!$B:$B,$A87,RESULTADOS_GRID!$Y:$Y,"&lt;0"))))</f>
        <v/>
      </c>
      <c r="K87" s="54">
        <f>IF($A87="","",IF((COUNTIFS(RESULTADOS_GRID!$B:$B,$A87,RESULTADOS_GRID!$Z:$Z,"&gt;=0")+COUNTIFS(RESULTADOS_GRID!$B:$B,$A87,RESULTADOS_GRID!$Z:$Z,"&lt;0"))=0,"",SUMIF(RESULTADOS_GRID!$B:$B,$A87,RESULTADOS_GRID!$Z:$Z)/(COUNTIFS(RESULTADOS_GRID!$B:$B,$A87,RESULTADOS_GRID!$Z:$Z,"&gt;=0")+COUNTIFS(RESULTADOS_GRID!$B:$B,$A87,RESULTADOS_GRID!$Z:$Z,"&lt;0"))))</f>
        <v/>
      </c>
      <c r="L87" s="51">
        <f>IF($A87="","",IF((COUNTIFS(RESULTADOS_GRID!$B:$B,$A87,RESULTADOS_GRID!$AA:$AA,"&gt;=0")+COUNTIFS(RESULTADOS_GRID!$B:$B,$A87,RESULTADOS_GRID!$AA:$AA,"&lt;0"))=0,"",SUMIF(RESULTADOS_GRID!$B:$B,$A87,RESULTADOS_GRID!$AA:$AA)/(COUNTIFS(RESULTADOS_GRID!$B:$B,$A87,RESULTADOS_GRID!$AA:$AA,"&gt;=0")+COUNTIFS(RESULTADOS_GRID!$B:$B,$A87,RESULTADOS_GRID!$AA:$AA,"&lt;0"))))</f>
        <v/>
      </c>
      <c r="M87" s="51">
        <f>IF($A87="","",IF((COUNTIFS(RESULTADOS_GRID!$B:$B,$A87,RESULTADOS_GRID!$AB:$AB,"&gt;=0")+COUNTIFS(RESULTADOS_GRID!$B:$B,$A87,RESULTADOS_GRID!$AB:$AB,"&lt;0"))=0,"",SUMIF(RESULTADOS_GRID!$B:$B,$A87,RESULTADOS_GRID!$AB:$AB)/(COUNTIFS(RESULTADOS_GRID!$B:$B,$A87,RESULTADOS_GRID!$AB:$AB,"&gt;=0")+COUNTIFS(RESULTADOS_GRID!$B:$B,$A87,RESULTADOS_GRID!$AB:$AB,"&lt;0"))))</f>
        <v/>
      </c>
      <c r="N87" s="49" t="n"/>
      <c r="O87" s="57">
        <f>IF($I87="","",COUNTIFS($I$2:$I$101,"&lt;"&amp;$I87)+1)</f>
        <v/>
      </c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9" t="n"/>
      <c r="Z87" s="49" t="n"/>
      <c r="AA87" s="49" t="n"/>
      <c r="AB87" s="49" t="n"/>
      <c r="AC87" s="49" t="n"/>
      <c r="AD87" s="49" t="n"/>
      <c r="AE87" s="49" t="n"/>
      <c r="AF87" s="49" t="n"/>
      <c r="AG87" s="49" t="n"/>
      <c r="AH87" s="49" t="n"/>
      <c r="AI87" s="49" t="n"/>
      <c r="AJ87" s="49" t="n"/>
      <c r="AK87" s="49" t="n"/>
    </row>
    <row r="88" ht="15" customHeight="1" s="27">
      <c r="A88" s="49" t="n"/>
      <c r="B88" s="57">
        <f>IF($A88="","",IFERROR(INDEX(RESULTADOS_GRID!$C:$C,MATCH($A88,RESULTADOS_GRID!$B:$B,0)),""))</f>
        <v/>
      </c>
      <c r="C88" s="57">
        <f>IF($A88="","",IFERROR(INDEX(RESULTADOS_GRID!$E:$E,MATCH($A88,RESULTADOS_GRID!$B:$B,0)),""))</f>
        <v/>
      </c>
      <c r="D88" s="57">
        <f>IF($A88="","",IFERROR(INDEX(RESULTADOS_GRID!$D:$D,MATCH($A88,RESULTADOS_GRID!$B:$B,0)),""))</f>
        <v/>
      </c>
      <c r="E88" s="57">
        <f>IF($A88="","",COUNTIF(RESULTADOS_GRID!$B:$B,$A88))</f>
        <v/>
      </c>
      <c r="F88" s="54">
        <f>IF($A88="","",SUMIF(RESULTADOS_GRID!$B:$B,$A88,RESULTADOS_GRID!$X:$X))</f>
        <v/>
      </c>
      <c r="G88" s="53" t="n"/>
      <c r="H88" s="58">
        <f>CONFIG_REFERENCIA!$E$7</f>
        <v/>
      </c>
      <c r="I88" s="54">
        <f>IF($A88="","",$F88+N($G88)*$H88)</f>
        <v/>
      </c>
      <c r="J88" s="54">
        <f>IF($A88="","",IF((COUNTIFS(RESULTADOS_GRID!$B:$B,$A88,RESULTADOS_GRID!$Y:$Y,"&gt;=0")+COUNTIFS(RESULTADOS_GRID!$B:$B,$A88,RESULTADOS_GRID!$Y:$Y,"&lt;0"))=0,"",SUMIF(RESULTADOS_GRID!$B:$B,$A88,RESULTADOS_GRID!$Y:$Y)/(COUNTIFS(RESULTADOS_GRID!$B:$B,$A88,RESULTADOS_GRID!$Y:$Y,"&gt;=0")+COUNTIFS(RESULTADOS_GRID!$B:$B,$A88,RESULTADOS_GRID!$Y:$Y,"&lt;0"))))</f>
        <v/>
      </c>
      <c r="K88" s="54">
        <f>IF($A88="","",IF((COUNTIFS(RESULTADOS_GRID!$B:$B,$A88,RESULTADOS_GRID!$Z:$Z,"&gt;=0")+COUNTIFS(RESULTADOS_GRID!$B:$B,$A88,RESULTADOS_GRID!$Z:$Z,"&lt;0"))=0,"",SUMIF(RESULTADOS_GRID!$B:$B,$A88,RESULTADOS_GRID!$Z:$Z)/(COUNTIFS(RESULTADOS_GRID!$B:$B,$A88,RESULTADOS_GRID!$Z:$Z,"&gt;=0")+COUNTIFS(RESULTADOS_GRID!$B:$B,$A88,RESULTADOS_GRID!$Z:$Z,"&lt;0"))))</f>
        <v/>
      </c>
      <c r="L88" s="51">
        <f>IF($A88="","",IF((COUNTIFS(RESULTADOS_GRID!$B:$B,$A88,RESULTADOS_GRID!$AA:$AA,"&gt;=0")+COUNTIFS(RESULTADOS_GRID!$B:$B,$A88,RESULTADOS_GRID!$AA:$AA,"&lt;0"))=0,"",SUMIF(RESULTADOS_GRID!$B:$B,$A88,RESULTADOS_GRID!$AA:$AA)/(COUNTIFS(RESULTADOS_GRID!$B:$B,$A88,RESULTADOS_GRID!$AA:$AA,"&gt;=0")+COUNTIFS(RESULTADOS_GRID!$B:$B,$A88,RESULTADOS_GRID!$AA:$AA,"&lt;0"))))</f>
        <v/>
      </c>
      <c r="M88" s="51">
        <f>IF($A88="","",IF((COUNTIFS(RESULTADOS_GRID!$B:$B,$A88,RESULTADOS_GRID!$AB:$AB,"&gt;=0")+COUNTIFS(RESULTADOS_GRID!$B:$B,$A88,RESULTADOS_GRID!$AB:$AB,"&lt;0"))=0,"",SUMIF(RESULTADOS_GRID!$B:$B,$A88,RESULTADOS_GRID!$AB:$AB)/(COUNTIFS(RESULTADOS_GRID!$B:$B,$A88,RESULTADOS_GRID!$AB:$AB,"&gt;=0")+COUNTIFS(RESULTADOS_GRID!$B:$B,$A88,RESULTADOS_GRID!$AB:$AB,"&lt;0"))))</f>
        <v/>
      </c>
      <c r="N88" s="49" t="n"/>
      <c r="O88" s="57">
        <f>IF($I88="","",COUNTIFS($I$2:$I$101,"&lt;"&amp;$I88)+1)</f>
        <v/>
      </c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9" t="n"/>
      <c r="Z88" s="49" t="n"/>
      <c r="AA88" s="49" t="n"/>
      <c r="AB88" s="49" t="n"/>
      <c r="AC88" s="49" t="n"/>
      <c r="AD88" s="49" t="n"/>
      <c r="AE88" s="49" t="n"/>
      <c r="AF88" s="49" t="n"/>
      <c r="AG88" s="49" t="n"/>
      <c r="AH88" s="49" t="n"/>
      <c r="AI88" s="49" t="n"/>
      <c r="AJ88" s="49" t="n"/>
      <c r="AK88" s="49" t="n"/>
    </row>
    <row r="89" ht="15" customHeight="1" s="27">
      <c r="A89" s="49" t="n"/>
      <c r="B89" s="57">
        <f>IF($A89="","",IFERROR(INDEX(RESULTADOS_GRID!$C:$C,MATCH($A89,RESULTADOS_GRID!$B:$B,0)),""))</f>
        <v/>
      </c>
      <c r="C89" s="57">
        <f>IF($A89="","",IFERROR(INDEX(RESULTADOS_GRID!$E:$E,MATCH($A89,RESULTADOS_GRID!$B:$B,0)),""))</f>
        <v/>
      </c>
      <c r="D89" s="57">
        <f>IF($A89="","",IFERROR(INDEX(RESULTADOS_GRID!$D:$D,MATCH($A89,RESULTADOS_GRID!$B:$B,0)),""))</f>
        <v/>
      </c>
      <c r="E89" s="57">
        <f>IF($A89="","",COUNTIF(RESULTADOS_GRID!$B:$B,$A89))</f>
        <v/>
      </c>
      <c r="F89" s="54">
        <f>IF($A89="","",SUMIF(RESULTADOS_GRID!$B:$B,$A89,RESULTADOS_GRID!$X:$X))</f>
        <v/>
      </c>
      <c r="G89" s="53" t="n"/>
      <c r="H89" s="58">
        <f>CONFIG_REFERENCIA!$E$7</f>
        <v/>
      </c>
      <c r="I89" s="54">
        <f>IF($A89="","",$F89+N($G89)*$H89)</f>
        <v/>
      </c>
      <c r="J89" s="54">
        <f>IF($A89="","",IF((COUNTIFS(RESULTADOS_GRID!$B:$B,$A89,RESULTADOS_GRID!$Y:$Y,"&gt;=0")+COUNTIFS(RESULTADOS_GRID!$B:$B,$A89,RESULTADOS_GRID!$Y:$Y,"&lt;0"))=0,"",SUMIF(RESULTADOS_GRID!$B:$B,$A89,RESULTADOS_GRID!$Y:$Y)/(COUNTIFS(RESULTADOS_GRID!$B:$B,$A89,RESULTADOS_GRID!$Y:$Y,"&gt;=0")+COUNTIFS(RESULTADOS_GRID!$B:$B,$A89,RESULTADOS_GRID!$Y:$Y,"&lt;0"))))</f>
        <v/>
      </c>
      <c r="K89" s="54">
        <f>IF($A89="","",IF((COUNTIFS(RESULTADOS_GRID!$B:$B,$A89,RESULTADOS_GRID!$Z:$Z,"&gt;=0")+COUNTIFS(RESULTADOS_GRID!$B:$B,$A89,RESULTADOS_GRID!$Z:$Z,"&lt;0"))=0,"",SUMIF(RESULTADOS_GRID!$B:$B,$A89,RESULTADOS_GRID!$Z:$Z)/(COUNTIFS(RESULTADOS_GRID!$B:$B,$A89,RESULTADOS_GRID!$Z:$Z,"&gt;=0")+COUNTIFS(RESULTADOS_GRID!$B:$B,$A89,RESULTADOS_GRID!$Z:$Z,"&lt;0"))))</f>
        <v/>
      </c>
      <c r="L89" s="51">
        <f>IF($A89="","",IF((COUNTIFS(RESULTADOS_GRID!$B:$B,$A89,RESULTADOS_GRID!$AA:$AA,"&gt;=0")+COUNTIFS(RESULTADOS_GRID!$B:$B,$A89,RESULTADOS_GRID!$AA:$AA,"&lt;0"))=0,"",SUMIF(RESULTADOS_GRID!$B:$B,$A89,RESULTADOS_GRID!$AA:$AA)/(COUNTIFS(RESULTADOS_GRID!$B:$B,$A89,RESULTADOS_GRID!$AA:$AA,"&gt;=0")+COUNTIFS(RESULTADOS_GRID!$B:$B,$A89,RESULTADOS_GRID!$AA:$AA,"&lt;0"))))</f>
        <v/>
      </c>
      <c r="M89" s="51">
        <f>IF($A89="","",IF((COUNTIFS(RESULTADOS_GRID!$B:$B,$A89,RESULTADOS_GRID!$AB:$AB,"&gt;=0")+COUNTIFS(RESULTADOS_GRID!$B:$B,$A89,RESULTADOS_GRID!$AB:$AB,"&lt;0"))=0,"",SUMIF(RESULTADOS_GRID!$B:$B,$A89,RESULTADOS_GRID!$AB:$AB)/(COUNTIFS(RESULTADOS_GRID!$B:$B,$A89,RESULTADOS_GRID!$AB:$AB,"&gt;=0")+COUNTIFS(RESULTADOS_GRID!$B:$B,$A89,RESULTADOS_GRID!$AB:$AB,"&lt;0"))))</f>
        <v/>
      </c>
      <c r="N89" s="49" t="n"/>
      <c r="O89" s="57">
        <f>IF($I89="","",COUNTIFS($I$2:$I$101,"&lt;"&amp;$I89)+1)</f>
        <v/>
      </c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9" t="n"/>
      <c r="Z89" s="49" t="n"/>
      <c r="AA89" s="49" t="n"/>
      <c r="AB89" s="49" t="n"/>
      <c r="AC89" s="49" t="n"/>
      <c r="AD89" s="49" t="n"/>
      <c r="AE89" s="49" t="n"/>
      <c r="AF89" s="49" t="n"/>
      <c r="AG89" s="49" t="n"/>
      <c r="AH89" s="49" t="n"/>
      <c r="AI89" s="49" t="n"/>
      <c r="AJ89" s="49" t="n"/>
      <c r="AK89" s="49" t="n"/>
    </row>
    <row r="90" ht="15" customHeight="1" s="27">
      <c r="A90" s="49" t="n"/>
      <c r="B90" s="57">
        <f>IF($A90="","",IFERROR(INDEX(RESULTADOS_GRID!$C:$C,MATCH($A90,RESULTADOS_GRID!$B:$B,0)),""))</f>
        <v/>
      </c>
      <c r="C90" s="57">
        <f>IF($A90="","",IFERROR(INDEX(RESULTADOS_GRID!$E:$E,MATCH($A90,RESULTADOS_GRID!$B:$B,0)),""))</f>
        <v/>
      </c>
      <c r="D90" s="57">
        <f>IF($A90="","",IFERROR(INDEX(RESULTADOS_GRID!$D:$D,MATCH($A90,RESULTADOS_GRID!$B:$B,0)),""))</f>
        <v/>
      </c>
      <c r="E90" s="57">
        <f>IF($A90="","",COUNTIF(RESULTADOS_GRID!$B:$B,$A90))</f>
        <v/>
      </c>
      <c r="F90" s="54">
        <f>IF($A90="","",SUMIF(RESULTADOS_GRID!$B:$B,$A90,RESULTADOS_GRID!$X:$X))</f>
        <v/>
      </c>
      <c r="G90" s="53" t="n"/>
      <c r="H90" s="58">
        <f>CONFIG_REFERENCIA!$E$7</f>
        <v/>
      </c>
      <c r="I90" s="54">
        <f>IF($A90="","",$F90+N($G90)*$H90)</f>
        <v/>
      </c>
      <c r="J90" s="54">
        <f>IF($A90="","",IF((COUNTIFS(RESULTADOS_GRID!$B:$B,$A90,RESULTADOS_GRID!$Y:$Y,"&gt;=0")+COUNTIFS(RESULTADOS_GRID!$B:$B,$A90,RESULTADOS_GRID!$Y:$Y,"&lt;0"))=0,"",SUMIF(RESULTADOS_GRID!$B:$B,$A90,RESULTADOS_GRID!$Y:$Y)/(COUNTIFS(RESULTADOS_GRID!$B:$B,$A90,RESULTADOS_GRID!$Y:$Y,"&gt;=0")+COUNTIFS(RESULTADOS_GRID!$B:$B,$A90,RESULTADOS_GRID!$Y:$Y,"&lt;0"))))</f>
        <v/>
      </c>
      <c r="K90" s="54">
        <f>IF($A90="","",IF((COUNTIFS(RESULTADOS_GRID!$B:$B,$A90,RESULTADOS_GRID!$Z:$Z,"&gt;=0")+COUNTIFS(RESULTADOS_GRID!$B:$B,$A90,RESULTADOS_GRID!$Z:$Z,"&lt;0"))=0,"",SUMIF(RESULTADOS_GRID!$B:$B,$A90,RESULTADOS_GRID!$Z:$Z)/(COUNTIFS(RESULTADOS_GRID!$B:$B,$A90,RESULTADOS_GRID!$Z:$Z,"&gt;=0")+COUNTIFS(RESULTADOS_GRID!$B:$B,$A90,RESULTADOS_GRID!$Z:$Z,"&lt;0"))))</f>
        <v/>
      </c>
      <c r="L90" s="51">
        <f>IF($A90="","",IF((COUNTIFS(RESULTADOS_GRID!$B:$B,$A90,RESULTADOS_GRID!$AA:$AA,"&gt;=0")+COUNTIFS(RESULTADOS_GRID!$B:$B,$A90,RESULTADOS_GRID!$AA:$AA,"&lt;0"))=0,"",SUMIF(RESULTADOS_GRID!$B:$B,$A90,RESULTADOS_GRID!$AA:$AA)/(COUNTIFS(RESULTADOS_GRID!$B:$B,$A90,RESULTADOS_GRID!$AA:$AA,"&gt;=0")+COUNTIFS(RESULTADOS_GRID!$B:$B,$A90,RESULTADOS_GRID!$AA:$AA,"&lt;0"))))</f>
        <v/>
      </c>
      <c r="M90" s="51">
        <f>IF($A90="","",IF((COUNTIFS(RESULTADOS_GRID!$B:$B,$A90,RESULTADOS_GRID!$AB:$AB,"&gt;=0")+COUNTIFS(RESULTADOS_GRID!$B:$B,$A90,RESULTADOS_GRID!$AB:$AB,"&lt;0"))=0,"",SUMIF(RESULTADOS_GRID!$B:$B,$A90,RESULTADOS_GRID!$AB:$AB)/(COUNTIFS(RESULTADOS_GRID!$B:$B,$A90,RESULTADOS_GRID!$AB:$AB,"&gt;=0")+COUNTIFS(RESULTADOS_GRID!$B:$B,$A90,RESULTADOS_GRID!$AB:$AB,"&lt;0"))))</f>
        <v/>
      </c>
      <c r="N90" s="49" t="n"/>
      <c r="O90" s="57">
        <f>IF($I90="","",COUNTIFS($I$2:$I$101,"&lt;"&amp;$I90)+1)</f>
        <v/>
      </c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9" t="n"/>
      <c r="Z90" s="49" t="n"/>
      <c r="AA90" s="49" t="n"/>
      <c r="AB90" s="49" t="n"/>
      <c r="AC90" s="49" t="n"/>
      <c r="AD90" s="49" t="n"/>
      <c r="AE90" s="49" t="n"/>
      <c r="AF90" s="49" t="n"/>
      <c r="AG90" s="49" t="n"/>
      <c r="AH90" s="49" t="n"/>
      <c r="AI90" s="49" t="n"/>
      <c r="AJ90" s="49" t="n"/>
      <c r="AK90" s="49" t="n"/>
    </row>
    <row r="91" ht="15" customHeight="1" s="27">
      <c r="A91" s="49" t="n"/>
      <c r="B91" s="57">
        <f>IF($A91="","",IFERROR(INDEX(RESULTADOS_GRID!$C:$C,MATCH($A91,RESULTADOS_GRID!$B:$B,0)),""))</f>
        <v/>
      </c>
      <c r="C91" s="57">
        <f>IF($A91="","",IFERROR(INDEX(RESULTADOS_GRID!$E:$E,MATCH($A91,RESULTADOS_GRID!$B:$B,0)),""))</f>
        <v/>
      </c>
      <c r="D91" s="57">
        <f>IF($A91="","",IFERROR(INDEX(RESULTADOS_GRID!$D:$D,MATCH($A91,RESULTADOS_GRID!$B:$B,0)),""))</f>
        <v/>
      </c>
      <c r="E91" s="57">
        <f>IF($A91="","",COUNTIF(RESULTADOS_GRID!$B:$B,$A91))</f>
        <v/>
      </c>
      <c r="F91" s="54">
        <f>IF($A91="","",SUMIF(RESULTADOS_GRID!$B:$B,$A91,RESULTADOS_GRID!$X:$X))</f>
        <v/>
      </c>
      <c r="G91" s="53" t="n"/>
      <c r="H91" s="58">
        <f>CONFIG_REFERENCIA!$E$7</f>
        <v/>
      </c>
      <c r="I91" s="54">
        <f>IF($A91="","",$F91+N($G91)*$H91)</f>
        <v/>
      </c>
      <c r="J91" s="54">
        <f>IF($A91="","",IF((COUNTIFS(RESULTADOS_GRID!$B:$B,$A91,RESULTADOS_GRID!$Y:$Y,"&gt;=0")+COUNTIFS(RESULTADOS_GRID!$B:$B,$A91,RESULTADOS_GRID!$Y:$Y,"&lt;0"))=0,"",SUMIF(RESULTADOS_GRID!$B:$B,$A91,RESULTADOS_GRID!$Y:$Y)/(COUNTIFS(RESULTADOS_GRID!$B:$B,$A91,RESULTADOS_GRID!$Y:$Y,"&gt;=0")+COUNTIFS(RESULTADOS_GRID!$B:$B,$A91,RESULTADOS_GRID!$Y:$Y,"&lt;0"))))</f>
        <v/>
      </c>
      <c r="K91" s="54">
        <f>IF($A91="","",IF((COUNTIFS(RESULTADOS_GRID!$B:$B,$A91,RESULTADOS_GRID!$Z:$Z,"&gt;=0")+COUNTIFS(RESULTADOS_GRID!$B:$B,$A91,RESULTADOS_GRID!$Z:$Z,"&lt;0"))=0,"",SUMIF(RESULTADOS_GRID!$B:$B,$A91,RESULTADOS_GRID!$Z:$Z)/(COUNTIFS(RESULTADOS_GRID!$B:$B,$A91,RESULTADOS_GRID!$Z:$Z,"&gt;=0")+COUNTIFS(RESULTADOS_GRID!$B:$B,$A91,RESULTADOS_GRID!$Z:$Z,"&lt;0"))))</f>
        <v/>
      </c>
      <c r="L91" s="51">
        <f>IF($A91="","",IF((COUNTIFS(RESULTADOS_GRID!$B:$B,$A91,RESULTADOS_GRID!$AA:$AA,"&gt;=0")+COUNTIFS(RESULTADOS_GRID!$B:$B,$A91,RESULTADOS_GRID!$AA:$AA,"&lt;0"))=0,"",SUMIF(RESULTADOS_GRID!$B:$B,$A91,RESULTADOS_GRID!$AA:$AA)/(COUNTIFS(RESULTADOS_GRID!$B:$B,$A91,RESULTADOS_GRID!$AA:$AA,"&gt;=0")+COUNTIFS(RESULTADOS_GRID!$B:$B,$A91,RESULTADOS_GRID!$AA:$AA,"&lt;0"))))</f>
        <v/>
      </c>
      <c r="M91" s="51">
        <f>IF($A91="","",IF((COUNTIFS(RESULTADOS_GRID!$B:$B,$A91,RESULTADOS_GRID!$AB:$AB,"&gt;=0")+COUNTIFS(RESULTADOS_GRID!$B:$B,$A91,RESULTADOS_GRID!$AB:$AB,"&lt;0"))=0,"",SUMIF(RESULTADOS_GRID!$B:$B,$A91,RESULTADOS_GRID!$AB:$AB)/(COUNTIFS(RESULTADOS_GRID!$B:$B,$A91,RESULTADOS_GRID!$AB:$AB,"&gt;=0")+COUNTIFS(RESULTADOS_GRID!$B:$B,$A91,RESULTADOS_GRID!$AB:$AB,"&lt;0"))))</f>
        <v/>
      </c>
      <c r="N91" s="49" t="n"/>
      <c r="O91" s="57">
        <f>IF($I91="","",COUNTIFS($I$2:$I$101,"&lt;"&amp;$I91)+1)</f>
        <v/>
      </c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9" t="n"/>
      <c r="Z91" s="49" t="n"/>
      <c r="AA91" s="49" t="n"/>
      <c r="AB91" s="49" t="n"/>
      <c r="AC91" s="49" t="n"/>
      <c r="AD91" s="49" t="n"/>
      <c r="AE91" s="49" t="n"/>
      <c r="AF91" s="49" t="n"/>
      <c r="AG91" s="49" t="n"/>
      <c r="AH91" s="49" t="n"/>
      <c r="AI91" s="49" t="n"/>
      <c r="AJ91" s="49" t="n"/>
      <c r="AK91" s="49" t="n"/>
    </row>
    <row r="92" ht="15" customHeight="1" s="27">
      <c r="A92" s="49" t="n"/>
      <c r="B92" s="57">
        <f>IF($A92="","",IFERROR(INDEX(RESULTADOS_GRID!$C:$C,MATCH($A92,RESULTADOS_GRID!$B:$B,0)),""))</f>
        <v/>
      </c>
      <c r="C92" s="57">
        <f>IF($A92="","",IFERROR(INDEX(RESULTADOS_GRID!$E:$E,MATCH($A92,RESULTADOS_GRID!$B:$B,0)),""))</f>
        <v/>
      </c>
      <c r="D92" s="57">
        <f>IF($A92="","",IFERROR(INDEX(RESULTADOS_GRID!$D:$D,MATCH($A92,RESULTADOS_GRID!$B:$B,0)),""))</f>
        <v/>
      </c>
      <c r="E92" s="57">
        <f>IF($A92="","",COUNTIF(RESULTADOS_GRID!$B:$B,$A92))</f>
        <v/>
      </c>
      <c r="F92" s="54">
        <f>IF($A92="","",SUMIF(RESULTADOS_GRID!$B:$B,$A92,RESULTADOS_GRID!$X:$X))</f>
        <v/>
      </c>
      <c r="G92" s="53" t="n"/>
      <c r="H92" s="58">
        <f>CONFIG_REFERENCIA!$E$7</f>
        <v/>
      </c>
      <c r="I92" s="54">
        <f>IF($A92="","",$F92+N($G92)*$H92)</f>
        <v/>
      </c>
      <c r="J92" s="54">
        <f>IF($A92="","",IF((COUNTIFS(RESULTADOS_GRID!$B:$B,$A92,RESULTADOS_GRID!$Y:$Y,"&gt;=0")+COUNTIFS(RESULTADOS_GRID!$B:$B,$A92,RESULTADOS_GRID!$Y:$Y,"&lt;0"))=0,"",SUMIF(RESULTADOS_GRID!$B:$B,$A92,RESULTADOS_GRID!$Y:$Y)/(COUNTIFS(RESULTADOS_GRID!$B:$B,$A92,RESULTADOS_GRID!$Y:$Y,"&gt;=0")+COUNTIFS(RESULTADOS_GRID!$B:$B,$A92,RESULTADOS_GRID!$Y:$Y,"&lt;0"))))</f>
        <v/>
      </c>
      <c r="K92" s="54">
        <f>IF($A92="","",IF((COUNTIFS(RESULTADOS_GRID!$B:$B,$A92,RESULTADOS_GRID!$Z:$Z,"&gt;=0")+COUNTIFS(RESULTADOS_GRID!$B:$B,$A92,RESULTADOS_GRID!$Z:$Z,"&lt;0"))=0,"",SUMIF(RESULTADOS_GRID!$B:$B,$A92,RESULTADOS_GRID!$Z:$Z)/(COUNTIFS(RESULTADOS_GRID!$B:$B,$A92,RESULTADOS_GRID!$Z:$Z,"&gt;=0")+COUNTIFS(RESULTADOS_GRID!$B:$B,$A92,RESULTADOS_GRID!$Z:$Z,"&lt;0"))))</f>
        <v/>
      </c>
      <c r="L92" s="51">
        <f>IF($A92="","",IF((COUNTIFS(RESULTADOS_GRID!$B:$B,$A92,RESULTADOS_GRID!$AA:$AA,"&gt;=0")+COUNTIFS(RESULTADOS_GRID!$B:$B,$A92,RESULTADOS_GRID!$AA:$AA,"&lt;0"))=0,"",SUMIF(RESULTADOS_GRID!$B:$B,$A92,RESULTADOS_GRID!$AA:$AA)/(COUNTIFS(RESULTADOS_GRID!$B:$B,$A92,RESULTADOS_GRID!$AA:$AA,"&gt;=0")+COUNTIFS(RESULTADOS_GRID!$B:$B,$A92,RESULTADOS_GRID!$AA:$AA,"&lt;0"))))</f>
        <v/>
      </c>
      <c r="M92" s="51">
        <f>IF($A92="","",IF((COUNTIFS(RESULTADOS_GRID!$B:$B,$A92,RESULTADOS_GRID!$AB:$AB,"&gt;=0")+COUNTIFS(RESULTADOS_GRID!$B:$B,$A92,RESULTADOS_GRID!$AB:$AB,"&lt;0"))=0,"",SUMIF(RESULTADOS_GRID!$B:$B,$A92,RESULTADOS_GRID!$AB:$AB)/(COUNTIFS(RESULTADOS_GRID!$B:$B,$A92,RESULTADOS_GRID!$AB:$AB,"&gt;=0")+COUNTIFS(RESULTADOS_GRID!$B:$B,$A92,RESULTADOS_GRID!$AB:$AB,"&lt;0"))))</f>
        <v/>
      </c>
      <c r="N92" s="49" t="n"/>
      <c r="O92" s="57">
        <f>IF($I92="","",COUNTIFS($I$2:$I$101,"&lt;"&amp;$I92)+1)</f>
        <v/>
      </c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9" t="n"/>
      <c r="Z92" s="49" t="n"/>
      <c r="AA92" s="49" t="n"/>
      <c r="AB92" s="49" t="n"/>
      <c r="AC92" s="49" t="n"/>
      <c r="AD92" s="49" t="n"/>
      <c r="AE92" s="49" t="n"/>
      <c r="AF92" s="49" t="n"/>
      <c r="AG92" s="49" t="n"/>
      <c r="AH92" s="49" t="n"/>
      <c r="AI92" s="49" t="n"/>
      <c r="AJ92" s="49" t="n"/>
      <c r="AK92" s="49" t="n"/>
    </row>
    <row r="93" ht="15" customHeight="1" s="27">
      <c r="A93" s="49" t="n"/>
      <c r="B93" s="57">
        <f>IF($A93="","",IFERROR(INDEX(RESULTADOS_GRID!$C:$C,MATCH($A93,RESULTADOS_GRID!$B:$B,0)),""))</f>
        <v/>
      </c>
      <c r="C93" s="57">
        <f>IF($A93="","",IFERROR(INDEX(RESULTADOS_GRID!$E:$E,MATCH($A93,RESULTADOS_GRID!$B:$B,0)),""))</f>
        <v/>
      </c>
      <c r="D93" s="57">
        <f>IF($A93="","",IFERROR(INDEX(RESULTADOS_GRID!$D:$D,MATCH($A93,RESULTADOS_GRID!$B:$B,0)),""))</f>
        <v/>
      </c>
      <c r="E93" s="57">
        <f>IF($A93="","",COUNTIF(RESULTADOS_GRID!$B:$B,$A93))</f>
        <v/>
      </c>
      <c r="F93" s="54">
        <f>IF($A93="","",SUMIF(RESULTADOS_GRID!$B:$B,$A93,RESULTADOS_GRID!$X:$X))</f>
        <v/>
      </c>
      <c r="G93" s="53" t="n"/>
      <c r="H93" s="58">
        <f>CONFIG_REFERENCIA!$E$7</f>
        <v/>
      </c>
      <c r="I93" s="54">
        <f>IF($A93="","",$F93+N($G93)*$H93)</f>
        <v/>
      </c>
      <c r="J93" s="54">
        <f>IF($A93="","",IF((COUNTIFS(RESULTADOS_GRID!$B:$B,$A93,RESULTADOS_GRID!$Y:$Y,"&gt;=0")+COUNTIFS(RESULTADOS_GRID!$B:$B,$A93,RESULTADOS_GRID!$Y:$Y,"&lt;0"))=0,"",SUMIF(RESULTADOS_GRID!$B:$B,$A93,RESULTADOS_GRID!$Y:$Y)/(COUNTIFS(RESULTADOS_GRID!$B:$B,$A93,RESULTADOS_GRID!$Y:$Y,"&gt;=0")+COUNTIFS(RESULTADOS_GRID!$B:$B,$A93,RESULTADOS_GRID!$Y:$Y,"&lt;0"))))</f>
        <v/>
      </c>
      <c r="K93" s="54">
        <f>IF($A93="","",IF((COUNTIFS(RESULTADOS_GRID!$B:$B,$A93,RESULTADOS_GRID!$Z:$Z,"&gt;=0")+COUNTIFS(RESULTADOS_GRID!$B:$B,$A93,RESULTADOS_GRID!$Z:$Z,"&lt;0"))=0,"",SUMIF(RESULTADOS_GRID!$B:$B,$A93,RESULTADOS_GRID!$Z:$Z)/(COUNTIFS(RESULTADOS_GRID!$B:$B,$A93,RESULTADOS_GRID!$Z:$Z,"&gt;=0")+COUNTIFS(RESULTADOS_GRID!$B:$B,$A93,RESULTADOS_GRID!$Z:$Z,"&lt;0"))))</f>
        <v/>
      </c>
      <c r="L93" s="51">
        <f>IF($A93="","",IF((COUNTIFS(RESULTADOS_GRID!$B:$B,$A93,RESULTADOS_GRID!$AA:$AA,"&gt;=0")+COUNTIFS(RESULTADOS_GRID!$B:$B,$A93,RESULTADOS_GRID!$AA:$AA,"&lt;0"))=0,"",SUMIF(RESULTADOS_GRID!$B:$B,$A93,RESULTADOS_GRID!$AA:$AA)/(COUNTIFS(RESULTADOS_GRID!$B:$B,$A93,RESULTADOS_GRID!$AA:$AA,"&gt;=0")+COUNTIFS(RESULTADOS_GRID!$B:$B,$A93,RESULTADOS_GRID!$AA:$AA,"&lt;0"))))</f>
        <v/>
      </c>
      <c r="M93" s="51">
        <f>IF($A93="","",IF((COUNTIFS(RESULTADOS_GRID!$B:$B,$A93,RESULTADOS_GRID!$AB:$AB,"&gt;=0")+COUNTIFS(RESULTADOS_GRID!$B:$B,$A93,RESULTADOS_GRID!$AB:$AB,"&lt;0"))=0,"",SUMIF(RESULTADOS_GRID!$B:$B,$A93,RESULTADOS_GRID!$AB:$AB)/(COUNTIFS(RESULTADOS_GRID!$B:$B,$A93,RESULTADOS_GRID!$AB:$AB,"&gt;=0")+COUNTIFS(RESULTADOS_GRID!$B:$B,$A93,RESULTADOS_GRID!$AB:$AB,"&lt;0"))))</f>
        <v/>
      </c>
      <c r="N93" s="49" t="n"/>
      <c r="O93" s="57">
        <f>IF($I93="","",COUNTIFS($I$2:$I$101,"&lt;"&amp;$I93)+1)</f>
        <v/>
      </c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9" t="n"/>
      <c r="Z93" s="49" t="n"/>
      <c r="AA93" s="49" t="n"/>
      <c r="AB93" s="49" t="n"/>
      <c r="AC93" s="49" t="n"/>
      <c r="AD93" s="49" t="n"/>
      <c r="AE93" s="49" t="n"/>
      <c r="AF93" s="49" t="n"/>
      <c r="AG93" s="49" t="n"/>
      <c r="AH93" s="49" t="n"/>
      <c r="AI93" s="49" t="n"/>
      <c r="AJ93" s="49" t="n"/>
      <c r="AK93" s="49" t="n"/>
    </row>
    <row r="94" ht="15" customHeight="1" s="27">
      <c r="A94" s="49" t="n"/>
      <c r="B94" s="57">
        <f>IF($A94="","",IFERROR(INDEX(RESULTADOS_GRID!$C:$C,MATCH($A94,RESULTADOS_GRID!$B:$B,0)),""))</f>
        <v/>
      </c>
      <c r="C94" s="57">
        <f>IF($A94="","",IFERROR(INDEX(RESULTADOS_GRID!$E:$E,MATCH($A94,RESULTADOS_GRID!$B:$B,0)),""))</f>
        <v/>
      </c>
      <c r="D94" s="57">
        <f>IF($A94="","",IFERROR(INDEX(RESULTADOS_GRID!$D:$D,MATCH($A94,RESULTADOS_GRID!$B:$B,0)),""))</f>
        <v/>
      </c>
      <c r="E94" s="57">
        <f>IF($A94="","",COUNTIF(RESULTADOS_GRID!$B:$B,$A94))</f>
        <v/>
      </c>
      <c r="F94" s="54">
        <f>IF($A94="","",SUMIF(RESULTADOS_GRID!$B:$B,$A94,RESULTADOS_GRID!$X:$X))</f>
        <v/>
      </c>
      <c r="G94" s="53" t="n"/>
      <c r="H94" s="58">
        <f>CONFIG_REFERENCIA!$E$7</f>
        <v/>
      </c>
      <c r="I94" s="54">
        <f>IF($A94="","",$F94+N($G94)*$H94)</f>
        <v/>
      </c>
      <c r="J94" s="54">
        <f>IF($A94="","",IF((COUNTIFS(RESULTADOS_GRID!$B:$B,$A94,RESULTADOS_GRID!$Y:$Y,"&gt;=0")+COUNTIFS(RESULTADOS_GRID!$B:$B,$A94,RESULTADOS_GRID!$Y:$Y,"&lt;0"))=0,"",SUMIF(RESULTADOS_GRID!$B:$B,$A94,RESULTADOS_GRID!$Y:$Y)/(COUNTIFS(RESULTADOS_GRID!$B:$B,$A94,RESULTADOS_GRID!$Y:$Y,"&gt;=0")+COUNTIFS(RESULTADOS_GRID!$B:$B,$A94,RESULTADOS_GRID!$Y:$Y,"&lt;0"))))</f>
        <v/>
      </c>
      <c r="K94" s="54">
        <f>IF($A94="","",IF((COUNTIFS(RESULTADOS_GRID!$B:$B,$A94,RESULTADOS_GRID!$Z:$Z,"&gt;=0")+COUNTIFS(RESULTADOS_GRID!$B:$B,$A94,RESULTADOS_GRID!$Z:$Z,"&lt;0"))=0,"",SUMIF(RESULTADOS_GRID!$B:$B,$A94,RESULTADOS_GRID!$Z:$Z)/(COUNTIFS(RESULTADOS_GRID!$B:$B,$A94,RESULTADOS_GRID!$Z:$Z,"&gt;=0")+COUNTIFS(RESULTADOS_GRID!$B:$B,$A94,RESULTADOS_GRID!$Z:$Z,"&lt;0"))))</f>
        <v/>
      </c>
      <c r="L94" s="51">
        <f>IF($A94="","",IF((COUNTIFS(RESULTADOS_GRID!$B:$B,$A94,RESULTADOS_GRID!$AA:$AA,"&gt;=0")+COUNTIFS(RESULTADOS_GRID!$B:$B,$A94,RESULTADOS_GRID!$AA:$AA,"&lt;0"))=0,"",SUMIF(RESULTADOS_GRID!$B:$B,$A94,RESULTADOS_GRID!$AA:$AA)/(COUNTIFS(RESULTADOS_GRID!$B:$B,$A94,RESULTADOS_GRID!$AA:$AA,"&gt;=0")+COUNTIFS(RESULTADOS_GRID!$B:$B,$A94,RESULTADOS_GRID!$AA:$AA,"&lt;0"))))</f>
        <v/>
      </c>
      <c r="M94" s="51">
        <f>IF($A94="","",IF((COUNTIFS(RESULTADOS_GRID!$B:$B,$A94,RESULTADOS_GRID!$AB:$AB,"&gt;=0")+COUNTIFS(RESULTADOS_GRID!$B:$B,$A94,RESULTADOS_GRID!$AB:$AB,"&lt;0"))=0,"",SUMIF(RESULTADOS_GRID!$B:$B,$A94,RESULTADOS_GRID!$AB:$AB)/(COUNTIFS(RESULTADOS_GRID!$B:$B,$A94,RESULTADOS_GRID!$AB:$AB,"&gt;=0")+COUNTIFS(RESULTADOS_GRID!$B:$B,$A94,RESULTADOS_GRID!$AB:$AB,"&lt;0"))))</f>
        <v/>
      </c>
      <c r="N94" s="49" t="n"/>
      <c r="O94" s="57">
        <f>IF($I94="","",COUNTIFS($I$2:$I$101,"&lt;"&amp;$I94)+1)</f>
        <v/>
      </c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9" t="n"/>
      <c r="Z94" s="49" t="n"/>
      <c r="AA94" s="49" t="n"/>
      <c r="AB94" s="49" t="n"/>
      <c r="AC94" s="49" t="n"/>
      <c r="AD94" s="49" t="n"/>
      <c r="AE94" s="49" t="n"/>
      <c r="AF94" s="49" t="n"/>
      <c r="AG94" s="49" t="n"/>
      <c r="AH94" s="49" t="n"/>
      <c r="AI94" s="49" t="n"/>
      <c r="AJ94" s="49" t="n"/>
      <c r="AK94" s="49" t="n"/>
    </row>
    <row r="95" ht="15" customHeight="1" s="27">
      <c r="A95" s="49" t="n"/>
      <c r="B95" s="57">
        <f>IF($A95="","",IFERROR(INDEX(RESULTADOS_GRID!$C:$C,MATCH($A95,RESULTADOS_GRID!$B:$B,0)),""))</f>
        <v/>
      </c>
      <c r="C95" s="57">
        <f>IF($A95="","",IFERROR(INDEX(RESULTADOS_GRID!$E:$E,MATCH($A95,RESULTADOS_GRID!$B:$B,0)),""))</f>
        <v/>
      </c>
      <c r="D95" s="57">
        <f>IF($A95="","",IFERROR(INDEX(RESULTADOS_GRID!$D:$D,MATCH($A95,RESULTADOS_GRID!$B:$B,0)),""))</f>
        <v/>
      </c>
      <c r="E95" s="57">
        <f>IF($A95="","",COUNTIF(RESULTADOS_GRID!$B:$B,$A95))</f>
        <v/>
      </c>
      <c r="F95" s="54">
        <f>IF($A95="","",SUMIF(RESULTADOS_GRID!$B:$B,$A95,RESULTADOS_GRID!$X:$X))</f>
        <v/>
      </c>
      <c r="G95" s="53" t="n"/>
      <c r="H95" s="58">
        <f>CONFIG_REFERENCIA!$E$7</f>
        <v/>
      </c>
      <c r="I95" s="54">
        <f>IF($A95="","",$F95+N($G95)*$H95)</f>
        <v/>
      </c>
      <c r="J95" s="54">
        <f>IF($A95="","",IF((COUNTIFS(RESULTADOS_GRID!$B:$B,$A95,RESULTADOS_GRID!$Y:$Y,"&gt;=0")+COUNTIFS(RESULTADOS_GRID!$B:$B,$A95,RESULTADOS_GRID!$Y:$Y,"&lt;0"))=0,"",SUMIF(RESULTADOS_GRID!$B:$B,$A95,RESULTADOS_GRID!$Y:$Y)/(COUNTIFS(RESULTADOS_GRID!$B:$B,$A95,RESULTADOS_GRID!$Y:$Y,"&gt;=0")+COUNTIFS(RESULTADOS_GRID!$B:$B,$A95,RESULTADOS_GRID!$Y:$Y,"&lt;0"))))</f>
        <v/>
      </c>
      <c r="K95" s="54">
        <f>IF($A95="","",IF((COUNTIFS(RESULTADOS_GRID!$B:$B,$A95,RESULTADOS_GRID!$Z:$Z,"&gt;=0")+COUNTIFS(RESULTADOS_GRID!$B:$B,$A95,RESULTADOS_GRID!$Z:$Z,"&lt;0"))=0,"",SUMIF(RESULTADOS_GRID!$B:$B,$A95,RESULTADOS_GRID!$Z:$Z)/(COUNTIFS(RESULTADOS_GRID!$B:$B,$A95,RESULTADOS_GRID!$Z:$Z,"&gt;=0")+COUNTIFS(RESULTADOS_GRID!$B:$B,$A95,RESULTADOS_GRID!$Z:$Z,"&lt;0"))))</f>
        <v/>
      </c>
      <c r="L95" s="51">
        <f>IF($A95="","",IF((COUNTIFS(RESULTADOS_GRID!$B:$B,$A95,RESULTADOS_GRID!$AA:$AA,"&gt;=0")+COUNTIFS(RESULTADOS_GRID!$B:$B,$A95,RESULTADOS_GRID!$AA:$AA,"&lt;0"))=0,"",SUMIF(RESULTADOS_GRID!$B:$B,$A95,RESULTADOS_GRID!$AA:$AA)/(COUNTIFS(RESULTADOS_GRID!$B:$B,$A95,RESULTADOS_GRID!$AA:$AA,"&gt;=0")+COUNTIFS(RESULTADOS_GRID!$B:$B,$A95,RESULTADOS_GRID!$AA:$AA,"&lt;0"))))</f>
        <v/>
      </c>
      <c r="M95" s="51">
        <f>IF($A95="","",IF((COUNTIFS(RESULTADOS_GRID!$B:$B,$A95,RESULTADOS_GRID!$AB:$AB,"&gt;=0")+COUNTIFS(RESULTADOS_GRID!$B:$B,$A95,RESULTADOS_GRID!$AB:$AB,"&lt;0"))=0,"",SUMIF(RESULTADOS_GRID!$B:$B,$A95,RESULTADOS_GRID!$AB:$AB)/(COUNTIFS(RESULTADOS_GRID!$B:$B,$A95,RESULTADOS_GRID!$AB:$AB,"&gt;=0")+COUNTIFS(RESULTADOS_GRID!$B:$B,$A95,RESULTADOS_GRID!$AB:$AB,"&lt;0"))))</f>
        <v/>
      </c>
      <c r="N95" s="49" t="n"/>
      <c r="O95" s="57">
        <f>IF($I95="","",COUNTIFS($I$2:$I$101,"&lt;"&amp;$I95)+1)</f>
        <v/>
      </c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9" t="n"/>
      <c r="Z95" s="49" t="n"/>
      <c r="AA95" s="49" t="n"/>
      <c r="AB95" s="49" t="n"/>
      <c r="AC95" s="49" t="n"/>
      <c r="AD95" s="49" t="n"/>
      <c r="AE95" s="49" t="n"/>
      <c r="AF95" s="49" t="n"/>
      <c r="AG95" s="49" t="n"/>
      <c r="AH95" s="49" t="n"/>
      <c r="AI95" s="49" t="n"/>
      <c r="AJ95" s="49" t="n"/>
      <c r="AK95" s="49" t="n"/>
    </row>
    <row r="96" ht="15" customHeight="1" s="27">
      <c r="A96" s="49" t="n"/>
      <c r="B96" s="57">
        <f>IF($A96="","",IFERROR(INDEX(RESULTADOS_GRID!$C:$C,MATCH($A96,RESULTADOS_GRID!$B:$B,0)),""))</f>
        <v/>
      </c>
      <c r="C96" s="57">
        <f>IF($A96="","",IFERROR(INDEX(RESULTADOS_GRID!$E:$E,MATCH($A96,RESULTADOS_GRID!$B:$B,0)),""))</f>
        <v/>
      </c>
      <c r="D96" s="57">
        <f>IF($A96="","",IFERROR(INDEX(RESULTADOS_GRID!$D:$D,MATCH($A96,RESULTADOS_GRID!$B:$B,0)),""))</f>
        <v/>
      </c>
      <c r="E96" s="57">
        <f>IF($A96="","",COUNTIF(RESULTADOS_GRID!$B:$B,$A96))</f>
        <v/>
      </c>
      <c r="F96" s="54">
        <f>IF($A96="","",SUMIF(RESULTADOS_GRID!$B:$B,$A96,RESULTADOS_GRID!$X:$X))</f>
        <v/>
      </c>
      <c r="G96" s="53" t="n"/>
      <c r="H96" s="58">
        <f>CONFIG_REFERENCIA!$E$7</f>
        <v/>
      </c>
      <c r="I96" s="54">
        <f>IF($A96="","",$F96+N($G96)*$H96)</f>
        <v/>
      </c>
      <c r="J96" s="54">
        <f>IF($A96="","",IF((COUNTIFS(RESULTADOS_GRID!$B:$B,$A96,RESULTADOS_GRID!$Y:$Y,"&gt;=0")+COUNTIFS(RESULTADOS_GRID!$B:$B,$A96,RESULTADOS_GRID!$Y:$Y,"&lt;0"))=0,"",SUMIF(RESULTADOS_GRID!$B:$B,$A96,RESULTADOS_GRID!$Y:$Y)/(COUNTIFS(RESULTADOS_GRID!$B:$B,$A96,RESULTADOS_GRID!$Y:$Y,"&gt;=0")+COUNTIFS(RESULTADOS_GRID!$B:$B,$A96,RESULTADOS_GRID!$Y:$Y,"&lt;0"))))</f>
        <v/>
      </c>
      <c r="K96" s="54">
        <f>IF($A96="","",IF((COUNTIFS(RESULTADOS_GRID!$B:$B,$A96,RESULTADOS_GRID!$Z:$Z,"&gt;=0")+COUNTIFS(RESULTADOS_GRID!$B:$B,$A96,RESULTADOS_GRID!$Z:$Z,"&lt;0"))=0,"",SUMIF(RESULTADOS_GRID!$B:$B,$A96,RESULTADOS_GRID!$Z:$Z)/(COUNTIFS(RESULTADOS_GRID!$B:$B,$A96,RESULTADOS_GRID!$Z:$Z,"&gt;=0")+COUNTIFS(RESULTADOS_GRID!$B:$B,$A96,RESULTADOS_GRID!$Z:$Z,"&lt;0"))))</f>
        <v/>
      </c>
      <c r="L96" s="51">
        <f>IF($A96="","",IF((COUNTIFS(RESULTADOS_GRID!$B:$B,$A96,RESULTADOS_GRID!$AA:$AA,"&gt;=0")+COUNTIFS(RESULTADOS_GRID!$B:$B,$A96,RESULTADOS_GRID!$AA:$AA,"&lt;0"))=0,"",SUMIF(RESULTADOS_GRID!$B:$B,$A96,RESULTADOS_GRID!$AA:$AA)/(COUNTIFS(RESULTADOS_GRID!$B:$B,$A96,RESULTADOS_GRID!$AA:$AA,"&gt;=0")+COUNTIFS(RESULTADOS_GRID!$B:$B,$A96,RESULTADOS_GRID!$AA:$AA,"&lt;0"))))</f>
        <v/>
      </c>
      <c r="M96" s="51">
        <f>IF($A96="","",IF((COUNTIFS(RESULTADOS_GRID!$B:$B,$A96,RESULTADOS_GRID!$AB:$AB,"&gt;=0")+COUNTIFS(RESULTADOS_GRID!$B:$B,$A96,RESULTADOS_GRID!$AB:$AB,"&lt;0"))=0,"",SUMIF(RESULTADOS_GRID!$B:$B,$A96,RESULTADOS_GRID!$AB:$AB)/(COUNTIFS(RESULTADOS_GRID!$B:$B,$A96,RESULTADOS_GRID!$AB:$AB,"&gt;=0")+COUNTIFS(RESULTADOS_GRID!$B:$B,$A96,RESULTADOS_GRID!$AB:$AB,"&lt;0"))))</f>
        <v/>
      </c>
      <c r="N96" s="49" t="n"/>
      <c r="O96" s="57">
        <f>IF($I96="","",COUNTIFS($I$2:$I$101,"&lt;"&amp;$I96)+1)</f>
        <v/>
      </c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9" t="n"/>
      <c r="Z96" s="49" t="n"/>
      <c r="AA96" s="49" t="n"/>
      <c r="AB96" s="49" t="n"/>
      <c r="AC96" s="49" t="n"/>
      <c r="AD96" s="49" t="n"/>
      <c r="AE96" s="49" t="n"/>
      <c r="AF96" s="49" t="n"/>
      <c r="AG96" s="49" t="n"/>
      <c r="AH96" s="49" t="n"/>
      <c r="AI96" s="49" t="n"/>
      <c r="AJ96" s="49" t="n"/>
      <c r="AK96" s="49" t="n"/>
    </row>
    <row r="97" ht="15" customHeight="1" s="27">
      <c r="A97" s="49" t="n"/>
      <c r="B97" s="57">
        <f>IF($A97="","",IFERROR(INDEX(RESULTADOS_GRID!$C:$C,MATCH($A97,RESULTADOS_GRID!$B:$B,0)),""))</f>
        <v/>
      </c>
      <c r="C97" s="57">
        <f>IF($A97="","",IFERROR(INDEX(RESULTADOS_GRID!$E:$E,MATCH($A97,RESULTADOS_GRID!$B:$B,0)),""))</f>
        <v/>
      </c>
      <c r="D97" s="57">
        <f>IF($A97="","",IFERROR(INDEX(RESULTADOS_GRID!$D:$D,MATCH($A97,RESULTADOS_GRID!$B:$B,0)),""))</f>
        <v/>
      </c>
      <c r="E97" s="57">
        <f>IF($A97="","",COUNTIF(RESULTADOS_GRID!$B:$B,$A97))</f>
        <v/>
      </c>
      <c r="F97" s="54">
        <f>IF($A97="","",SUMIF(RESULTADOS_GRID!$B:$B,$A97,RESULTADOS_GRID!$X:$X))</f>
        <v/>
      </c>
      <c r="G97" s="53" t="n"/>
      <c r="H97" s="58">
        <f>CONFIG_REFERENCIA!$E$7</f>
        <v/>
      </c>
      <c r="I97" s="54">
        <f>IF($A97="","",$F97+N($G97)*$H97)</f>
        <v/>
      </c>
      <c r="J97" s="54">
        <f>IF($A97="","",IF((COUNTIFS(RESULTADOS_GRID!$B:$B,$A97,RESULTADOS_GRID!$Y:$Y,"&gt;=0")+COUNTIFS(RESULTADOS_GRID!$B:$B,$A97,RESULTADOS_GRID!$Y:$Y,"&lt;0"))=0,"",SUMIF(RESULTADOS_GRID!$B:$B,$A97,RESULTADOS_GRID!$Y:$Y)/(COUNTIFS(RESULTADOS_GRID!$B:$B,$A97,RESULTADOS_GRID!$Y:$Y,"&gt;=0")+COUNTIFS(RESULTADOS_GRID!$B:$B,$A97,RESULTADOS_GRID!$Y:$Y,"&lt;0"))))</f>
        <v/>
      </c>
      <c r="K97" s="54">
        <f>IF($A97="","",IF((COUNTIFS(RESULTADOS_GRID!$B:$B,$A97,RESULTADOS_GRID!$Z:$Z,"&gt;=0")+COUNTIFS(RESULTADOS_GRID!$B:$B,$A97,RESULTADOS_GRID!$Z:$Z,"&lt;0"))=0,"",SUMIF(RESULTADOS_GRID!$B:$B,$A97,RESULTADOS_GRID!$Z:$Z)/(COUNTIFS(RESULTADOS_GRID!$B:$B,$A97,RESULTADOS_GRID!$Z:$Z,"&gt;=0")+COUNTIFS(RESULTADOS_GRID!$B:$B,$A97,RESULTADOS_GRID!$Z:$Z,"&lt;0"))))</f>
        <v/>
      </c>
      <c r="L97" s="51">
        <f>IF($A97="","",IF((COUNTIFS(RESULTADOS_GRID!$B:$B,$A97,RESULTADOS_GRID!$AA:$AA,"&gt;=0")+COUNTIFS(RESULTADOS_GRID!$B:$B,$A97,RESULTADOS_GRID!$AA:$AA,"&lt;0"))=0,"",SUMIF(RESULTADOS_GRID!$B:$B,$A97,RESULTADOS_GRID!$AA:$AA)/(COUNTIFS(RESULTADOS_GRID!$B:$B,$A97,RESULTADOS_GRID!$AA:$AA,"&gt;=0")+COUNTIFS(RESULTADOS_GRID!$B:$B,$A97,RESULTADOS_GRID!$AA:$AA,"&lt;0"))))</f>
        <v/>
      </c>
      <c r="M97" s="51">
        <f>IF($A97="","",IF((COUNTIFS(RESULTADOS_GRID!$B:$B,$A97,RESULTADOS_GRID!$AB:$AB,"&gt;=0")+COUNTIFS(RESULTADOS_GRID!$B:$B,$A97,RESULTADOS_GRID!$AB:$AB,"&lt;0"))=0,"",SUMIF(RESULTADOS_GRID!$B:$B,$A97,RESULTADOS_GRID!$AB:$AB)/(COUNTIFS(RESULTADOS_GRID!$B:$B,$A97,RESULTADOS_GRID!$AB:$AB,"&gt;=0")+COUNTIFS(RESULTADOS_GRID!$B:$B,$A97,RESULTADOS_GRID!$AB:$AB,"&lt;0"))))</f>
        <v/>
      </c>
      <c r="N97" s="49" t="n"/>
      <c r="O97" s="57">
        <f>IF($I97="","",COUNTIFS($I$2:$I$101,"&lt;"&amp;$I97)+1)</f>
        <v/>
      </c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9" t="n"/>
      <c r="Z97" s="49" t="n"/>
      <c r="AA97" s="49" t="n"/>
      <c r="AB97" s="49" t="n"/>
      <c r="AC97" s="49" t="n"/>
      <c r="AD97" s="49" t="n"/>
      <c r="AE97" s="49" t="n"/>
      <c r="AF97" s="49" t="n"/>
      <c r="AG97" s="49" t="n"/>
      <c r="AH97" s="49" t="n"/>
      <c r="AI97" s="49" t="n"/>
      <c r="AJ97" s="49" t="n"/>
      <c r="AK97" s="49" t="n"/>
    </row>
    <row r="98" ht="15" customHeight="1" s="27">
      <c r="A98" s="49" t="n"/>
      <c r="B98" s="57">
        <f>IF($A98="","",IFERROR(INDEX(RESULTADOS_GRID!$C:$C,MATCH($A98,RESULTADOS_GRID!$B:$B,0)),""))</f>
        <v/>
      </c>
      <c r="C98" s="57">
        <f>IF($A98="","",IFERROR(INDEX(RESULTADOS_GRID!$E:$E,MATCH($A98,RESULTADOS_GRID!$B:$B,0)),""))</f>
        <v/>
      </c>
      <c r="D98" s="57">
        <f>IF($A98="","",IFERROR(INDEX(RESULTADOS_GRID!$D:$D,MATCH($A98,RESULTADOS_GRID!$B:$B,0)),""))</f>
        <v/>
      </c>
      <c r="E98" s="57">
        <f>IF($A98="","",COUNTIF(RESULTADOS_GRID!$B:$B,$A98))</f>
        <v/>
      </c>
      <c r="F98" s="54">
        <f>IF($A98="","",SUMIF(RESULTADOS_GRID!$B:$B,$A98,RESULTADOS_GRID!$X:$X))</f>
        <v/>
      </c>
      <c r="G98" s="53" t="n"/>
      <c r="H98" s="58">
        <f>CONFIG_REFERENCIA!$E$7</f>
        <v/>
      </c>
      <c r="I98" s="54">
        <f>IF($A98="","",$F98+N($G98)*$H98)</f>
        <v/>
      </c>
      <c r="J98" s="54">
        <f>IF($A98="","",IF((COUNTIFS(RESULTADOS_GRID!$B:$B,$A98,RESULTADOS_GRID!$Y:$Y,"&gt;=0")+COUNTIFS(RESULTADOS_GRID!$B:$B,$A98,RESULTADOS_GRID!$Y:$Y,"&lt;0"))=0,"",SUMIF(RESULTADOS_GRID!$B:$B,$A98,RESULTADOS_GRID!$Y:$Y)/(COUNTIFS(RESULTADOS_GRID!$B:$B,$A98,RESULTADOS_GRID!$Y:$Y,"&gt;=0")+COUNTIFS(RESULTADOS_GRID!$B:$B,$A98,RESULTADOS_GRID!$Y:$Y,"&lt;0"))))</f>
        <v/>
      </c>
      <c r="K98" s="54">
        <f>IF($A98="","",IF((COUNTIFS(RESULTADOS_GRID!$B:$B,$A98,RESULTADOS_GRID!$Z:$Z,"&gt;=0")+COUNTIFS(RESULTADOS_GRID!$B:$B,$A98,RESULTADOS_GRID!$Z:$Z,"&lt;0"))=0,"",SUMIF(RESULTADOS_GRID!$B:$B,$A98,RESULTADOS_GRID!$Z:$Z)/(COUNTIFS(RESULTADOS_GRID!$B:$B,$A98,RESULTADOS_GRID!$Z:$Z,"&gt;=0")+COUNTIFS(RESULTADOS_GRID!$B:$B,$A98,RESULTADOS_GRID!$Z:$Z,"&lt;0"))))</f>
        <v/>
      </c>
      <c r="L98" s="51">
        <f>IF($A98="","",IF((COUNTIFS(RESULTADOS_GRID!$B:$B,$A98,RESULTADOS_GRID!$AA:$AA,"&gt;=0")+COUNTIFS(RESULTADOS_GRID!$B:$B,$A98,RESULTADOS_GRID!$AA:$AA,"&lt;0"))=0,"",SUMIF(RESULTADOS_GRID!$B:$B,$A98,RESULTADOS_GRID!$AA:$AA)/(COUNTIFS(RESULTADOS_GRID!$B:$B,$A98,RESULTADOS_GRID!$AA:$AA,"&gt;=0")+COUNTIFS(RESULTADOS_GRID!$B:$B,$A98,RESULTADOS_GRID!$AA:$AA,"&lt;0"))))</f>
        <v/>
      </c>
      <c r="M98" s="51">
        <f>IF($A98="","",IF((COUNTIFS(RESULTADOS_GRID!$B:$B,$A98,RESULTADOS_GRID!$AB:$AB,"&gt;=0")+COUNTIFS(RESULTADOS_GRID!$B:$B,$A98,RESULTADOS_GRID!$AB:$AB,"&lt;0"))=0,"",SUMIF(RESULTADOS_GRID!$B:$B,$A98,RESULTADOS_GRID!$AB:$AB)/(COUNTIFS(RESULTADOS_GRID!$B:$B,$A98,RESULTADOS_GRID!$AB:$AB,"&gt;=0")+COUNTIFS(RESULTADOS_GRID!$B:$B,$A98,RESULTADOS_GRID!$AB:$AB,"&lt;0"))))</f>
        <v/>
      </c>
      <c r="N98" s="49" t="n"/>
      <c r="O98" s="57">
        <f>IF($I98="","",COUNTIFS($I$2:$I$101,"&lt;"&amp;$I98)+1)</f>
        <v/>
      </c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9" t="n"/>
      <c r="Z98" s="49" t="n"/>
      <c r="AA98" s="49" t="n"/>
      <c r="AB98" s="49" t="n"/>
      <c r="AC98" s="49" t="n"/>
      <c r="AD98" s="49" t="n"/>
      <c r="AE98" s="49" t="n"/>
      <c r="AF98" s="49" t="n"/>
      <c r="AG98" s="49" t="n"/>
      <c r="AH98" s="49" t="n"/>
      <c r="AI98" s="49" t="n"/>
      <c r="AJ98" s="49" t="n"/>
      <c r="AK98" s="49" t="n"/>
    </row>
    <row r="99" ht="15" customHeight="1" s="27">
      <c r="A99" s="49" t="n"/>
      <c r="B99" s="57">
        <f>IF($A99="","",IFERROR(INDEX(RESULTADOS_GRID!$C:$C,MATCH($A99,RESULTADOS_GRID!$B:$B,0)),""))</f>
        <v/>
      </c>
      <c r="C99" s="57">
        <f>IF($A99="","",IFERROR(INDEX(RESULTADOS_GRID!$E:$E,MATCH($A99,RESULTADOS_GRID!$B:$B,0)),""))</f>
        <v/>
      </c>
      <c r="D99" s="57">
        <f>IF($A99="","",IFERROR(INDEX(RESULTADOS_GRID!$D:$D,MATCH($A99,RESULTADOS_GRID!$B:$B,0)),""))</f>
        <v/>
      </c>
      <c r="E99" s="57">
        <f>IF($A99="","",COUNTIF(RESULTADOS_GRID!$B:$B,$A99))</f>
        <v/>
      </c>
      <c r="F99" s="54">
        <f>IF($A99="","",SUMIF(RESULTADOS_GRID!$B:$B,$A99,RESULTADOS_GRID!$X:$X))</f>
        <v/>
      </c>
      <c r="G99" s="53" t="n"/>
      <c r="H99" s="58">
        <f>CONFIG_REFERENCIA!$E$7</f>
        <v/>
      </c>
      <c r="I99" s="54">
        <f>IF($A99="","",$F99+N($G99)*$H99)</f>
        <v/>
      </c>
      <c r="J99" s="54">
        <f>IF($A99="","",IF((COUNTIFS(RESULTADOS_GRID!$B:$B,$A99,RESULTADOS_GRID!$Y:$Y,"&gt;=0")+COUNTIFS(RESULTADOS_GRID!$B:$B,$A99,RESULTADOS_GRID!$Y:$Y,"&lt;0"))=0,"",SUMIF(RESULTADOS_GRID!$B:$B,$A99,RESULTADOS_GRID!$Y:$Y)/(COUNTIFS(RESULTADOS_GRID!$B:$B,$A99,RESULTADOS_GRID!$Y:$Y,"&gt;=0")+COUNTIFS(RESULTADOS_GRID!$B:$B,$A99,RESULTADOS_GRID!$Y:$Y,"&lt;0"))))</f>
        <v/>
      </c>
      <c r="K99" s="54">
        <f>IF($A99="","",IF((COUNTIFS(RESULTADOS_GRID!$B:$B,$A99,RESULTADOS_GRID!$Z:$Z,"&gt;=0")+COUNTIFS(RESULTADOS_GRID!$B:$B,$A99,RESULTADOS_GRID!$Z:$Z,"&lt;0"))=0,"",SUMIF(RESULTADOS_GRID!$B:$B,$A99,RESULTADOS_GRID!$Z:$Z)/(COUNTIFS(RESULTADOS_GRID!$B:$B,$A99,RESULTADOS_GRID!$Z:$Z,"&gt;=0")+COUNTIFS(RESULTADOS_GRID!$B:$B,$A99,RESULTADOS_GRID!$Z:$Z,"&lt;0"))))</f>
        <v/>
      </c>
      <c r="L99" s="51">
        <f>IF($A99="","",IF((COUNTIFS(RESULTADOS_GRID!$B:$B,$A99,RESULTADOS_GRID!$AA:$AA,"&gt;=0")+COUNTIFS(RESULTADOS_GRID!$B:$B,$A99,RESULTADOS_GRID!$AA:$AA,"&lt;0"))=0,"",SUMIF(RESULTADOS_GRID!$B:$B,$A99,RESULTADOS_GRID!$AA:$AA)/(COUNTIFS(RESULTADOS_GRID!$B:$B,$A99,RESULTADOS_GRID!$AA:$AA,"&gt;=0")+COUNTIFS(RESULTADOS_GRID!$B:$B,$A99,RESULTADOS_GRID!$AA:$AA,"&lt;0"))))</f>
        <v/>
      </c>
      <c r="M99" s="51">
        <f>IF($A99="","",IF((COUNTIFS(RESULTADOS_GRID!$B:$B,$A99,RESULTADOS_GRID!$AB:$AB,"&gt;=0")+COUNTIFS(RESULTADOS_GRID!$B:$B,$A99,RESULTADOS_GRID!$AB:$AB,"&lt;0"))=0,"",SUMIF(RESULTADOS_GRID!$B:$B,$A99,RESULTADOS_GRID!$AB:$AB)/(COUNTIFS(RESULTADOS_GRID!$B:$B,$A99,RESULTADOS_GRID!$AB:$AB,"&gt;=0")+COUNTIFS(RESULTADOS_GRID!$B:$B,$A99,RESULTADOS_GRID!$AB:$AB,"&lt;0"))))</f>
        <v/>
      </c>
      <c r="N99" s="49" t="n"/>
      <c r="O99" s="57">
        <f>IF($I99="","",COUNTIFS($I$2:$I$101,"&lt;"&amp;$I99)+1)</f>
        <v/>
      </c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9" t="n"/>
      <c r="Z99" s="49" t="n"/>
      <c r="AA99" s="49" t="n"/>
      <c r="AB99" s="49" t="n"/>
      <c r="AC99" s="49" t="n"/>
      <c r="AD99" s="49" t="n"/>
      <c r="AE99" s="49" t="n"/>
      <c r="AF99" s="49" t="n"/>
      <c r="AG99" s="49" t="n"/>
      <c r="AH99" s="49" t="n"/>
      <c r="AI99" s="49" t="n"/>
      <c r="AJ99" s="49" t="n"/>
      <c r="AK99" s="49" t="n"/>
    </row>
    <row r="100" ht="15" customHeight="1" s="27">
      <c r="A100" s="49" t="n"/>
      <c r="B100" s="57">
        <f>IF($A100="","",IFERROR(INDEX(RESULTADOS_GRID!$C:$C,MATCH($A100,RESULTADOS_GRID!$B:$B,0)),""))</f>
        <v/>
      </c>
      <c r="C100" s="57">
        <f>IF($A100="","",IFERROR(INDEX(RESULTADOS_GRID!$E:$E,MATCH($A100,RESULTADOS_GRID!$B:$B,0)),""))</f>
        <v/>
      </c>
      <c r="D100" s="57">
        <f>IF($A100="","",IFERROR(INDEX(RESULTADOS_GRID!$D:$D,MATCH($A100,RESULTADOS_GRID!$B:$B,0)),""))</f>
        <v/>
      </c>
      <c r="E100" s="57">
        <f>IF($A100="","",COUNTIF(RESULTADOS_GRID!$B:$B,$A100))</f>
        <v/>
      </c>
      <c r="F100" s="54">
        <f>IF($A100="","",SUMIF(RESULTADOS_GRID!$B:$B,$A100,RESULTADOS_GRID!$X:$X))</f>
        <v/>
      </c>
      <c r="G100" s="53" t="n"/>
      <c r="H100" s="58">
        <f>CONFIG_REFERENCIA!$E$7</f>
        <v/>
      </c>
      <c r="I100" s="54">
        <f>IF($A100="","",$F100+N($G100)*$H100)</f>
        <v/>
      </c>
      <c r="J100" s="54">
        <f>IF($A100="","",IF((COUNTIFS(RESULTADOS_GRID!$B:$B,$A100,RESULTADOS_GRID!$Y:$Y,"&gt;=0")+COUNTIFS(RESULTADOS_GRID!$B:$B,$A100,RESULTADOS_GRID!$Y:$Y,"&lt;0"))=0,"",SUMIF(RESULTADOS_GRID!$B:$B,$A100,RESULTADOS_GRID!$Y:$Y)/(COUNTIFS(RESULTADOS_GRID!$B:$B,$A100,RESULTADOS_GRID!$Y:$Y,"&gt;=0")+COUNTIFS(RESULTADOS_GRID!$B:$B,$A100,RESULTADOS_GRID!$Y:$Y,"&lt;0"))))</f>
        <v/>
      </c>
      <c r="K100" s="54">
        <f>IF($A100="","",IF((COUNTIFS(RESULTADOS_GRID!$B:$B,$A100,RESULTADOS_GRID!$Z:$Z,"&gt;=0")+COUNTIFS(RESULTADOS_GRID!$B:$B,$A100,RESULTADOS_GRID!$Z:$Z,"&lt;0"))=0,"",SUMIF(RESULTADOS_GRID!$B:$B,$A100,RESULTADOS_GRID!$Z:$Z)/(COUNTIFS(RESULTADOS_GRID!$B:$B,$A100,RESULTADOS_GRID!$Z:$Z,"&gt;=0")+COUNTIFS(RESULTADOS_GRID!$B:$B,$A100,RESULTADOS_GRID!$Z:$Z,"&lt;0"))))</f>
        <v/>
      </c>
      <c r="L100" s="51">
        <f>IF($A100="","",IF((COUNTIFS(RESULTADOS_GRID!$B:$B,$A100,RESULTADOS_GRID!$AA:$AA,"&gt;=0")+COUNTIFS(RESULTADOS_GRID!$B:$B,$A100,RESULTADOS_GRID!$AA:$AA,"&lt;0"))=0,"",SUMIF(RESULTADOS_GRID!$B:$B,$A100,RESULTADOS_GRID!$AA:$AA)/(COUNTIFS(RESULTADOS_GRID!$B:$B,$A100,RESULTADOS_GRID!$AA:$AA,"&gt;=0")+COUNTIFS(RESULTADOS_GRID!$B:$B,$A100,RESULTADOS_GRID!$AA:$AA,"&lt;0"))))</f>
        <v/>
      </c>
      <c r="M100" s="51">
        <f>IF($A100="","",IF((COUNTIFS(RESULTADOS_GRID!$B:$B,$A100,RESULTADOS_GRID!$AB:$AB,"&gt;=0")+COUNTIFS(RESULTADOS_GRID!$B:$B,$A100,RESULTADOS_GRID!$AB:$AB,"&lt;0"))=0,"",SUMIF(RESULTADOS_GRID!$B:$B,$A100,RESULTADOS_GRID!$AB:$AB)/(COUNTIFS(RESULTADOS_GRID!$B:$B,$A100,RESULTADOS_GRID!$AB:$AB,"&gt;=0")+COUNTIFS(RESULTADOS_GRID!$B:$B,$A100,RESULTADOS_GRID!$AB:$AB,"&lt;0"))))</f>
        <v/>
      </c>
      <c r="N100" s="49" t="n"/>
      <c r="O100" s="57">
        <f>IF($I100="","",COUNTIFS($I$2:$I$101,"&lt;"&amp;$I100)+1)</f>
        <v/>
      </c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9" t="n"/>
      <c r="Z100" s="49" t="n"/>
      <c r="AA100" s="49" t="n"/>
      <c r="AB100" s="49" t="n"/>
      <c r="AC100" s="49" t="n"/>
      <c r="AD100" s="49" t="n"/>
      <c r="AE100" s="49" t="n"/>
      <c r="AF100" s="49" t="n"/>
      <c r="AG100" s="49" t="n"/>
      <c r="AH100" s="49" t="n"/>
      <c r="AI100" s="49" t="n"/>
      <c r="AJ100" s="49" t="n"/>
      <c r="AK100" s="49" t="n"/>
    </row>
    <row r="101" ht="15" customHeight="1" s="27">
      <c r="A101" s="49" t="n"/>
      <c r="B101" s="57">
        <f>IF($A101="","",IFERROR(INDEX(RESULTADOS_GRID!$C:$C,MATCH($A101,RESULTADOS_GRID!$B:$B,0)),""))</f>
        <v/>
      </c>
      <c r="C101" s="57">
        <f>IF($A101="","",IFERROR(INDEX(RESULTADOS_GRID!$E:$E,MATCH($A101,RESULTADOS_GRID!$B:$B,0)),""))</f>
        <v/>
      </c>
      <c r="D101" s="57">
        <f>IF($A101="","",IFERROR(INDEX(RESULTADOS_GRID!$D:$D,MATCH($A101,RESULTADOS_GRID!$B:$B,0)),""))</f>
        <v/>
      </c>
      <c r="E101" s="57">
        <f>IF($A101="","",COUNTIF(RESULTADOS_GRID!$B:$B,$A101))</f>
        <v/>
      </c>
      <c r="F101" s="54">
        <f>IF($A101="","",SUMIF(RESULTADOS_GRID!$B:$B,$A101,RESULTADOS_GRID!$X:$X))</f>
        <v/>
      </c>
      <c r="G101" s="53" t="n"/>
      <c r="H101" s="58">
        <f>CONFIG_REFERENCIA!$E$7</f>
        <v/>
      </c>
      <c r="I101" s="54">
        <f>IF($A101="","",$F101+N($G101)*$H101)</f>
        <v/>
      </c>
      <c r="J101" s="54">
        <f>IF($A101="","",IF((COUNTIFS(RESULTADOS_GRID!$B:$B,$A101,RESULTADOS_GRID!$Y:$Y,"&gt;=0")+COUNTIFS(RESULTADOS_GRID!$B:$B,$A101,RESULTADOS_GRID!$Y:$Y,"&lt;0"))=0,"",SUMIF(RESULTADOS_GRID!$B:$B,$A101,RESULTADOS_GRID!$Y:$Y)/(COUNTIFS(RESULTADOS_GRID!$B:$B,$A101,RESULTADOS_GRID!$Y:$Y,"&gt;=0")+COUNTIFS(RESULTADOS_GRID!$B:$B,$A101,RESULTADOS_GRID!$Y:$Y,"&lt;0"))))</f>
        <v/>
      </c>
      <c r="K101" s="54">
        <f>IF($A101="","",IF((COUNTIFS(RESULTADOS_GRID!$B:$B,$A101,RESULTADOS_GRID!$Z:$Z,"&gt;=0")+COUNTIFS(RESULTADOS_GRID!$B:$B,$A101,RESULTADOS_GRID!$Z:$Z,"&lt;0"))=0,"",SUMIF(RESULTADOS_GRID!$B:$B,$A101,RESULTADOS_GRID!$Z:$Z)/(COUNTIFS(RESULTADOS_GRID!$B:$B,$A101,RESULTADOS_GRID!$Z:$Z,"&gt;=0")+COUNTIFS(RESULTADOS_GRID!$B:$B,$A101,RESULTADOS_GRID!$Z:$Z,"&lt;0"))))</f>
        <v/>
      </c>
      <c r="L101" s="51">
        <f>IF($A101="","",IF((COUNTIFS(RESULTADOS_GRID!$B:$B,$A101,RESULTADOS_GRID!$AA:$AA,"&gt;=0")+COUNTIFS(RESULTADOS_GRID!$B:$B,$A101,RESULTADOS_GRID!$AA:$AA,"&lt;0"))=0,"",SUMIF(RESULTADOS_GRID!$B:$B,$A101,RESULTADOS_GRID!$AA:$AA)/(COUNTIFS(RESULTADOS_GRID!$B:$B,$A101,RESULTADOS_GRID!$AA:$AA,"&gt;=0")+COUNTIFS(RESULTADOS_GRID!$B:$B,$A101,RESULTADOS_GRID!$AA:$AA,"&lt;0"))))</f>
        <v/>
      </c>
      <c r="M101" s="51">
        <f>IF($A101="","",IF((COUNTIFS(RESULTADOS_GRID!$B:$B,$A101,RESULTADOS_GRID!$AB:$AB,"&gt;=0")+COUNTIFS(RESULTADOS_GRID!$B:$B,$A101,RESULTADOS_GRID!$AB:$AB,"&lt;0"))=0,"",SUMIF(RESULTADOS_GRID!$B:$B,$A101,RESULTADOS_GRID!$AB:$AB)/(COUNTIFS(RESULTADOS_GRID!$B:$B,$A101,RESULTADOS_GRID!$AB:$AB,"&gt;=0")+COUNTIFS(RESULTADOS_GRID!$B:$B,$A101,RESULTADOS_GRID!$AB:$AB,"&lt;0"))))</f>
        <v/>
      </c>
      <c r="N101" s="49" t="n"/>
      <c r="O101" s="57">
        <f>IF($I101="","",COUNTIFS($I$2:$I$101,"&lt;"&amp;$I101)+1)</f>
        <v/>
      </c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9" t="n"/>
      <c r="Z101" s="49" t="n"/>
      <c r="AA101" s="49" t="n"/>
      <c r="AB101" s="49" t="n"/>
      <c r="AC101" s="49" t="n"/>
      <c r="AD101" s="49" t="n"/>
      <c r="AE101" s="49" t="n"/>
      <c r="AF101" s="49" t="n"/>
      <c r="AG101" s="49" t="n"/>
      <c r="AH101" s="49" t="n"/>
      <c r="AI101" s="49" t="n"/>
      <c r="AJ101" s="49" t="n"/>
      <c r="AK101" s="49" t="n"/>
    </row>
    <row r="102" ht="15" customHeight="1" s="27">
      <c r="A102" s="49" t="inlineStr">
        <is>
          <t>E1_v2</t>
        </is>
      </c>
      <c r="B102" s="57" t="inlineStr">
        <is>
          <t>E1</t>
        </is>
      </c>
      <c r="C102" s="57" t="inlineStr">
        <is>
          <t>RidgeCV</t>
        </is>
      </c>
      <c r="D102" s="57" t="inlineStr">
        <is>
          <t>lineal_regularizado</t>
        </is>
      </c>
      <c r="E102" s="57" t="n">
        <v>4</v>
      </c>
      <c r="F102" s="54" t="n">
        <v>0.261061299229139</v>
      </c>
      <c r="G102" s="53" t="n"/>
      <c r="H102" s="58" t="n">
        <v>0.05</v>
      </c>
      <c r="I102" s="54" t="n">
        <v>0.261061299229139</v>
      </c>
      <c r="J102" s="54" t="n">
        <v>0.1048370095083324</v>
      </c>
      <c r="K102" s="54" t="n">
        <v>0.1352444830858427</v>
      </c>
      <c r="L102" s="51" t="n">
        <v>0.7450437525437525</v>
      </c>
      <c r="M102" s="51" t="n">
        <v>0.746474358974359</v>
      </c>
      <c r="N102" s="49" t="n"/>
      <c r="O102" s="57" t="n"/>
      <c r="P102" s="49" t="inlineStr">
        <is>
          <t>Familia lineal regularizada con RidgeCV | transform_mode=standard. | L_total_Radar=0.261061</t>
        </is>
      </c>
      <c r="Q102" s="49" t="inlineStr">
        <is>
          <t>run_e1_ridge.py</t>
        </is>
      </c>
      <c r="R102" s="49" t="inlineStr">
        <is>
          <t>Scripts/Modeling/run_e1_ridge.py</t>
        </is>
      </c>
      <c r="S102" s="49" t="inlineStr">
        <is>
          <t>Experimentos/runs/E1_v2_20260321_083922</t>
        </is>
      </c>
      <c r="T102" s="49" t="inlineStr">
        <is>
          <t>Experimentos/runs/E1_v2_20260321_083922/scripts/run_e1_ridge.py</t>
        </is>
      </c>
      <c r="U102" s="49" t="inlineStr">
        <is>
          <t>Experimentos/runs/E1_v2_20260321_083922/parametros_run.json</t>
        </is>
      </c>
      <c r="V102" s="49" t="inlineStr">
        <is>
          <t>Experimentos/runs/E1_v2_20260321_083922/metricas_horizonte.json</t>
        </is>
      </c>
      <c r="W102" s="49" t="inlineStr">
        <is>
          <t>2026-03-21 08:39:22</t>
        </is>
      </c>
      <c r="X102" s="49" t="n"/>
      <c r="Y102" s="49" t="n"/>
      <c r="Z102" s="49" t="n"/>
      <c r="AA102" s="49" t="n"/>
      <c r="AB102" s="49" t="n"/>
      <c r="AC102" s="49" t="n"/>
      <c r="AD102" s="49" t="n"/>
      <c r="AE102" s="49" t="n"/>
      <c r="AF102" s="49" t="n"/>
      <c r="AG102" s="49" t="n"/>
      <c r="AH102" s="49" t="n"/>
      <c r="AI102" s="49" t="n"/>
      <c r="AJ102" s="49" t="n"/>
      <c r="AK102" s="49" t="n"/>
    </row>
    <row r="103" ht="15" customHeight="1" s="27">
      <c r="A103" s="49" t="inlineStr">
        <is>
          <t>E1_v2_clean</t>
        </is>
      </c>
      <c r="B103" s="57" t="inlineStr">
        <is>
          <t>E1</t>
        </is>
      </c>
      <c r="C103" s="57" t="inlineStr">
        <is>
          <t>ridge_tscv</t>
        </is>
      </c>
      <c r="D103" s="57" t="inlineStr">
        <is>
          <t>lineal_regularizado</t>
        </is>
      </c>
      <c r="E103" s="57" t="n">
        <v>4</v>
      </c>
      <c r="F103" s="54" t="n">
        <v>0.2612386698909632</v>
      </c>
      <c r="G103" s="53" t="n"/>
      <c r="H103" s="58" t="n">
        <v>0.05</v>
      </c>
      <c r="I103" s="54" t="n">
        <v>0.2612386698909632</v>
      </c>
      <c r="J103" s="54" t="n">
        <v>0.103225016610706</v>
      </c>
      <c r="K103" s="54" t="n">
        <v>0.1322262899401881</v>
      </c>
      <c r="L103" s="51" t="n">
        <v>0.7450437525437525</v>
      </c>
      <c r="M103" s="51" t="n">
        <v>0.746474358974359</v>
      </c>
      <c r="N103" s="49" t="n"/>
      <c r="O103" s="57" t="n"/>
      <c r="P103" s="49" t="inlineStr">
        <is>
          <t>Ridge clean con tuning interno TimeSeriesSplit | metric=mae | L_total_Radar=0.261239</t>
        </is>
      </c>
      <c r="Q103" s="49" t="inlineStr">
        <is>
          <t>run_e1_ridge_clean.py</t>
        </is>
      </c>
      <c r="R103" s="49" t="inlineStr">
        <is>
          <t>Scripts/Modeling/run_e1_ridge_clean.py</t>
        </is>
      </c>
      <c r="S103" s="49" t="inlineStr">
        <is>
          <t>Experimentos/runs/E1_v2_clean_20260321_094241</t>
        </is>
      </c>
      <c r="T103" s="49" t="inlineStr">
        <is>
          <t>Experimentos/runs/E1_v2_clean_20260321_094241/scripts/run_e1_ridge_clean.py</t>
        </is>
      </c>
      <c r="U103" s="49" t="inlineStr">
        <is>
          <t>Experimentos/runs/E1_v2_clean_20260321_094241/parametros_run.json</t>
        </is>
      </c>
      <c r="V103" s="49" t="inlineStr">
        <is>
          <t>Experimentos/runs/E1_v2_clean_20260321_094241/metricas_horizonte.json</t>
        </is>
      </c>
      <c r="W103" s="49" t="inlineStr">
        <is>
          <t>2026-03-21 09:42:41</t>
        </is>
      </c>
      <c r="X103" s="49" t="n"/>
      <c r="Y103" s="49" t="n"/>
      <c r="Z103" s="49" t="n"/>
      <c r="AA103" s="49" t="n"/>
      <c r="AB103" s="49" t="n"/>
      <c r="AC103" s="49" t="n"/>
      <c r="AD103" s="49" t="n"/>
      <c r="AE103" s="49" t="n"/>
      <c r="AF103" s="49" t="n"/>
      <c r="AG103" s="49" t="n"/>
      <c r="AH103" s="49" t="n"/>
      <c r="AI103" s="49" t="n"/>
      <c r="AJ103" s="49" t="n"/>
      <c r="AK103" s="49" t="n"/>
    </row>
    <row r="104" ht="15" customHeight="1" s="27">
      <c r="A104" s="49" t="inlineStr">
        <is>
          <t>E1_v3_clean</t>
        </is>
      </c>
      <c r="B104" s="57" t="inlineStr">
        <is>
          <t>E1</t>
        </is>
      </c>
      <c r="C104" s="57" t="inlineStr">
        <is>
          <t>ridge_tscv</t>
        </is>
      </c>
      <c r="D104" s="57" t="inlineStr">
        <is>
          <t>lineal_regularizado</t>
        </is>
      </c>
      <c r="E104" s="57" t="n">
        <v>4</v>
      </c>
      <c r="F104" s="54" t="n">
        <v>0.3980475726547684</v>
      </c>
      <c r="G104" s="53" t="n"/>
      <c r="H104" s="58" t="n">
        <v>0.05</v>
      </c>
      <c r="I104" s="54" t="n">
        <v>0.3980475726547684</v>
      </c>
      <c r="J104" s="54" t="n">
        <v>0.1487242812311497</v>
      </c>
      <c r="K104" s="54" t="n">
        <v>0.1855322001121762</v>
      </c>
      <c r="L104" s="51" t="n">
        <v>0.4856735856735857</v>
      </c>
      <c r="M104" s="51" t="n">
        <v>0.6012820512820511</v>
      </c>
      <c r="N104" s="49" t="n"/>
      <c r="O104" s="57" t="n"/>
      <c r="P104" s="49" t="inlineStr">
        <is>
          <t>Ridge clean con tuning interno TimeSeriesSplit | metric=mae | L_total_Radar=0.398048</t>
        </is>
      </c>
      <c r="Q104" s="49" t="inlineStr">
        <is>
          <t>run_e1_ridge_clean.py</t>
        </is>
      </c>
      <c r="R104" s="49" t="inlineStr">
        <is>
          <t>Scripts/Modeling/run_e1_ridge_clean.py</t>
        </is>
      </c>
      <c r="S104" s="49" t="inlineStr">
        <is>
          <t>Experimentos/runs/E1_v3_clean_20260321_103256</t>
        </is>
      </c>
      <c r="T104" s="49" t="inlineStr">
        <is>
          <t>Experimentos/runs/E1_v3_clean_20260321_103256/scripts/run_e1_ridge_clean.py</t>
        </is>
      </c>
      <c r="U104" s="49" t="inlineStr">
        <is>
          <t>Experimentos/runs/E1_v3_clean_20260321_103256/parametros_run.json</t>
        </is>
      </c>
      <c r="V104" s="49" t="inlineStr">
        <is>
          <t>Experimentos/runs/E1_v3_clean_20260321_103256/metricas_horizonte.json</t>
        </is>
      </c>
      <c r="W104" s="49" t="inlineStr">
        <is>
          <t>2026-03-21 10:32:56</t>
        </is>
      </c>
      <c r="X104" s="49" t="n"/>
      <c r="Y104" s="49" t="n"/>
      <c r="Z104" s="49" t="n"/>
      <c r="AA104" s="49" t="n"/>
      <c r="AB104" s="49" t="n"/>
      <c r="AC104" s="49" t="n"/>
      <c r="AD104" s="49" t="n"/>
      <c r="AE104" s="49" t="n"/>
      <c r="AF104" s="49" t="n"/>
      <c r="AG104" s="49" t="n"/>
      <c r="AH104" s="49" t="n"/>
      <c r="AI104" s="49" t="n"/>
      <c r="AJ104" s="49" t="n"/>
      <c r="AK104" s="49" t="n"/>
    </row>
    <row r="105" ht="15" customHeight="1" s="27">
      <c r="A105" s="49" t="inlineStr">
        <is>
          <t>E1_v4_clean</t>
        </is>
      </c>
      <c r="B105" s="57" t="inlineStr">
        <is>
          <t>E1</t>
        </is>
      </c>
      <c r="C105" s="57" t="inlineStr">
        <is>
          <t>ridge_tscv</t>
        </is>
      </c>
      <c r="D105" s="57" t="inlineStr">
        <is>
          <t>lineal_regularizado</t>
        </is>
      </c>
      <c r="E105" s="57" t="n">
        <v>4</v>
      </c>
      <c r="F105" s="54" t="n">
        <v>0.2532774442495118</v>
      </c>
      <c r="G105" s="53" t="n"/>
      <c r="H105" s="58" t="n">
        <v>0.05</v>
      </c>
      <c r="I105" s="54" t="n">
        <v>0.2532774442495118</v>
      </c>
      <c r="J105" s="54" t="n">
        <v>0.1028761374546412</v>
      </c>
      <c r="K105" s="54" t="n">
        <v>0.1328975821320838</v>
      </c>
      <c r="L105" s="51" t="n">
        <v>0.7443569393569394</v>
      </c>
      <c r="M105" s="51" t="n">
        <v>0.7657051282051281</v>
      </c>
      <c r="N105" s="49" t="n"/>
      <c r="O105" s="57" t="n"/>
      <c r="P105" s="49" t="inlineStr">
        <is>
          <t>Ridge clean con tuning interno TimeSeriesSplit | metric=mae | L_total_Radar=0.253277</t>
        </is>
      </c>
      <c r="Q105" s="49" t="inlineStr">
        <is>
          <t>run_e1_ridge_clean.py</t>
        </is>
      </c>
      <c r="R105" s="49" t="inlineStr">
        <is>
          <t>Scripts/Modeling/run_e1_ridge_clean.py</t>
        </is>
      </c>
      <c r="S105" s="49" t="inlineStr">
        <is>
          <t>Experimentos/runs/E1_v4_clean_20260321_103832</t>
        </is>
      </c>
      <c r="T105" s="49" t="inlineStr">
        <is>
          <t>Experimentos/runs/E1_v4_clean_20260321_103832/scripts/run_e1_ridge_clean.py</t>
        </is>
      </c>
      <c r="U105" s="49" t="inlineStr">
        <is>
          <t>Experimentos/runs/E1_v4_clean_20260321_103832/parametros_run.json</t>
        </is>
      </c>
      <c r="V105" s="49" t="inlineStr">
        <is>
          <t>Experimentos/runs/E1_v4_clean_20260321_103832/metricas_horizonte.json</t>
        </is>
      </c>
      <c r="W105" s="49" t="inlineStr">
        <is>
          <t>2026-03-21 10:38:32</t>
        </is>
      </c>
      <c r="X105" s="49" t="n"/>
      <c r="Y105" s="49" t="n"/>
      <c r="Z105" s="49" t="n"/>
      <c r="AA105" s="49" t="n"/>
      <c r="AB105" s="49" t="n"/>
      <c r="AC105" s="49" t="n"/>
      <c r="AD105" s="49" t="n"/>
      <c r="AE105" s="49" t="n"/>
      <c r="AF105" s="49" t="n"/>
      <c r="AG105" s="49" t="n"/>
      <c r="AH105" s="49" t="n"/>
      <c r="AI105" s="49" t="n"/>
      <c r="AJ105" s="49" t="n"/>
      <c r="AK105" s="49" t="n"/>
    </row>
    <row r="106" ht="15" customHeight="1" s="27">
      <c r="A106" s="49" t="inlineStr">
        <is>
          <t>E1_v5_clean</t>
        </is>
      </c>
      <c r="B106" s="57" t="inlineStr">
        <is>
          <t>E1</t>
        </is>
      </c>
      <c r="C106" s="57" t="inlineStr">
        <is>
          <t>ridge_tscv</t>
        </is>
      </c>
      <c r="D106" s="57" t="inlineStr">
        <is>
          <t>lineal_regularizado</t>
        </is>
      </c>
      <c r="E106" s="57" t="n">
        <v>4</v>
      </c>
      <c r="F106" s="54" t="n">
        <v>0.2434417610666145</v>
      </c>
      <c r="G106" s="53" t="n"/>
      <c r="H106" s="58" t="n">
        <v>0.05</v>
      </c>
      <c r="I106" s="54" t="n">
        <v>0.2434417610666145</v>
      </c>
      <c r="J106" s="54" t="n">
        <v>0.1025119634230774</v>
      </c>
      <c r="K106" s="54" t="n">
        <v>0.1365121771995384</v>
      </c>
      <c r="L106" s="51" t="n">
        <v>0.7437527870680044</v>
      </c>
      <c r="M106" s="51" t="n">
        <v>0.7823232323232323</v>
      </c>
      <c r="N106" s="49" t="n"/>
      <c r="O106" s="57" t="n"/>
      <c r="P106" s="49" t="inlineStr">
        <is>
          <t>Ridge clean con tuning interno TimeSeriesSplit | metric=mae | L_total_Radar=0.243442</t>
        </is>
      </c>
      <c r="Q106" s="49" t="inlineStr">
        <is>
          <t>run_e1_ridge_clean.py</t>
        </is>
      </c>
      <c r="R106" s="49" t="inlineStr">
        <is>
          <t>Scripts/Modeling/run_e1_ridge_clean.py</t>
        </is>
      </c>
      <c r="S106" s="49" t="inlineStr">
        <is>
          <t>Experimentos/runs/E1_v5_clean_20260321_105449</t>
        </is>
      </c>
      <c r="T106" s="49" t="inlineStr">
        <is>
          <t>Experimentos/runs/E1_v5_clean_20260321_105449/scripts/run_e1_ridge_clean.py</t>
        </is>
      </c>
      <c r="U106" s="49" t="inlineStr">
        <is>
          <t>Experimentos/runs/E1_v5_clean_20260321_105449/parametros_run.json</t>
        </is>
      </c>
      <c r="V106" s="49" t="inlineStr">
        <is>
          <t>Experimentos/runs/E1_v5_clean_20260321_105449/metricas_horizonte.json</t>
        </is>
      </c>
      <c r="W106" s="49" t="inlineStr">
        <is>
          <t>2026-03-21 10:54:49</t>
        </is>
      </c>
      <c r="X106" s="49" t="n"/>
      <c r="Y106" s="49" t="n"/>
      <c r="Z106" s="49" t="n"/>
      <c r="AA106" s="49" t="n"/>
      <c r="AB106" s="49" t="n"/>
      <c r="AC106" s="49" t="n"/>
      <c r="AD106" s="49" t="n"/>
      <c r="AE106" s="49" t="n"/>
      <c r="AF106" s="49" t="n"/>
      <c r="AG106" s="49" t="n"/>
      <c r="AH106" s="49" t="n"/>
      <c r="AI106" s="49" t="n"/>
      <c r="AJ106" s="49" t="n"/>
      <c r="AK106" s="49" t="n"/>
    </row>
    <row r="107" ht="15" customHeight="1" s="27">
      <c r="A107" s="49" t="inlineStr">
        <is>
          <t>E2_v1_clean</t>
        </is>
      </c>
      <c r="B107" s="57" t="inlineStr">
        <is>
          <t>E2</t>
        </is>
      </c>
      <c r="C107" s="57" t="inlineStr">
        <is>
          <t>huber_tscv</t>
        </is>
      </c>
      <c r="D107" s="57" t="inlineStr">
        <is>
          <t>robusto</t>
        </is>
      </c>
      <c r="E107" s="57" t="n">
        <v>4</v>
      </c>
      <c r="F107" s="54" t="n">
        <v>0.3019073236793116</v>
      </c>
      <c r="G107" s="53" t="n"/>
      <c r="H107" s="58" t="n">
        <v>0.05</v>
      </c>
      <c r="I107" s="54" t="n">
        <v>0.3019073236793116</v>
      </c>
      <c r="J107" s="54" t="n">
        <v>0.1466779178135986</v>
      </c>
      <c r="K107" s="54" t="n">
        <v>0.1912880659982875</v>
      </c>
      <c r="L107" s="51" t="n">
        <v>0.6298258082497213</v>
      </c>
      <c r="M107" s="51" t="n">
        <v>0.7267676767676767</v>
      </c>
      <c r="N107" s="49" t="n"/>
      <c r="O107" s="57" t="n"/>
      <c r="P107" s="49" t="inlineStr">
        <is>
          <t>Huber limpio con tuning interno TimeSeriesSplit | metric=mae | L_total_Radar=0.301907</t>
        </is>
      </c>
      <c r="Q107" s="49" t="inlineStr">
        <is>
          <t>run_e2_huber_clean.py</t>
        </is>
      </c>
      <c r="R107" s="49" t="inlineStr">
        <is>
          <t>Scripts/Modeling/run_e2_huber_clean.py</t>
        </is>
      </c>
      <c r="S107" s="49" t="inlineStr">
        <is>
          <t>Experimentos/runs/E2_v1_clean_20260323_050029</t>
        </is>
      </c>
      <c r="T107" s="49" t="inlineStr">
        <is>
          <t>Experimentos/runs/E2_v1_clean_20260323_050029/scripts/run_e2_huber_clean.py</t>
        </is>
      </c>
      <c r="U107" s="49" t="inlineStr">
        <is>
          <t>Experimentos/runs/E2_v1_clean_20260323_050029/parametros_run.json</t>
        </is>
      </c>
      <c r="V107" s="49" t="inlineStr">
        <is>
          <t>Experimentos/runs/E2_v1_clean_20260323_050029/metricas_horizonte.json</t>
        </is>
      </c>
      <c r="W107" s="49" t="inlineStr">
        <is>
          <t>2026-03-23 05:00:29</t>
        </is>
      </c>
      <c r="X107" s="49" t="n"/>
      <c r="Y107" s="49" t="n"/>
      <c r="Z107" s="49" t="n"/>
      <c r="AA107" s="49" t="n"/>
      <c r="AB107" s="49" t="n"/>
      <c r="AC107" s="49" t="n"/>
      <c r="AD107" s="49" t="n"/>
      <c r="AE107" s="49" t="n"/>
      <c r="AF107" s="49" t="n"/>
      <c r="AG107" s="49" t="n"/>
      <c r="AH107" s="49" t="n"/>
      <c r="AI107" s="49" t="n"/>
      <c r="AJ107" s="49" t="n"/>
      <c r="AK107" s="49" t="n"/>
    </row>
    <row r="108" ht="15" customHeight="1" s="27">
      <c r="A108" s="49" t="inlineStr">
        <is>
          <t>E2_v2_clean</t>
        </is>
      </c>
      <c r="B108" s="57" t="inlineStr">
        <is>
          <t>E2</t>
        </is>
      </c>
      <c r="C108" s="57" t="inlineStr">
        <is>
          <t>huber_tscv</t>
        </is>
      </c>
      <c r="D108" s="57" t="inlineStr">
        <is>
          <t>robusto</t>
        </is>
      </c>
      <c r="E108" s="57" t="n">
        <v>4</v>
      </c>
      <c r="F108" s="54" t="n">
        <v>0.3019203219833318</v>
      </c>
      <c r="G108" s="53" t="n"/>
      <c r="H108" s="58" t="n">
        <v>0.05</v>
      </c>
      <c r="I108" s="54" t="n">
        <v>0.3019203219833318</v>
      </c>
      <c r="J108" s="54" t="n">
        <v>0.1466969598359049</v>
      </c>
      <c r="K108" s="54" t="n">
        <v>0.1912460466605695</v>
      </c>
      <c r="L108" s="51" t="n">
        <v>0.6298258082497213</v>
      </c>
      <c r="M108" s="51" t="n">
        <v>0.7267676767676767</v>
      </c>
      <c r="N108" s="49" t="n"/>
      <c r="O108" s="57" t="n"/>
      <c r="P108" s="49" t="inlineStr">
        <is>
          <t>Huber limpio con tuning interno TimeSeriesSplit | hipotesis=control_de_convergencia | metric=mae | L_total_Radar=0.301920</t>
        </is>
      </c>
      <c r="Q108" s="49" t="inlineStr">
        <is>
          <t>run_e2_huber_clean.py</t>
        </is>
      </c>
      <c r="R108" s="49" t="inlineStr">
        <is>
          <t>Scripts/Modeling/run_e2_huber_clean.py</t>
        </is>
      </c>
      <c r="S108" s="49" t="inlineStr">
        <is>
          <t>Experimentos/runs/E2_v2_clean_20260323_054101</t>
        </is>
      </c>
      <c r="T108" s="49" t="inlineStr">
        <is>
          <t>Experimentos/runs/E2_v2_clean_20260323_054101/scripts/run_e2_huber_clean.py</t>
        </is>
      </c>
      <c r="U108" s="49" t="inlineStr">
        <is>
          <t>Experimentos/runs/E2_v2_clean_20260323_054101/parametros_run.json</t>
        </is>
      </c>
      <c r="V108" s="49" t="inlineStr">
        <is>
          <t>Experimentos/runs/E2_v2_clean_20260323_054101/metricas_horizonte.json</t>
        </is>
      </c>
      <c r="W108" s="49" t="inlineStr">
        <is>
          <t>2026-03-23 05:41:01</t>
        </is>
      </c>
      <c r="X108" s="49" t="n"/>
      <c r="Y108" s="49" t="n"/>
      <c r="Z108" s="49" t="n"/>
      <c r="AA108" s="49" t="n"/>
      <c r="AB108" s="49" t="n"/>
      <c r="AC108" s="49" t="n"/>
      <c r="AD108" s="49" t="n"/>
      <c r="AE108" s="49" t="n"/>
      <c r="AF108" s="49" t="n"/>
      <c r="AG108" s="49" t="n"/>
      <c r="AH108" s="49" t="n"/>
      <c r="AI108" s="49" t="n"/>
      <c r="AJ108" s="49" t="n"/>
      <c r="AK108" s="49" t="n"/>
    </row>
    <row r="109" ht="15" customHeight="1" s="27">
      <c r="A109" s="49" t="inlineStr">
        <is>
          <t>E2_v3_clean</t>
        </is>
      </c>
      <c r="B109" s="57" t="inlineStr">
        <is>
          <t>E2</t>
        </is>
      </c>
      <c r="C109" s="57" t="inlineStr">
        <is>
          <t>huber_tscv</t>
        </is>
      </c>
      <c r="D109" s="57" t="inlineStr">
        <is>
          <t>robusto</t>
        </is>
      </c>
      <c r="E109" s="57" t="n">
        <v>4</v>
      </c>
      <c r="F109" s="54" t="n">
        <v>0.2864645117875421</v>
      </c>
      <c r="G109" s="53" t="n"/>
      <c r="H109" s="58" t="n">
        <v>0.05</v>
      </c>
      <c r="I109" s="54" t="n">
        <v>0.2864645117875421</v>
      </c>
      <c r="J109" s="54" t="n">
        <v>0.1296620162721482</v>
      </c>
      <c r="K109" s="54" t="n">
        <v>0.157053087857615</v>
      </c>
      <c r="L109" s="51" t="n">
        <v>0.707628205128205</v>
      </c>
      <c r="M109" s="51" t="n">
        <v>0.7698717948717949</v>
      </c>
      <c r="N109" s="49" t="n"/>
      <c r="O109" s="57" t="n"/>
      <c r="P109" s="49" t="inlineStr">
        <is>
          <t>Huber limpio con tuning interno TimeSeriesSplit | hipotesis=prueba_sin_memoria_larga | metric=mae | L_total_Radar=0.286465</t>
        </is>
      </c>
      <c r="Q109" s="49" t="inlineStr">
        <is>
          <t>run_e2_huber_clean.py</t>
        </is>
      </c>
      <c r="R109" s="49" t="inlineStr">
        <is>
          <t>Scripts/Modeling/run_e2_huber_clean.py</t>
        </is>
      </c>
      <c r="S109" s="49" t="inlineStr">
        <is>
          <t>Experimentos/runs/E2_v3_clean_20260323_061213</t>
        </is>
      </c>
      <c r="T109" s="49" t="inlineStr">
        <is>
          <t>Experimentos/runs/E2_v3_clean_20260323_061213/scripts/run_e2_huber_clean.py</t>
        </is>
      </c>
      <c r="U109" s="49" t="inlineStr">
        <is>
          <t>Experimentos/runs/E2_v3_clean_20260323_061213/parametros_run.json</t>
        </is>
      </c>
      <c r="V109" s="49" t="inlineStr">
        <is>
          <t>Experimentos/runs/E2_v3_clean_20260323_061213/metricas_horizonte.json</t>
        </is>
      </c>
      <c r="W109" s="49" t="inlineStr">
        <is>
          <t>2026-03-23 06:12:13</t>
        </is>
      </c>
      <c r="X109" s="49" t="n"/>
      <c r="Y109" s="49" t="n"/>
      <c r="Z109" s="49" t="n"/>
      <c r="AA109" s="49" t="n"/>
      <c r="AB109" s="49" t="n"/>
      <c r="AC109" s="49" t="n"/>
      <c r="AD109" s="49" t="n"/>
      <c r="AE109" s="49" t="n"/>
      <c r="AF109" s="49" t="n"/>
      <c r="AG109" s="49" t="n"/>
      <c r="AH109" s="49" t="n"/>
      <c r="AI109" s="49" t="n"/>
      <c r="AJ109" s="49" t="n"/>
      <c r="AK109" s="49" t="n"/>
    </row>
    <row r="110" ht="15" customHeight="1" s="27">
      <c r="A110" s="49" t="inlineStr">
        <is>
          <t>E3_v1_clean</t>
        </is>
      </c>
      <c r="B110" s="57" t="inlineStr">
        <is>
          <t>E3</t>
        </is>
      </c>
      <c r="C110" s="57" t="inlineStr">
        <is>
          <t>random_forest_regressor</t>
        </is>
      </c>
      <c r="D110" s="57" t="inlineStr">
        <is>
          <t>arboles_boosting</t>
        </is>
      </c>
      <c r="E110" s="57" t="n">
        <v>4</v>
      </c>
      <c r="F110" s="54" t="n">
        <v>0.2808923211670988</v>
      </c>
      <c r="G110" s="53" t="n"/>
      <c r="H110" s="58" t="n">
        <v>0.05</v>
      </c>
      <c r="I110" s="54" t="n">
        <v>0.2808923211670988</v>
      </c>
      <c r="J110" s="54" t="n">
        <v>0.1058858687581066</v>
      </c>
      <c r="K110" s="54" t="n">
        <v>0.1365884005260111</v>
      </c>
      <c r="L110" s="51" t="n">
        <v>0.7040691192865105</v>
      </c>
      <c r="M110" s="51" t="n">
        <v>0.6809343434343436</v>
      </c>
      <c r="N110" s="49" t="n"/>
      <c r="O110" s="57" t="n"/>
      <c r="P110" s="49" t="inlineStr">
        <is>
          <t>Random Forest limpio con walk-forward temporal | hipotesis=baseline_no_lineal_corr_memoria_larga | sin escalado por naturaleza basada en arboles | L_total_Radar=0.280892</t>
        </is>
      </c>
      <c r="Q110" s="49" t="inlineStr">
        <is>
          <t>run_e3_random_forest.py</t>
        </is>
      </c>
      <c r="R110" s="49" t="inlineStr">
        <is>
          <t>Scripts/Modeling/run_e3_random_forest.py</t>
        </is>
      </c>
      <c r="S110" s="49" t="inlineStr">
        <is>
          <t>Experimentos/runs/E3_v1_clean_20260323_073144</t>
        </is>
      </c>
      <c r="T110" s="49" t="inlineStr">
        <is>
          <t>Experimentos/runs/E3_v1_clean_20260323_073144/scripts/run_e3_random_forest.py</t>
        </is>
      </c>
      <c r="U110" s="49" t="inlineStr">
        <is>
          <t>Experimentos/runs/E3_v1_clean_20260323_073144/parametros_run.json</t>
        </is>
      </c>
      <c r="V110" s="49" t="inlineStr">
        <is>
          <t>Experimentos/runs/E3_v1_clean_20260323_073144/metricas_horizonte.json</t>
        </is>
      </c>
      <c r="W110" s="49" t="inlineStr">
        <is>
          <t>2026-03-23 07:31:44</t>
        </is>
      </c>
      <c r="X110" s="49" t="n"/>
      <c r="Y110" s="49" t="n"/>
      <c r="Z110" s="49" t="n"/>
      <c r="AA110" s="49" t="n"/>
      <c r="AB110" s="49" t="n"/>
      <c r="AC110" s="49" t="n"/>
      <c r="AD110" s="49" t="n"/>
      <c r="AE110" s="49" t="n"/>
      <c r="AF110" s="49" t="n"/>
      <c r="AG110" s="49" t="n"/>
      <c r="AH110" s="49" t="n"/>
      <c r="AI110" s="49" t="n"/>
      <c r="AJ110" s="49" t="n"/>
      <c r="AK110" s="49" t="n"/>
    </row>
    <row r="111" ht="15" customHeight="1" s="27">
      <c r="A111" s="49" t="inlineStr">
        <is>
          <t>E3_v3_clean</t>
        </is>
      </c>
      <c r="B111" s="57" t="inlineStr">
        <is>
          <t>E3</t>
        </is>
      </c>
      <c r="C111" s="57" t="inlineStr">
        <is>
          <t>extra_trees_regressor</t>
        </is>
      </c>
      <c r="D111" s="57" t="inlineStr">
        <is>
          <t>arboles_boosting</t>
        </is>
      </c>
      <c r="E111" s="57" t="n">
        <v>4</v>
      </c>
      <c r="F111" s="54" t="n">
        <v>0.2872893466271498</v>
      </c>
      <c r="G111" s="53" t="n"/>
      <c r="H111" s="58" t="n">
        <v>0.05</v>
      </c>
      <c r="I111" s="54" t="n">
        <v>0.2872893466271498</v>
      </c>
      <c r="J111" s="54" t="n">
        <v>0.1106823282463411</v>
      </c>
      <c r="K111" s="54" t="n">
        <v>0.1413520736550114</v>
      </c>
      <c r="L111" s="51" t="n">
        <v>0.7232998885172799</v>
      </c>
      <c r="M111" s="51" t="n">
        <v>0.6559343434343434</v>
      </c>
      <c r="N111" s="49" t="n"/>
      <c r="O111" s="57" t="n"/>
      <c r="P111" s="49" t="inlineStr">
        <is>
          <t>ExtraTrees limpio con walk-forward temporal | hipotesis=extratrees_mas_aleatorio_h3_h4 | sin escalado por naturaleza basada en arboles | L_total_Radar=0.287289</t>
        </is>
      </c>
      <c r="Q111" s="49" t="inlineStr">
        <is>
          <t>run_e3_random_forest.py</t>
        </is>
      </c>
      <c r="R111" s="49" t="inlineStr">
        <is>
          <t>Scripts/Modeling/run_e3_random_forest.py</t>
        </is>
      </c>
      <c r="S111" s="49" t="inlineStr">
        <is>
          <t>Experimentos/runs/E3_v3_clean_20260323_080110</t>
        </is>
      </c>
      <c r="T111" s="49" t="inlineStr">
        <is>
          <t>Experimentos/runs/E3_v3_clean_20260323_080110/scripts/run_e3_random_forest.py</t>
        </is>
      </c>
      <c r="U111" s="49" t="inlineStr">
        <is>
          <t>Experimentos/runs/E3_v3_clean_20260323_080110/parametros_run.json</t>
        </is>
      </c>
      <c r="V111" s="49" t="inlineStr">
        <is>
          <t>Experimentos/runs/E3_v3_clean_20260323_080110/metricas_horizonte.json</t>
        </is>
      </c>
      <c r="W111" s="49" t="inlineStr">
        <is>
          <t>2026-03-23 08:01:10</t>
        </is>
      </c>
      <c r="X111" s="49" t="n"/>
      <c r="Y111" s="49" t="n"/>
      <c r="Z111" s="49" t="n"/>
      <c r="AA111" s="49" t="n"/>
      <c r="AB111" s="49" t="n"/>
      <c r="AC111" s="49" t="n"/>
      <c r="AD111" s="49" t="n"/>
      <c r="AE111" s="49" t="n"/>
      <c r="AF111" s="49" t="n"/>
      <c r="AG111" s="49" t="n"/>
      <c r="AH111" s="49" t="n"/>
      <c r="AI111" s="49" t="n"/>
      <c r="AJ111" s="49" t="n"/>
      <c r="AK111" s="49" t="n"/>
    </row>
    <row r="112" ht="15" customHeight="1" s="27">
      <c r="A112" s="49" t="inlineStr">
        <is>
          <t>E3_v2_clean</t>
        </is>
      </c>
      <c r="B112" s="57" t="inlineStr">
        <is>
          <t>E3</t>
        </is>
      </c>
      <c r="C112" s="57" t="inlineStr">
        <is>
          <t>random_forest_regressor</t>
        </is>
      </c>
      <c r="D112" s="57" t="inlineStr">
        <is>
          <t>arboles_boosting</t>
        </is>
      </c>
      <c r="E112" s="57" t="n">
        <v>4</v>
      </c>
      <c r="F112" s="54" t="n">
        <v>0.2663866980744075</v>
      </c>
      <c r="G112" s="53" t="n"/>
      <c r="H112" s="58" t="n">
        <v>0.05</v>
      </c>
      <c r="I112" s="54" t="n">
        <v>0.2663866980744075</v>
      </c>
      <c r="J112" s="54" t="n">
        <v>0.1042173574368047</v>
      </c>
      <c r="K112" s="54" t="n">
        <v>0.1346575123322115</v>
      </c>
      <c r="L112" s="51" t="n">
        <v>0.7337527870680044</v>
      </c>
      <c r="M112" s="51" t="n">
        <v>0.7087121212121212</v>
      </c>
      <c r="N112" s="49" t="n"/>
      <c r="O112" s="57" t="n"/>
      <c r="P112" s="49" t="inlineStr">
        <is>
          <t>Random Forest limpio con walk-forward temporal | hipotesis=random_forest_base_amplia | sin escalado por naturaleza basada en arboles | L_total_Radar=0.266387</t>
        </is>
      </c>
      <c r="Q112" s="49" t="inlineStr">
        <is>
          <t>run_e3_random_forest.py</t>
        </is>
      </c>
      <c r="R112" s="49" t="inlineStr">
        <is>
          <t>Scripts/Modeling/run_e3_random_forest.py</t>
        </is>
      </c>
      <c r="S112" s="49" t="inlineStr">
        <is>
          <t>Experimentos/runs/E3_v2_clean_20260325_045918</t>
        </is>
      </c>
      <c r="T112" s="49" t="inlineStr">
        <is>
          <t>Experimentos/runs/E3_v2_clean_20260325_045918/scripts/run_e3_random_forest.py</t>
        </is>
      </c>
      <c r="U112" s="49" t="inlineStr">
        <is>
          <t>Experimentos/runs/E3_v2_clean_20260325_045918/parametros_run.json</t>
        </is>
      </c>
      <c r="V112" s="49" t="inlineStr">
        <is>
          <t>Experimentos/runs/E3_v2_clean_20260325_045918/metricas_horizonte.json</t>
        </is>
      </c>
      <c r="W112" s="49" t="inlineStr">
        <is>
          <t>2026-03-25 04:59:18</t>
        </is>
      </c>
      <c r="X112" s="49" t="n"/>
      <c r="Y112" s="49" t="n"/>
      <c r="Z112" s="49" t="n"/>
      <c r="AA112" s="49" t="n"/>
      <c r="AB112" s="49" t="n"/>
      <c r="AC112" s="49" t="n"/>
      <c r="AD112" s="49" t="n"/>
      <c r="AE112" s="49" t="n"/>
      <c r="AF112" s="49" t="n"/>
      <c r="AG112" s="49" t="n"/>
      <c r="AH112" s="49" t="n"/>
      <c r="AI112" s="49" t="n"/>
      <c r="AJ112" s="49" t="n"/>
      <c r="AK112" s="49" t="n"/>
    </row>
    <row r="113" ht="15" customHeight="1" s="27">
      <c r="A113" s="49" t="inlineStr">
        <is>
          <t>E4_v1_clean</t>
        </is>
      </c>
      <c r="B113" s="57" t="inlineStr">
        <is>
          <t>E4</t>
        </is>
      </c>
      <c r="C113" s="57" t="inlineStr">
        <is>
          <t>xgboost_regressor</t>
        </is>
      </c>
      <c r="D113" s="57" t="inlineStr">
        <is>
          <t>arboles_boosting</t>
        </is>
      </c>
      <c r="E113" s="57" t="n">
        <v>4</v>
      </c>
      <c r="F113" s="54" t="n">
        <v>0.2839341113264429</v>
      </c>
      <c r="G113" s="53" t="n"/>
      <c r="H113" s="58" t="n">
        <v>0.05</v>
      </c>
      <c r="I113" s="54" t="n">
        <v>0.2839341113264429</v>
      </c>
      <c r="J113" s="54" t="n">
        <v>0.1132736868627532</v>
      </c>
      <c r="K113" s="54" t="n">
        <v>0.1422368515217783</v>
      </c>
      <c r="L113" s="51" t="n">
        <v>0.693756967670011</v>
      </c>
      <c r="M113" s="51" t="n">
        <v>0.7087121212121212</v>
      </c>
      <c r="N113" s="49" t="n"/>
      <c r="O113" s="57" t="n"/>
      <c r="P113" s="49" t="inlineStr">
        <is>
          <t>XGBoost limpio con walk-forward temporal | hipotesis=boosting_base_conservador | baseline fijo sin tuning interno | sin escalado por naturaleza basada en arboles | L_total_Radar=0.283934</t>
        </is>
      </c>
      <c r="Q113" s="49" t="inlineStr">
        <is>
          <t>run_e4_xgboost.py</t>
        </is>
      </c>
      <c r="R113" s="49" t="inlineStr">
        <is>
          <t>Scripts/Modeling/run_e4_xgboost.py</t>
        </is>
      </c>
      <c r="S113" s="49" t="inlineStr">
        <is>
          <t>Experimentos/runs/E4_v1_clean_20260325_052051</t>
        </is>
      </c>
      <c r="T113" s="49" t="inlineStr">
        <is>
          <t>Experimentos/runs/E4_v1_clean_20260325_052051/scripts/run_e4_xgboost.py</t>
        </is>
      </c>
      <c r="U113" s="49" t="inlineStr">
        <is>
          <t>Experimentos/runs/E4_v1_clean_20260325_052051/parametros_run.json</t>
        </is>
      </c>
      <c r="V113" s="49" t="inlineStr">
        <is>
          <t>Experimentos/runs/E4_v1_clean_20260325_052051/metricas_horizonte.json</t>
        </is>
      </c>
      <c r="W113" s="49" t="inlineStr">
        <is>
          <t>2026-03-25 05:20:51</t>
        </is>
      </c>
      <c r="X113" s="49" t="n"/>
      <c r="Y113" s="49" t="n"/>
      <c r="Z113" s="49" t="n"/>
      <c r="AA113" s="49" t="n"/>
      <c r="AB113" s="49" t="n"/>
      <c r="AC113" s="49" t="n"/>
      <c r="AD113" s="49" t="n"/>
      <c r="AE113" s="49" t="n"/>
      <c r="AF113" s="49" t="n"/>
      <c r="AG113" s="49" t="n"/>
      <c r="AH113" s="49" t="n"/>
      <c r="AI113" s="49" t="n"/>
      <c r="AJ113" s="49" t="n"/>
      <c r="AK113" s="49" t="n"/>
    </row>
    <row r="114" ht="15" customHeight="1" s="27">
      <c r="A114" s="49" t="inlineStr">
        <is>
          <t>E4_v2_clean</t>
        </is>
      </c>
      <c r="B114" s="57" t="inlineStr">
        <is>
          <t>E4</t>
        </is>
      </c>
      <c r="C114" s="57" t="inlineStr">
        <is>
          <t>xgboost_regressor</t>
        </is>
      </c>
      <c r="D114" s="57" t="inlineStr">
        <is>
          <t>arboles_boosting</t>
        </is>
      </c>
      <c r="E114" s="57" t="n">
        <v>4</v>
      </c>
      <c r="F114" s="54" t="n">
        <v>0.2973425926212152</v>
      </c>
      <c r="G114" s="53" t="n"/>
      <c r="H114" s="58" t="n">
        <v>0.05</v>
      </c>
      <c r="I114" s="54" t="n">
        <v>0.2973425926212152</v>
      </c>
      <c r="J114" s="54" t="n">
        <v>0.1111074574588021</v>
      </c>
      <c r="K114" s="54" t="n">
        <v>0.1387522342283121</v>
      </c>
      <c r="L114" s="51" t="n">
        <v>0.6932678372352286</v>
      </c>
      <c r="M114" s="51" t="n">
        <v>0.6609848484848485</v>
      </c>
      <c r="N114" s="49" t="n"/>
      <c r="O114" s="57" t="n"/>
      <c r="P114" s="49" t="inlineStr">
        <is>
          <t>XGBoost limpio con walk-forward temporal | hipotesis=boosting_corr_vs_all | baseline fijo sin tuning interno | sin escalado por naturaleza basada en arboles | L_total_Radar=0.297343</t>
        </is>
      </c>
      <c r="Q114" s="49" t="inlineStr">
        <is>
          <t>run_e4_xgboost.py</t>
        </is>
      </c>
      <c r="R114" s="49" t="inlineStr">
        <is>
          <t>Scripts/Modeling/run_e4_xgboost.py</t>
        </is>
      </c>
      <c r="S114" s="49" t="inlineStr">
        <is>
          <t>Experimentos/runs/E4_v2_clean_20260325_055117</t>
        </is>
      </c>
      <c r="T114" s="49" t="inlineStr">
        <is>
          <t>Experimentos/runs/E4_v2_clean_20260325_055117/scripts/run_e4_xgboost.py</t>
        </is>
      </c>
      <c r="U114" s="49" t="inlineStr">
        <is>
          <t>Experimentos/runs/E4_v2_clean_20260325_055117/parametros_run.json</t>
        </is>
      </c>
      <c r="V114" s="49" t="inlineStr">
        <is>
          <t>Experimentos/runs/E4_v2_clean_20260325_055117/metricas_horizonte.json</t>
        </is>
      </c>
      <c r="W114" s="49" t="inlineStr">
        <is>
          <t>2026-03-25 05:51:17</t>
        </is>
      </c>
      <c r="X114" s="49" t="n"/>
      <c r="Y114" s="49" t="n"/>
      <c r="Z114" s="49" t="n"/>
      <c r="AA114" s="49" t="n"/>
      <c r="AB114" s="49" t="n"/>
      <c r="AC114" s="49" t="n"/>
      <c r="AD114" s="49" t="n"/>
      <c r="AE114" s="49" t="n"/>
      <c r="AF114" s="49" t="n"/>
      <c r="AG114" s="49" t="n"/>
      <c r="AH114" s="49" t="n"/>
      <c r="AI114" s="49" t="n"/>
      <c r="AJ114" s="49" t="n"/>
      <c r="AK114" s="49" t="n"/>
    </row>
    <row r="115" ht="15" customHeight="1" s="27">
      <c r="A115" s="49" t="inlineStr">
        <is>
          <t>E4_v3_clean</t>
        </is>
      </c>
      <c r="B115" s="57" t="inlineStr">
        <is>
          <t>E4</t>
        </is>
      </c>
      <c r="C115" s="57" t="inlineStr">
        <is>
          <t>xgboost_regressor</t>
        </is>
      </c>
      <c r="D115" s="57" t="inlineStr">
        <is>
          <t>arboles_boosting</t>
        </is>
      </c>
      <c r="E115" s="57" t="n">
        <v>4</v>
      </c>
      <c r="F115" s="54" t="n">
        <v>0.4247743104980723</v>
      </c>
      <c r="G115" s="53" t="n"/>
      <c r="H115" s="58" t="n">
        <v>0.05</v>
      </c>
      <c r="I115" s="54" t="n">
        <v>0.4247743104980723</v>
      </c>
      <c r="J115" s="54" t="n">
        <v>0.146455603877573</v>
      </c>
      <c r="K115" s="54" t="n">
        <v>0.1813787575610373</v>
      </c>
      <c r="L115" s="51" t="n">
        <v>0.4924944258639911</v>
      </c>
      <c r="M115" s="51" t="n">
        <v>0.5178030303030303</v>
      </c>
      <c r="N115" s="49" t="n"/>
      <c r="O115" s="57" t="n"/>
      <c r="P115" s="49" t="inlineStr">
        <is>
          <t>XGBoost limpio con walk-forward temporal | hipotesis=boosting_delta_vs_nivel | baseline fijo sin tuning interno | sin escalado por naturaleza basada en arboles | L_total_Radar=0.424774</t>
        </is>
      </c>
      <c r="Q115" s="49" t="inlineStr">
        <is>
          <t>run_e4_xgboost.py</t>
        </is>
      </c>
      <c r="R115" s="49" t="inlineStr">
        <is>
          <t>Scripts/Modeling/run_e4_xgboost.py</t>
        </is>
      </c>
      <c r="S115" s="49" t="inlineStr">
        <is>
          <t>Experimentos/runs/E4_v3_clean_20260325_055134</t>
        </is>
      </c>
      <c r="T115" s="49" t="inlineStr">
        <is>
          <t>Experimentos/runs/E4_v3_clean_20260325_055134/scripts/run_e4_xgboost.py</t>
        </is>
      </c>
      <c r="U115" s="49" t="inlineStr">
        <is>
          <t>Experimentos/runs/E4_v3_clean_20260325_055134/parametros_run.json</t>
        </is>
      </c>
      <c r="V115" s="49" t="inlineStr">
        <is>
          <t>Experimentos/runs/E4_v3_clean_20260325_055134/metricas_horizonte.json</t>
        </is>
      </c>
      <c r="W115" s="49" t="inlineStr">
        <is>
          <t>2026-03-25 05:51:34</t>
        </is>
      </c>
      <c r="X115" s="49" t="n"/>
      <c r="Y115" s="49" t="n"/>
      <c r="Z115" s="49" t="n"/>
      <c r="AA115" s="49" t="n"/>
      <c r="AB115" s="49" t="n"/>
      <c r="AC115" s="49" t="n"/>
      <c r="AD115" s="49" t="n"/>
      <c r="AE115" s="49" t="n"/>
      <c r="AF115" s="49" t="n"/>
      <c r="AG115" s="49" t="n"/>
      <c r="AH115" s="49" t="n"/>
      <c r="AI115" s="49" t="n"/>
      <c r="AJ115" s="49" t="n"/>
      <c r="AK115" s="49" t="n"/>
    </row>
    <row r="116" ht="15" customHeight="1" s="27">
      <c r="A116" s="49" t="inlineStr">
        <is>
          <t>E5_v1_clean</t>
        </is>
      </c>
      <c r="B116" s="57" t="inlineStr">
        <is>
          <t>E5</t>
        </is>
      </c>
      <c r="C116" s="57" t="inlineStr">
        <is>
          <t>catboost_regressor</t>
        </is>
      </c>
      <c r="D116" s="57" t="inlineStr">
        <is>
          <t>arboles_boosting</t>
        </is>
      </c>
      <c r="E116" s="57" t="n">
        <v>4</v>
      </c>
      <c r="F116" s="54" t="n">
        <v>0.2552591894544091</v>
      </c>
      <c r="G116" s="53" t="n"/>
      <c r="H116" s="58" t="n">
        <v>0.05</v>
      </c>
      <c r="I116" s="54" t="n">
        <v>0.2552591894544091</v>
      </c>
      <c r="J116" s="54" t="n">
        <v>0.1012522359008197</v>
      </c>
      <c r="K116" s="54" t="n">
        <v>0.1358452454504739</v>
      </c>
      <c r="L116" s="51" t="n">
        <v>0.7354236343366778</v>
      </c>
      <c r="M116" s="51" t="n">
        <v>0.736489898989899</v>
      </c>
      <c r="N116" s="49" t="n"/>
      <c r="O116" s="57" t="n"/>
      <c r="P116" s="49" t="inlineStr">
        <is>
          <t>CatBoost limpio con walk-forward temporal | hipotesis=catboost_base_tabular_all | baseline fijo sin tuning interno | sin escalado por naturaleza basada en arboles | sin variables categoricas explicitas, operando sobre features numericas | L_total_Radar=0.255259</t>
        </is>
      </c>
      <c r="Q116" s="49" t="inlineStr">
        <is>
          <t>run_e5_catboost.py</t>
        </is>
      </c>
      <c r="R116" s="49" t="inlineStr">
        <is>
          <t>Scripts/Modeling/run_e5_catboost.py</t>
        </is>
      </c>
      <c r="S116" s="49" t="inlineStr">
        <is>
          <t>Experimentos/runs/E5_v1_clean_20260330_061014</t>
        </is>
      </c>
      <c r="T116" s="49" t="inlineStr">
        <is>
          <t>Experimentos/runs/E5_v1_clean_20260330_061014/scripts/run_e5_catboost.py</t>
        </is>
      </c>
      <c r="U116" s="49" t="inlineStr">
        <is>
          <t>Experimentos/runs/E5_v1_clean_20260330_061014/parametros_run.json</t>
        </is>
      </c>
      <c r="V116" s="49" t="inlineStr">
        <is>
          <t>Experimentos/runs/E5_v1_clean_20260330_061014/metricas_horizonte.json</t>
        </is>
      </c>
      <c r="W116" s="49" t="inlineStr">
        <is>
          <t>2026-03-30 06:10:14</t>
        </is>
      </c>
      <c r="X116" s="49" t="n"/>
      <c r="Y116" s="49" t="n"/>
      <c r="Z116" s="49" t="n"/>
      <c r="AA116" s="49" t="n"/>
      <c r="AB116" s="49" t="n"/>
      <c r="AC116" s="49" t="n"/>
      <c r="AD116" s="49" t="n"/>
      <c r="AE116" s="49" t="n"/>
      <c r="AF116" s="49" t="n"/>
      <c r="AG116" s="49" t="n"/>
      <c r="AH116" s="49" t="n"/>
      <c r="AI116" s="49" t="n"/>
      <c r="AJ116" s="49" t="n"/>
      <c r="AK116" s="49" t="n"/>
    </row>
    <row r="117" ht="15" customHeight="1" s="27">
      <c r="A117" s="49" t="inlineStr">
        <is>
          <t>C1_v1_clean</t>
        </is>
      </c>
      <c r="B117" s="57" t="inlineStr">
        <is>
          <t>C1</t>
        </is>
      </c>
      <c r="C117" s="57" t="inlineStr">
        <is>
          <t>random_forest_classifier</t>
        </is>
      </c>
      <c r="D117" s="57" t="inlineStr">
        <is>
          <t>clasificacion_random_forest</t>
        </is>
      </c>
      <c r="E117" s="57" t="n">
        <v>4</v>
      </c>
      <c r="F117" s="54" t="n">
        <v>0.4833333333333333</v>
      </c>
      <c r="G117" s="53" t="n"/>
      <c r="H117" s="58" t="n">
        <v>0.05</v>
      </c>
      <c r="I117" s="54" t="n"/>
      <c r="J117" s="54" t="n"/>
      <c r="K117" s="54" t="n"/>
      <c r="L117" s="51" t="n"/>
      <c r="M117" s="51" t="n"/>
      <c r="N117" s="49" t="n"/>
      <c r="O117" s="57" t="n"/>
      <c r="P117" s="49" t="inlineStr">
        <is>
          <t>RandomForestClassifier limpio con walk-forward temporal | hipotesis=rf_clf_baseline_prudente | sin tuning interno | class_weight nativo por fold | L_total_Clasificacion=0.483333</t>
        </is>
      </c>
      <c r="Q117" s="49" t="inlineStr">
        <is>
          <t>run_c1_random_forest_classifier.py</t>
        </is>
      </c>
      <c r="R117" s="49" t="inlineStr">
        <is>
          <t>Scripts/Modeling/run_c1_random_forest_classifier.py</t>
        </is>
      </c>
      <c r="S117" s="49" t="inlineStr">
        <is>
          <t>Experimentos/runs/C1_v1_clean_20260330_085747</t>
        </is>
      </c>
      <c r="T117" s="49" t="inlineStr">
        <is>
          <t>Experimentos/runs/C1_v1_clean_20260330_085747/scripts/run_c1_random_forest_classifier.py</t>
        </is>
      </c>
      <c r="U117" s="49" t="inlineStr">
        <is>
          <t>Experimentos/runs/C1_v1_clean_20260330_085747/parametros_run.json</t>
        </is>
      </c>
      <c r="V117" s="49" t="inlineStr">
        <is>
          <t>Experimentos/runs/C1_v1_clean_20260330_085747/metricas_horizonte.json</t>
        </is>
      </c>
      <c r="W117" s="49" t="inlineStr">
        <is>
          <t>2026-03-30 08:57:47</t>
        </is>
      </c>
      <c r="X117" s="49" t="inlineStr">
        <is>
          <t>clasificacion</t>
        </is>
      </c>
      <c r="Y117" s="49" t="n">
        <v>0.4833333333333333</v>
      </c>
      <c r="Z117" s="49" t="n">
        <v>1</v>
      </c>
      <c r="AA117" s="49" t="n">
        <v>1</v>
      </c>
      <c r="AB117" s="49" t="n">
        <v>0.2</v>
      </c>
      <c r="AC117" s="49" t="n">
        <v>1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1</v>
      </c>
      <c r="AJ117" s="49" t="n">
        <v>0.3333333333333333</v>
      </c>
      <c r="AK117" s="49" t="n">
        <v>1</v>
      </c>
    </row>
    <row r="118" ht="15" customHeight="1" s="27">
      <c r="A118" s="49" t="inlineStr">
        <is>
          <t>C1_v2_clean</t>
        </is>
      </c>
      <c r="B118" s="57" t="inlineStr">
        <is>
          <t>C1</t>
        </is>
      </c>
      <c r="C118" s="57" t="inlineStr">
        <is>
          <t>random_forest_classifier</t>
        </is>
      </c>
      <c r="D118" s="57" t="inlineStr">
        <is>
          <t>clasificacion_random_forest</t>
        </is>
      </c>
      <c r="E118" s="57" t="n">
        <v>4</v>
      </c>
      <c r="F118" s="54" t="n">
        <v>0.4833333333333333</v>
      </c>
      <c r="G118" s="53" t="n"/>
      <c r="H118" s="58" t="n">
        <v>0.05</v>
      </c>
      <c r="I118" s="54" t="n"/>
      <c r="J118" s="54" t="n"/>
      <c r="K118" s="54" t="n"/>
      <c r="L118" s="51" t="n"/>
      <c r="M118" s="51" t="n"/>
      <c r="N118" s="49" t="n"/>
      <c r="O118" s="57" t="n"/>
      <c r="P118" s="49" t="inlineStr">
        <is>
          <t>RandomForestClassifier limpio con walk-forward temporal | hipotesis=rf_clf_mas_parsimonioso | sin tuning interno | class_weight nativo por fold | L_total_Clasificacion=0.483333</t>
        </is>
      </c>
      <c r="Q118" s="49" t="inlineStr">
        <is>
          <t>run_c1_random_forest_classifier.py</t>
        </is>
      </c>
      <c r="R118" s="49" t="inlineStr">
        <is>
          <t>Scripts/Modeling/run_c1_random_forest_classifier.py</t>
        </is>
      </c>
      <c r="S118" s="49" t="inlineStr">
        <is>
          <t>Experimentos/runs/C1_v2_clean_20260330_085846</t>
        </is>
      </c>
      <c r="T118" s="49" t="inlineStr">
        <is>
          <t>Experimentos/runs/C1_v2_clean_20260330_085846/scripts/run_c1_random_forest_classifier.py</t>
        </is>
      </c>
      <c r="U118" s="49" t="inlineStr">
        <is>
          <t>Experimentos/runs/C1_v2_clean_20260330_085846/parametros_run.json</t>
        </is>
      </c>
      <c r="V118" s="49" t="inlineStr">
        <is>
          <t>Experimentos/runs/C1_v2_clean_20260330_085846/metricas_horizonte.json</t>
        </is>
      </c>
      <c r="W118" s="49" t="inlineStr">
        <is>
          <t>2026-03-30 08:58:46</t>
        </is>
      </c>
      <c r="X118" s="49" t="inlineStr">
        <is>
          <t>clasificacion</t>
        </is>
      </c>
      <c r="Y118" s="49" t="n">
        <v>0.4833333333333333</v>
      </c>
      <c r="Z118" s="49" t="n">
        <v>1</v>
      </c>
      <c r="AA118" s="49" t="n">
        <v>1</v>
      </c>
      <c r="AB118" s="49" t="n">
        <v>0.2</v>
      </c>
      <c r="AC118" s="49" t="n">
        <v>1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1</v>
      </c>
      <c r="AJ118" s="49" t="n">
        <v>0.3333333333333333</v>
      </c>
      <c r="AK118" s="49" t="n">
        <v>1</v>
      </c>
    </row>
    <row r="119" ht="15" customHeight="1" s="27">
      <c r="A119" s="49" t="inlineStr">
        <is>
          <t>C1_v3_clean</t>
        </is>
      </c>
      <c r="B119" s="57" t="inlineStr">
        <is>
          <t>C1</t>
        </is>
      </c>
      <c r="C119" s="57" t="inlineStr">
        <is>
          <t>random_forest_classifier</t>
        </is>
      </c>
      <c r="D119" s="57" t="inlineStr">
        <is>
          <t>clasificacion_random_forest</t>
        </is>
      </c>
      <c r="E119" s="57" t="n">
        <v>4</v>
      </c>
      <c r="F119" s="54" t="n">
        <v>0.4833333333333333</v>
      </c>
      <c r="G119" s="53" t="n"/>
      <c r="H119" s="58" t="n">
        <v>0.05</v>
      </c>
      <c r="I119" s="54" t="n"/>
      <c r="J119" s="54" t="n"/>
      <c r="K119" s="54" t="n"/>
      <c r="L119" s="51" t="n"/>
      <c r="M119" s="51" t="n"/>
      <c r="N119" s="49" t="n"/>
      <c r="O119" s="57" t="n"/>
      <c r="P119" s="49" t="inlineStr">
        <is>
          <t>RandomForestClassifier limpio con walk-forward temporal | hipotesis=rf_clf_mas_flexible_controlado | sin tuning interno | class_weight nativo por fold | L_total_Clasificacion=0.483333</t>
        </is>
      </c>
      <c r="Q119" s="49" t="inlineStr">
        <is>
          <t>run_c1_random_forest_classifier.py</t>
        </is>
      </c>
      <c r="R119" s="49" t="inlineStr">
        <is>
          <t>Scripts/Modeling/run_c1_random_forest_classifier.py</t>
        </is>
      </c>
      <c r="S119" s="49" t="inlineStr">
        <is>
          <t>Experimentos/runs/C1_v3_clean_20260330_085854</t>
        </is>
      </c>
      <c r="T119" s="49" t="inlineStr">
        <is>
          <t>Experimentos/runs/C1_v3_clean_20260330_085854/scripts/run_c1_random_forest_classifier.py</t>
        </is>
      </c>
      <c r="U119" s="49" t="inlineStr">
        <is>
          <t>Experimentos/runs/C1_v3_clean_20260330_085854/parametros_run.json</t>
        </is>
      </c>
      <c r="V119" s="49" t="inlineStr">
        <is>
          <t>Experimentos/runs/C1_v3_clean_20260330_085854/metricas_horizonte.json</t>
        </is>
      </c>
      <c r="W119" s="49" t="inlineStr">
        <is>
          <t>2026-03-30 08:58:54</t>
        </is>
      </c>
      <c r="X119" s="49" t="inlineStr">
        <is>
          <t>clasificacion</t>
        </is>
      </c>
      <c r="Y119" s="49" t="n">
        <v>0.4833333333333333</v>
      </c>
      <c r="Z119" s="49" t="n">
        <v>1</v>
      </c>
      <c r="AA119" s="49" t="n">
        <v>1</v>
      </c>
      <c r="AB119" s="49" t="n">
        <v>0.2</v>
      </c>
      <c r="AC119" s="49" t="n">
        <v>1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1</v>
      </c>
      <c r="AJ119" s="49" t="n">
        <v>0.3333333333333333</v>
      </c>
      <c r="AK119" s="49" t="n">
        <v>1</v>
      </c>
    </row>
    <row r="120" ht="15" customHeight="1" s="27">
      <c r="A120" s="49" t="inlineStr">
        <is>
          <t>E5_v2_clean</t>
        </is>
      </c>
      <c r="B120" s="57" t="inlineStr">
        <is>
          <t>E5</t>
        </is>
      </c>
      <c r="C120" s="57" t="inlineStr">
        <is>
          <t>catboost_regressor</t>
        </is>
      </c>
      <c r="D120" s="57" t="inlineStr">
        <is>
          <t>arboles_boosting</t>
        </is>
      </c>
      <c r="E120" s="57" t="n">
        <v>4</v>
      </c>
      <c r="F120" s="54" t="n">
        <v>0.2618185352281958</v>
      </c>
      <c r="G120" s="53" t="n"/>
      <c r="H120" s="58" t="n">
        <v>0.05</v>
      </c>
      <c r="I120" s="54" t="n">
        <v>0.2618185352281958</v>
      </c>
      <c r="J120" s="54" t="n">
        <v>0.1075683881879874</v>
      </c>
      <c r="K120" s="54" t="n">
        <v>0.1385271044710974</v>
      </c>
      <c r="L120" s="51" t="n">
        <v>0.7128832218506131</v>
      </c>
      <c r="M120" s="51" t="n">
        <v>0.7295454545454545</v>
      </c>
      <c r="N120" s="49" t="n"/>
      <c r="O120" s="57" t="n"/>
      <c r="P120" s="49" t="inlineStr">
        <is>
          <t>CatBoost limpio con walk-forward temporal | hipotesis=catboost_corr_vs_all | baseline fijo sin tuning interno | sin escalado por naturaleza basada en arboles | sin variables categoricas explicitas, operando sobre features numericas | L_total_Radar=0.261819</t>
        </is>
      </c>
      <c r="Q120" s="49" t="inlineStr">
        <is>
          <t>run_e5_catboost.py</t>
        </is>
      </c>
      <c r="R120" s="49" t="inlineStr">
        <is>
          <t>Scripts/Modeling/run_e5_catboost.py</t>
        </is>
      </c>
      <c r="S120" s="49" t="inlineStr">
        <is>
          <t>Experimentos/runs/E5_v2_clean_20260330_090443</t>
        </is>
      </c>
      <c r="T120" s="49" t="inlineStr">
        <is>
          <t>Experimentos/runs/E5_v2_clean_20260330_090443/scripts/run_e5_catboost.py</t>
        </is>
      </c>
      <c r="U120" s="49" t="inlineStr">
        <is>
          <t>Experimentos/runs/E5_v2_clean_20260330_090443/parametros_run.json</t>
        </is>
      </c>
      <c r="V120" s="49" t="inlineStr">
        <is>
          <t>Experimentos/runs/E5_v2_clean_20260330_090443/metricas_horizonte.json</t>
        </is>
      </c>
      <c r="W120" s="49" t="inlineStr">
        <is>
          <t>2026-03-30 09:04:43</t>
        </is>
      </c>
      <c r="X120" s="49" t="inlineStr">
        <is>
          <t>regresion</t>
        </is>
      </c>
      <c r="Y120" s="49" t="n"/>
      <c r="Z120" s="49" t="n"/>
      <c r="AA120" s="49" t="n"/>
      <c r="AB120" s="49" t="n"/>
      <c r="AC120" s="49" t="n"/>
      <c r="AD120" s="49" t="n"/>
      <c r="AE120" s="49" t="n"/>
      <c r="AF120" s="49" t="n"/>
      <c r="AG120" s="49" t="n"/>
      <c r="AH120" s="49" t="n"/>
      <c r="AI120" s="49" t="n"/>
      <c r="AJ120" s="49" t="n"/>
      <c r="AK120" s="49" t="n"/>
    </row>
    <row r="121" ht="15" customHeight="1" s="27">
      <c r="A121" s="49" t="inlineStr">
        <is>
          <t>E5_v3_clean</t>
        </is>
      </c>
      <c r="B121" s="57" t="inlineStr">
        <is>
          <t>E5</t>
        </is>
      </c>
      <c r="C121" s="57" t="inlineStr">
        <is>
          <t>catboost_regressor</t>
        </is>
      </c>
      <c r="D121" s="57" t="inlineStr">
        <is>
          <t>arboles_boosting</t>
        </is>
      </c>
      <c r="E121" s="57" t="n">
        <v>4</v>
      </c>
      <c r="F121" s="54" t="n">
        <v>0.2613186266534276</v>
      </c>
      <c r="G121" s="53" t="n"/>
      <c r="H121" s="58" t="n">
        <v>0.05</v>
      </c>
      <c r="I121" s="54" t="n">
        <v>0.2613186266534276</v>
      </c>
      <c r="J121" s="54" t="n">
        <v>0.1046862112846127</v>
      </c>
      <c r="K121" s="54" t="n">
        <v>0.136851236852608</v>
      </c>
      <c r="L121" s="51" t="n">
        <v>0.7224986064659977</v>
      </c>
      <c r="M121" s="51" t="n">
        <v>0.7017676767676768</v>
      </c>
      <c r="N121" s="49" t="n"/>
      <c r="O121" s="57" t="n"/>
      <c r="P121" s="49" t="inlineStr">
        <is>
          <t>CatBoost limpio con walk-forward temporal | hipotesis=catboost_depth4_vs_depth5 | baseline fijo sin tuning interno | sin escalado por naturaleza basada en arboles | sin variables categoricas explicitas, operando sobre features numericas | L_total_Radar=0.261319</t>
        </is>
      </c>
      <c r="Q121" s="49" t="inlineStr">
        <is>
          <t>run_e5_catboost.py</t>
        </is>
      </c>
      <c r="R121" s="49" t="inlineStr">
        <is>
          <t>Scripts/Modeling/run_e5_catboost.py</t>
        </is>
      </c>
      <c r="S121" s="49" t="inlineStr">
        <is>
          <t>Experimentos/runs/E5_v3_clean_20260330_090800</t>
        </is>
      </c>
      <c r="T121" s="49" t="inlineStr">
        <is>
          <t>Experimentos/runs/E5_v3_clean_20260330_090800/scripts/run_e5_catboost.py</t>
        </is>
      </c>
      <c r="U121" s="49" t="inlineStr">
        <is>
          <t>Experimentos/runs/E5_v3_clean_20260330_090800/parametros_run.json</t>
        </is>
      </c>
      <c r="V121" s="49" t="inlineStr">
        <is>
          <t>Experimentos/runs/E5_v3_clean_20260330_090800/metricas_horizonte.json</t>
        </is>
      </c>
      <c r="W121" s="49" t="inlineStr">
        <is>
          <t>2026-03-30 09:08:00</t>
        </is>
      </c>
      <c r="X121" s="49" t="inlineStr">
        <is>
          <t>regresion</t>
        </is>
      </c>
      <c r="Y121" s="49" t="n"/>
      <c r="Z121" s="49" t="n"/>
      <c r="AA121" s="49" t="n"/>
      <c r="AB121" s="49" t="n"/>
      <c r="AC121" s="49" t="n"/>
      <c r="AD121" s="49" t="n"/>
      <c r="AE121" s="49" t="n"/>
      <c r="AF121" s="49" t="n"/>
      <c r="AG121" s="49" t="n"/>
      <c r="AH121" s="49" t="n"/>
      <c r="AI121" s="49" t="n"/>
      <c r="AJ121" s="49" t="n"/>
      <c r="AK121" s="49" t="n"/>
    </row>
    <row r="122" ht="15" customHeight="1" s="27">
      <c r="A122" s="49" t="inlineStr">
        <is>
          <t>E5_v4_clean</t>
        </is>
      </c>
      <c r="B122" s="57" t="inlineStr">
        <is>
          <t>E5</t>
        </is>
      </c>
      <c r="C122" s="57" t="inlineStr">
        <is>
          <t>catboost_regressor</t>
        </is>
      </c>
      <c r="D122" s="57" t="inlineStr">
        <is>
          <t>arboles_boosting</t>
        </is>
      </c>
      <c r="E122" s="57" t="n">
        <v>4</v>
      </c>
      <c r="F122" s="54" t="n">
        <v>0.2477879377205662</v>
      </c>
      <c r="G122" s="53" t="n"/>
      <c r="H122" s="58" t="n">
        <v>0.05</v>
      </c>
      <c r="I122" s="54" t="n">
        <v>0.2477879377205662</v>
      </c>
      <c r="J122" s="54" t="n">
        <v>0.1017186807077696</v>
      </c>
      <c r="K122" s="54" t="n">
        <v>0.1347759597116313</v>
      </c>
      <c r="L122" s="51" t="n">
        <v>0.7346223522853956</v>
      </c>
      <c r="M122" s="51" t="n">
        <v>0.7573232323232323</v>
      </c>
      <c r="N122" s="49" t="n"/>
      <c r="O122" s="57" t="n"/>
      <c r="P122" s="49" t="inlineStr">
        <is>
          <t>CatBoost limpio con walk-forward temporal | hipotesis=catboost_tuning_temporal_acotado | tuning interno TimeSeriesSplit | metric=mae | inner_splits=3 | L_total_Radar=0.247788</t>
        </is>
      </c>
      <c r="Q122" s="49" t="inlineStr">
        <is>
          <t>run_e5_catboost.py</t>
        </is>
      </c>
      <c r="R122" s="49" t="inlineStr">
        <is>
          <t>Scripts/Modeling/run_e5_catboost.py</t>
        </is>
      </c>
      <c r="S122" s="49" t="inlineStr">
        <is>
          <t>Experimentos/runs/E5_v4_clean_20260330_091736</t>
        </is>
      </c>
      <c r="T122" s="49" t="inlineStr">
        <is>
          <t>Experimentos/runs/E5_v4_clean_20260330_091736/scripts/run_e5_catboost.py</t>
        </is>
      </c>
      <c r="U122" s="49" t="inlineStr">
        <is>
          <t>Experimentos/runs/E5_v4_clean_20260330_091736/parametros_run.json</t>
        </is>
      </c>
      <c r="V122" s="49" t="inlineStr">
        <is>
          <t>Experimentos/runs/E5_v4_clean_20260330_091736/metricas_horizonte.json</t>
        </is>
      </c>
      <c r="W122" s="49" t="inlineStr">
        <is>
          <t>2026-03-30 09:17:36</t>
        </is>
      </c>
      <c r="X122" s="49" t="inlineStr">
        <is>
          <t>regresion</t>
        </is>
      </c>
      <c r="Y122" s="49" t="n"/>
      <c r="Z122" s="49" t="n"/>
      <c r="AA122" s="49" t="n"/>
      <c r="AB122" s="49" t="n"/>
      <c r="AC122" s="49" t="n"/>
      <c r="AD122" s="49" t="n"/>
      <c r="AE122" s="49" t="n"/>
      <c r="AF122" s="49" t="n"/>
      <c r="AG122" s="49" t="n"/>
      <c r="AH122" s="49" t="n"/>
      <c r="AI122" s="49" t="n"/>
      <c r="AJ122" s="49" t="n"/>
      <c r="AK122" s="49" t="n"/>
    </row>
    <row r="123" ht="15" customHeight="1" s="27">
      <c r="A123" s="49" t="inlineStr">
        <is>
          <t>E5_v5_clean</t>
        </is>
      </c>
      <c r="B123" s="57" t="inlineStr">
        <is>
          <t>E5</t>
        </is>
      </c>
      <c r="C123" s="57" t="inlineStr">
        <is>
          <t>catboost_regressor</t>
        </is>
      </c>
      <c r="D123" s="57" t="inlineStr">
        <is>
          <t>arboles_boosting</t>
        </is>
      </c>
      <c r="E123" s="57" t="n">
        <v>4</v>
      </c>
      <c r="F123" s="54" t="n">
        <v>0.2644266343784683</v>
      </c>
      <c r="G123" s="53" t="n"/>
      <c r="H123" s="58" t="n">
        <v>0.05</v>
      </c>
      <c r="I123" s="54" t="n">
        <v>0.2644266343784683</v>
      </c>
      <c r="J123" s="54" t="n">
        <v>0.1025082725304667</v>
      </c>
      <c r="K123" s="54" t="n">
        <v>0.1366852683121759</v>
      </c>
      <c r="L123" s="51" t="n">
        <v>0.7141374024526198</v>
      </c>
      <c r="M123" s="51" t="n">
        <v>0.7087121212121212</v>
      </c>
      <c r="N123" s="49" t="n"/>
      <c r="O123" s="57" t="n"/>
      <c r="P123" s="49" t="inlineStr">
        <is>
          <t>CatBoost limpio con walk-forward temporal | hipotesis=catboost_tuning_focal_learningrate_l2 | tuning interno TimeSeriesSplit | metric=mae | inner_splits=3 | L_total_Radar=0.264427</t>
        </is>
      </c>
      <c r="Q123" s="49" t="inlineStr">
        <is>
          <t>run_e5_catboost.py</t>
        </is>
      </c>
      <c r="R123" s="49" t="inlineStr">
        <is>
          <t>Scripts/Modeling/run_e5_catboost.py</t>
        </is>
      </c>
      <c r="S123" s="49" t="inlineStr">
        <is>
          <t>Experimentos/runs/E5_v5_clean_20260330_092959</t>
        </is>
      </c>
      <c r="T123" s="49" t="inlineStr">
        <is>
          <t>Experimentos/runs/E5_v5_clean_20260330_092959/scripts/run_e5_catboost.py</t>
        </is>
      </c>
      <c r="U123" s="49" t="inlineStr">
        <is>
          <t>Experimentos/runs/E5_v5_clean_20260330_092959/parametros_run.json</t>
        </is>
      </c>
      <c r="V123" s="49" t="inlineStr">
        <is>
          <t>Experimentos/runs/E5_v5_clean_20260330_092959/metricas_horizonte.json</t>
        </is>
      </c>
      <c r="W123" s="49" t="inlineStr">
        <is>
          <t>2026-03-30 09:29:59</t>
        </is>
      </c>
      <c r="X123" s="49" t="inlineStr">
        <is>
          <t>regresion</t>
        </is>
      </c>
      <c r="Y123" s="49" t="n"/>
      <c r="Z123" s="49" t="n"/>
      <c r="AA123" s="49" t="n"/>
      <c r="AB123" s="49" t="n"/>
      <c r="AC123" s="49" t="n"/>
      <c r="AD123" s="49" t="n"/>
      <c r="AE123" s="49" t="n"/>
      <c r="AF123" s="49" t="n"/>
      <c r="AG123" s="49" t="n"/>
      <c r="AH123" s="49" t="n"/>
      <c r="AI123" s="49" t="n"/>
      <c r="AJ123" s="49" t="n"/>
      <c r="AK123" s="49" t="n"/>
    </row>
    <row r="124" ht="15" customHeight="1" s="27">
      <c r="A124" s="49" t="inlineStr">
        <is>
          <t>E6_v1_clean</t>
        </is>
      </c>
      <c r="B124" s="57" t="inlineStr">
        <is>
          <t>E6</t>
        </is>
      </c>
      <c r="C124" s="57" t="inlineStr">
        <is>
          <t>sarimax_regressor</t>
        </is>
      </c>
      <c r="D124" s="57" t="inlineStr">
        <is>
          <t>series_tiempo_exogenas</t>
        </is>
      </c>
      <c r="E124" s="57" t="n">
        <v>4</v>
      </c>
      <c r="F124" s="54" t="n">
        <v>0.3703183972542414</v>
      </c>
      <c r="G124" s="53" t="n"/>
      <c r="H124" s="58" t="n">
        <v>0.05</v>
      </c>
      <c r="I124" s="54" t="n">
        <v>0.3703183972542414</v>
      </c>
      <c r="J124" s="54" t="n">
        <v>0.1912998613993175</v>
      </c>
      <c r="K124" s="54" t="n">
        <v>0.2258511978386653</v>
      </c>
      <c r="L124" s="51" t="n">
        <v>0.5487918060200669</v>
      </c>
      <c r="M124" s="51" t="n">
        <v>0.7193181818181819</v>
      </c>
      <c r="N124" s="49" t="n"/>
      <c r="O124" s="57" t="n"/>
      <c r="P124" s="49" t="inlineStr">
        <is>
          <t>ARIMAX/SARIMAX con exogenas bajo walk-forward temporal | hipotesis=arimax_baseline_corr | order=(1,0,1) trend=c | baseline fijo sin tuning interno | sin escalado | seleccion de exogenas restringida al train de cada fold externo | L_total_Radar=0.370318</t>
        </is>
      </c>
      <c r="Q124" s="49" t="inlineStr">
        <is>
          <t>run_e6_arimax.py</t>
        </is>
      </c>
      <c r="R124" s="49" t="inlineStr">
        <is>
          <t>Scripts/Modeling/run_e6_arimax.py</t>
        </is>
      </c>
      <c r="S124" s="49" t="inlineStr">
        <is>
          <t>Experimentos/runs/E6_v1_clean_20260330_095626</t>
        </is>
      </c>
      <c r="T124" s="49" t="inlineStr">
        <is>
          <t>Experimentos/runs/E6_v1_clean_20260330_095626/scripts/run_e6_arimax.py</t>
        </is>
      </c>
      <c r="U124" s="49" t="inlineStr">
        <is>
          <t>Experimentos/runs/E6_v1_clean_20260330_095626/parametros_run.json</t>
        </is>
      </c>
      <c r="V124" s="49" t="inlineStr">
        <is>
          <t>Experimentos/runs/E6_v1_clean_20260330_095626/metricas_horizonte.json</t>
        </is>
      </c>
      <c r="W124" s="49" t="inlineStr">
        <is>
          <t>2026-03-30 09:56:26</t>
        </is>
      </c>
      <c r="X124" s="49" t="inlineStr">
        <is>
          <t>regresion</t>
        </is>
      </c>
      <c r="Y124" s="49" t="n"/>
      <c r="Z124" s="49" t="n"/>
      <c r="AA124" s="49" t="n"/>
      <c r="AB124" s="49" t="n"/>
      <c r="AC124" s="49" t="n"/>
      <c r="AD124" s="49" t="n"/>
      <c r="AE124" s="49" t="n"/>
      <c r="AF124" s="49" t="n"/>
      <c r="AG124" s="49" t="n"/>
      <c r="AH124" s="49" t="n"/>
      <c r="AI124" s="49" t="n"/>
      <c r="AJ124" s="49" t="n"/>
      <c r="AK124" s="49" t="n"/>
    </row>
    <row r="125" ht="15" customHeight="1" s="27">
      <c r="A125" s="49" t="inlineStr">
        <is>
          <t>E6_v2_clean</t>
        </is>
      </c>
      <c r="B125" s="57" t="inlineStr">
        <is>
          <t>E6</t>
        </is>
      </c>
      <c r="C125" s="57" t="inlineStr">
        <is>
          <t>sarimax_regressor</t>
        </is>
      </c>
      <c r="D125" s="57" t="inlineStr">
        <is>
          <t>series_tiempo_exogenas</t>
        </is>
      </c>
      <c r="E125" s="57" t="n">
        <v>4</v>
      </c>
      <c r="F125" s="54" t="n">
        <v>0.4457690443532661</v>
      </c>
      <c r="G125" s="53" t="n"/>
      <c r="H125" s="58" t="n">
        <v>0.05</v>
      </c>
      <c r="I125" s="54" t="n">
        <v>0.4457690443532661</v>
      </c>
      <c r="J125" s="54" t="n">
        <v>0.2337561738220542</v>
      </c>
      <c r="K125" s="54" t="n">
        <v>0.3042763693167492</v>
      </c>
      <c r="L125" s="51" t="n">
        <v>0.5626867335562988</v>
      </c>
      <c r="M125" s="51" t="n">
        <v>0.5061868686868687</v>
      </c>
      <c r="N125" s="49" t="n"/>
      <c r="O125" s="57" t="n"/>
      <c r="P125" s="49" t="inlineStr">
        <is>
          <t>ARIMAX/SARIMAX con exogenas bajo walk-forward temporal | hipotesis=arimax_all_vs_corr | order=(1,0,1) trend=c | baseline fijo sin tuning interno | sin escalado | seleccion de exogenas restringida al train de cada fold externo | L_total_Radar=0.445769</t>
        </is>
      </c>
      <c r="Q125" s="49" t="inlineStr">
        <is>
          <t>run_e6_arimax.py</t>
        </is>
      </c>
      <c r="R125" s="49" t="inlineStr">
        <is>
          <t>Scripts/Modeling/run_e6_arimax.py</t>
        </is>
      </c>
      <c r="S125" s="49" t="inlineStr">
        <is>
          <t>Experimentos/runs/E6_v2_clean_20260330_095944</t>
        </is>
      </c>
      <c r="T125" s="49" t="inlineStr">
        <is>
          <t>Experimentos/runs/E6_v2_clean_20260330_095944/scripts/run_e6_arimax.py</t>
        </is>
      </c>
      <c r="U125" s="49" t="inlineStr">
        <is>
          <t>Experimentos/runs/E6_v2_clean_20260330_095944/parametros_run.json</t>
        </is>
      </c>
      <c r="V125" s="49" t="inlineStr">
        <is>
          <t>Experimentos/runs/E6_v2_clean_20260330_095944/metricas_horizonte.json</t>
        </is>
      </c>
      <c r="W125" s="49" t="inlineStr">
        <is>
          <t>2026-03-30 09:59:44</t>
        </is>
      </c>
      <c r="X125" s="49" t="inlineStr">
        <is>
          <t>regresion</t>
        </is>
      </c>
      <c r="Y125" s="49" t="n"/>
      <c r="Z125" s="49" t="n"/>
      <c r="AA125" s="49" t="n"/>
      <c r="AB125" s="49" t="n"/>
      <c r="AC125" s="49" t="n"/>
      <c r="AD125" s="49" t="n"/>
      <c r="AE125" s="49" t="n"/>
      <c r="AF125" s="49" t="n"/>
      <c r="AG125" s="49" t="n"/>
      <c r="AH125" s="49" t="n"/>
      <c r="AI125" s="49" t="n"/>
      <c r="AJ125" s="49" t="n"/>
      <c r="AK125" s="49" t="n"/>
    </row>
    <row r="126" ht="15" customHeight="1" s="27">
      <c r="A126" s="49" t="inlineStr">
        <is>
          <t>E7_v1_clean</t>
        </is>
      </c>
      <c r="B126" s="57" t="inlineStr">
        <is>
          <t>E7</t>
        </is>
      </c>
      <c r="C126" s="57" t="inlineStr">
        <is>
          <t>prophet_exogenous_regressor</t>
        </is>
      </c>
      <c r="D126" s="57" t="inlineStr">
        <is>
          <t>series_tiempo_exogenas</t>
        </is>
      </c>
      <c r="E126" s="57" t="n">
        <v>4</v>
      </c>
      <c r="F126" s="54" t="n">
        <v>0.3255019750760202</v>
      </c>
      <c r="G126" s="53" t="n"/>
      <c r="H126" s="58" t="n">
        <v>0.05</v>
      </c>
      <c r="I126" s="54" t="n">
        <v>0.3255019750760202</v>
      </c>
      <c r="J126" s="54" t="n">
        <v>0.1546393678462287</v>
      </c>
      <c r="K126" s="54" t="n">
        <v>0.1941670498886039</v>
      </c>
      <c r="L126" s="51" t="n">
        <v>0.6217126532887401</v>
      </c>
      <c r="M126" s="51" t="n">
        <v>0.6911616161616161</v>
      </c>
      <c r="N126" s="49" t="n"/>
      <c r="O126" s="57" t="n"/>
      <c r="P126" s="49" t="inlineStr">
        <is>
          <t>Prophet con regresores exogenos bajo walk-forward temporal | hipotesis=prophet_baseline_corr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L_total_Radar=0.325502</t>
        </is>
      </c>
      <c r="Q126" s="49" t="inlineStr">
        <is>
          <t>run_e7_prophet.py</t>
        </is>
      </c>
      <c r="R126" s="49" t="inlineStr">
        <is>
          <t>Scripts/Modeling/run_e7_prophet.py</t>
        </is>
      </c>
      <c r="S126" s="49" t="inlineStr">
        <is>
          <t>Experimentos/runs/E7_v1_clean_20260330_105236</t>
        </is>
      </c>
      <c r="T126" s="49" t="inlineStr">
        <is>
          <t>Experimentos/runs/E7_v1_clean_20260330_105236/scripts/run_e7_prophet.py</t>
        </is>
      </c>
      <c r="U126" s="49" t="inlineStr">
        <is>
          <t>Experimentos/runs/E7_v1_clean_20260330_105236/parametros_run.json</t>
        </is>
      </c>
      <c r="V126" s="49" t="inlineStr">
        <is>
          <t>Experimentos/runs/E7_v1_clean_20260330_105236/metricas_horizonte.json</t>
        </is>
      </c>
      <c r="W126" s="49" t="inlineStr">
        <is>
          <t>2026-03-30 10:52:36</t>
        </is>
      </c>
      <c r="X126" s="49" t="inlineStr">
        <is>
          <t>regresion</t>
        </is>
      </c>
      <c r="Y126" s="49" t="n"/>
      <c r="Z126" s="49" t="n"/>
      <c r="AA126" s="49" t="n"/>
      <c r="AB126" s="49" t="n"/>
      <c r="AC126" s="49" t="n"/>
      <c r="AD126" s="49" t="n"/>
      <c r="AE126" s="49" t="n"/>
      <c r="AF126" s="49" t="n"/>
      <c r="AG126" s="49" t="n"/>
      <c r="AH126" s="49" t="n"/>
      <c r="AI126" s="49" t="n"/>
      <c r="AJ126" s="49" t="n"/>
      <c r="AK126" s="49" t="n"/>
    </row>
    <row r="127" ht="15" customHeight="1" s="27">
      <c r="A127" s="49" t="inlineStr">
        <is>
          <t>E7_v2_clean</t>
        </is>
      </c>
      <c r="B127" s="57" t="inlineStr">
        <is>
          <t>E7</t>
        </is>
      </c>
      <c r="C127" s="57" t="inlineStr">
        <is>
          <t>prophet_exogenous_regressor</t>
        </is>
      </c>
      <c r="D127" s="57" t="inlineStr">
        <is>
          <t>series_tiempo_exogenas</t>
        </is>
      </c>
      <c r="E127" s="57" t="n">
        <v>4</v>
      </c>
      <c r="F127" s="54" t="n">
        <v>0.6819919935137326</v>
      </c>
      <c r="G127" s="53" t="n"/>
      <c r="H127" s="58" t="n">
        <v>0.05</v>
      </c>
      <c r="I127" s="54" t="n">
        <v>0.6819919935137326</v>
      </c>
      <c r="J127" s="54" t="n">
        <v>9.670041531681067</v>
      </c>
      <c r="K127" s="54" t="n">
        <v>15.22456437103009</v>
      </c>
      <c r="L127" s="51" t="n">
        <v>0.4981744704570791</v>
      </c>
      <c r="M127" s="51" t="n">
        <v>0.5142676767676768</v>
      </c>
      <c r="N127" s="49" t="n"/>
      <c r="O127" s="57" t="n"/>
      <c r="P127" s="49" t="inlineStr">
        <is>
          <t>Prophet con regresores exogenos bajo walk-forward temporal | hipotesis=prophet_all_vs_corr | changepoint_prior_scale=0.05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L_total_Radar=0.681992</t>
        </is>
      </c>
      <c r="Q127" s="49" t="inlineStr">
        <is>
          <t>run_e7_prophet.py</t>
        </is>
      </c>
      <c r="R127" s="49" t="inlineStr">
        <is>
          <t>Scripts/Modeling/run_e7_prophet.py</t>
        </is>
      </c>
      <c r="S127" s="49" t="inlineStr">
        <is>
          <t>Experimentos/runs/E7_v2_clean_20260330_105319</t>
        </is>
      </c>
      <c r="T127" s="49" t="inlineStr">
        <is>
          <t>Experimentos/runs/E7_v2_clean_20260330_105319/scripts/run_e7_prophet.py</t>
        </is>
      </c>
      <c r="U127" s="49" t="inlineStr">
        <is>
          <t>Experimentos/runs/E7_v2_clean_20260330_105319/parametros_run.json</t>
        </is>
      </c>
      <c r="V127" s="49" t="inlineStr">
        <is>
          <t>Experimentos/runs/E7_v2_clean_20260330_105319/metricas_horizonte.json</t>
        </is>
      </c>
      <c r="W127" s="49" t="inlineStr">
        <is>
          <t>2026-03-30 10:53:19</t>
        </is>
      </c>
      <c r="X127" s="49" t="inlineStr">
        <is>
          <t>regresion</t>
        </is>
      </c>
      <c r="Y127" s="49" t="n"/>
      <c r="Z127" s="49" t="n"/>
      <c r="AA127" s="49" t="n"/>
      <c r="AB127" s="49" t="n"/>
      <c r="AC127" s="49" t="n"/>
      <c r="AD127" s="49" t="n"/>
      <c r="AE127" s="49" t="n"/>
      <c r="AF127" s="49" t="n"/>
      <c r="AG127" s="49" t="n"/>
      <c r="AH127" s="49" t="n"/>
      <c r="AI127" s="49" t="n"/>
      <c r="AJ127" s="49" t="n"/>
      <c r="AK127" s="49" t="n"/>
    </row>
    <row r="128" ht="15" customHeight="1" s="27">
      <c r="A128" s="49" t="inlineStr">
        <is>
          <t>E7_v3_clean</t>
        </is>
      </c>
      <c r="B128" s="57" t="inlineStr">
        <is>
          <t>E7</t>
        </is>
      </c>
      <c r="C128" s="57" t="inlineStr">
        <is>
          <t>prophet_exogenous_regressor</t>
        </is>
      </c>
      <c r="D128" s="57" t="inlineStr">
        <is>
          <t>series_tiempo_exogenas</t>
        </is>
      </c>
      <c r="E128" s="57" t="n">
        <v>4</v>
      </c>
      <c r="F128" s="54" t="n">
        <v>0.321327838487649</v>
      </c>
      <c r="G128" s="53" t="n"/>
      <c r="H128" s="58" t="n">
        <v>0.05</v>
      </c>
      <c r="I128" s="54" t="n">
        <v>0.321327838487649</v>
      </c>
      <c r="J128" s="54" t="n">
        <v>0.1544495857943101</v>
      </c>
      <c r="K128" s="54" t="n">
        <v>0.1944397034845913</v>
      </c>
      <c r="L128" s="51" t="n">
        <v>0.6321293199554069</v>
      </c>
      <c r="M128" s="51" t="n">
        <v>0.6911616161616161</v>
      </c>
      <c r="N128" s="49" t="n"/>
      <c r="O128" s="57" t="n"/>
      <c r="P128" s="49" t="inlineStr">
        <is>
          <t>Prophet con regresores exogenos bajo walk-forward temporal | hipotesis=prophet_changepoints_mas_flexibles | changepoint_prior_scale=0.2 | seasonality_mode=additive | weekly=False yearly=False daily=False | baseline fijo sin tuning interno | sin escalado | sin estacionalidades agresivas en esta apertura | fecha integrada al pipeline via always_include_columns y seleccion de exogenas restringida al train de cada fold externo | L_total_Radar=0.321328</t>
        </is>
      </c>
      <c r="Q128" s="49" t="inlineStr">
        <is>
          <t>run_e7_prophet.py</t>
        </is>
      </c>
      <c r="R128" s="49" t="inlineStr">
        <is>
          <t>Scripts/Modeling/run_e7_prophet.py</t>
        </is>
      </c>
      <c r="S128" s="49" t="inlineStr">
        <is>
          <t>Experimentos/runs/E7_v3_clean_20260330_113801</t>
        </is>
      </c>
      <c r="T128" s="49" t="inlineStr">
        <is>
          <t>Experimentos/runs/E7_v3_clean_20260330_113801/scripts/run_e7_prophet.py</t>
        </is>
      </c>
      <c r="U128" s="49" t="inlineStr">
        <is>
          <t>Experimentos/runs/E7_v3_clean_20260330_113801/parametros_run.json</t>
        </is>
      </c>
      <c r="V128" s="49" t="inlineStr">
        <is>
          <t>Experimentos/runs/E7_v3_clean_20260330_113801/metricas_horizonte.json</t>
        </is>
      </c>
      <c r="W128" s="49" t="inlineStr">
        <is>
          <t>2026-03-30 11:38:01</t>
        </is>
      </c>
      <c r="X128" s="49" t="inlineStr">
        <is>
          <t>regresion</t>
        </is>
      </c>
      <c r="Y128" s="49" t="n"/>
      <c r="Z128" s="49" t="n"/>
      <c r="AA128" s="49" t="n"/>
      <c r="AB128" s="49" t="n"/>
      <c r="AC128" s="49" t="n"/>
      <c r="AD128" s="49" t="n"/>
      <c r="AE128" s="49" t="n"/>
      <c r="AF128" s="49" t="n"/>
      <c r="AG128" s="49" t="n"/>
      <c r="AH128" s="49" t="n"/>
      <c r="AI128" s="49" t="n"/>
      <c r="AJ128" s="49" t="n"/>
      <c r="AK128" s="49" t="n"/>
    </row>
    <row r="129" ht="15" customHeight="1" s="27">
      <c r="A129" s="49" t="inlineStr">
        <is>
          <t>E8_v1_clean</t>
        </is>
      </c>
      <c r="B129" s="57" t="inlineStr">
        <is>
          <t>E8</t>
        </is>
      </c>
      <c r="C129" s="57" t="inlineStr">
        <is>
          <t>hybrid_residual_ridge_tscv_catboost_regressor</t>
        </is>
      </c>
      <c r="D129" s="57" t="inlineStr">
        <is>
          <t>hibrido_residual</t>
        </is>
      </c>
      <c r="E129" s="57" t="n">
        <v>4</v>
      </c>
      <c r="F129" s="54" t="n">
        <v>0.3364815593128823</v>
      </c>
      <c r="G129" s="53" t="n"/>
      <c r="H129" s="58" t="n">
        <v>0.05</v>
      </c>
      <c r="I129" s="54" t="n">
        <v>0.3364815593128823</v>
      </c>
      <c r="J129" s="54" t="n">
        <v>0.1385793380215035</v>
      </c>
      <c r="K129" s="54" t="n">
        <v>0.165935007189505</v>
      </c>
      <c r="L129" s="51" t="n">
        <v>0.6640050167224081</v>
      </c>
      <c r="M129" s="51" t="n">
        <v>0.6443181818181818</v>
      </c>
      <c r="N129" s="49" t="n"/>
      <c r="O129" s="57" t="n"/>
      <c r="P129" s="49" t="inlineStr">
        <is>
          <t>Híbrido residual temporal limpio | hipotesis=ridge_base_catboost_residual | base=ridge_tscv(corr) | residual=catboost_regressor(corr) | y_pred_final = y_pred_base + y_pred_residual | residuales entrenados con OOF temporal via TimeSeriesSplit dentro de cada fold externo | L_total_Radar=0.336482</t>
        </is>
      </c>
      <c r="Q129" s="49" t="inlineStr">
        <is>
          <t>run_e8_hibrido_residuales.py</t>
        </is>
      </c>
      <c r="R129" s="49" t="inlineStr">
        <is>
          <t>Scripts/Modeling/run_e8_hibrido_residuales.py</t>
        </is>
      </c>
      <c r="S129" s="49" t="inlineStr">
        <is>
          <t>Experimentos/runs/E8_v1_clean_20260401_050422</t>
        </is>
      </c>
      <c r="T129" s="49" t="inlineStr">
        <is>
          <t>Experimentos/runs/E8_v1_clean_20260401_050422/scripts/run_e8_hibrido_residuales.py</t>
        </is>
      </c>
      <c r="U129" s="49" t="inlineStr">
        <is>
          <t>Experimentos/runs/E8_v1_clean_20260401_050422/parametros_run.json</t>
        </is>
      </c>
      <c r="V129" s="49" t="inlineStr">
        <is>
          <t>Experimentos/runs/E8_v1_clean_20260401_050422/metricas_horizonte.json</t>
        </is>
      </c>
      <c r="W129" s="49" t="inlineStr">
        <is>
          <t>2026-04-01 05:04:22</t>
        </is>
      </c>
      <c r="X129" s="49" t="inlineStr">
        <is>
          <t>regresion</t>
        </is>
      </c>
      <c r="Y129" s="49" t="n"/>
      <c r="Z129" s="49" t="n"/>
      <c r="AA129" s="49" t="n"/>
      <c r="AB129" s="49" t="n"/>
      <c r="AC129" s="49" t="n"/>
      <c r="AD129" s="49" t="n"/>
      <c r="AE129" s="49" t="n"/>
      <c r="AF129" s="49" t="n"/>
      <c r="AG129" s="49" t="n"/>
      <c r="AH129" s="49" t="n"/>
      <c r="AI129" s="49" t="n"/>
      <c r="AJ129" s="49" t="n"/>
      <c r="AK129" s="49" t="n"/>
    </row>
    <row r="130" ht="15" customHeight="1" s="27">
      <c r="A130" s="49" t="inlineStr">
        <is>
          <t>E8_v2_clean</t>
        </is>
      </c>
      <c r="B130" s="57" t="inlineStr">
        <is>
          <t>E8</t>
        </is>
      </c>
      <c r="C130" s="57" t="inlineStr">
        <is>
          <t>hybrid_residual_catboost_regressor_ridge_tscv</t>
        </is>
      </c>
      <c r="D130" s="57" t="inlineStr">
        <is>
          <t>hibrido_residual</t>
        </is>
      </c>
      <c r="E130" s="57" t="n">
        <v>4</v>
      </c>
      <c r="F130" s="54" t="n">
        <v>0.2857208904369485</v>
      </c>
      <c r="G130" s="53" t="n"/>
      <c r="H130" s="58" t="n">
        <v>0.05</v>
      </c>
      <c r="I130" s="54" t="n">
        <v>0.2857208904369485</v>
      </c>
      <c r="J130" s="54" t="n">
        <v>0.1241904963093643</v>
      </c>
      <c r="K130" s="54" t="n">
        <v>0.1584918651580275</v>
      </c>
      <c r="L130" s="51" t="n">
        <v>0.6936886845039019</v>
      </c>
      <c r="M130" s="51" t="n">
        <v>0.7359848484848485</v>
      </c>
      <c r="N130" s="49" t="n"/>
      <c r="O130" s="57" t="n"/>
      <c r="P130" s="49" t="inlineStr">
        <is>
          <t>Híbrido residual temporal limpio | hipotesis=catboost_base_ridge_residual | base=catboost_regressor(all) | residual=ridge_tscv(corr) | y_pred_final = y_pred_base + y_pred_residual | residuales entrenados con OOF temporal via TimeSeriesSplit dentro de cada fold externo | L_total_Radar=0.285721</t>
        </is>
      </c>
      <c r="Q130" s="49" t="inlineStr">
        <is>
          <t>run_e8_hibrido_residuales.py</t>
        </is>
      </c>
      <c r="R130" s="49" t="inlineStr">
        <is>
          <t>Scripts/Modeling/run_e8_hibrido_residuales.py</t>
        </is>
      </c>
      <c r="S130" s="49" t="inlineStr">
        <is>
          <t>Experimentos/runs/E8_v2_clean_20260401_050721</t>
        </is>
      </c>
      <c r="T130" s="49" t="inlineStr">
        <is>
          <t>Experimentos/runs/E8_v2_clean_20260401_050721/scripts/run_e8_hibrido_residuales.py</t>
        </is>
      </c>
      <c r="U130" s="49" t="inlineStr">
        <is>
          <t>Experimentos/runs/E8_v2_clean_20260401_050721/parametros_run.json</t>
        </is>
      </c>
      <c r="V130" s="49" t="inlineStr">
        <is>
          <t>Experimentos/runs/E8_v2_clean_20260401_050721/metricas_horizonte.json</t>
        </is>
      </c>
      <c r="W130" s="49" t="inlineStr">
        <is>
          <t>2026-04-01 05:07:21</t>
        </is>
      </c>
      <c r="X130" s="49" t="inlineStr">
        <is>
          <t>regresion</t>
        </is>
      </c>
      <c r="Y130" s="49" t="n"/>
      <c r="Z130" s="49" t="n"/>
      <c r="AA130" s="49" t="n"/>
      <c r="AB130" s="49" t="n"/>
      <c r="AC130" s="49" t="n"/>
      <c r="AD130" s="49" t="n"/>
      <c r="AE130" s="49" t="n"/>
      <c r="AF130" s="49" t="n"/>
      <c r="AG130" s="49" t="n"/>
      <c r="AH130" s="49" t="n"/>
      <c r="AI130" s="49" t="n"/>
      <c r="AJ130" s="49" t="n"/>
      <c r="AK130" s="49" t="n"/>
    </row>
    <row r="131" ht="15" customHeight="1" s="27">
      <c r="A131" s="49" t="inlineStr">
        <is>
          <t>E8_v3_clean</t>
        </is>
      </c>
      <c r="B131" s="57" t="inlineStr">
        <is>
          <t>E8</t>
        </is>
      </c>
      <c r="C131" s="57" t="inlineStr">
        <is>
          <t>hybrid_residual_catboost_regressor_prophet_exogenous_regressor</t>
        </is>
      </c>
      <c r="D131" s="57" t="inlineStr">
        <is>
          <t>hibrido_residual</t>
        </is>
      </c>
      <c r="E131" s="57" t="n">
        <v>4</v>
      </c>
      <c r="F131" s="54" t="n">
        <v>0.6277552922651639</v>
      </c>
      <c r="G131" s="53" t="n"/>
      <c r="H131" s="58" t="n">
        <v>0.05</v>
      </c>
      <c r="I131" s="54" t="n">
        <v>0.6277552922651639</v>
      </c>
      <c r="J131" s="54" t="n">
        <v>0.5310386207589388</v>
      </c>
      <c r="K131" s="54" t="n">
        <v>0.9125396482952214</v>
      </c>
      <c r="L131" s="51" t="n">
        <v>0.5116889632107023</v>
      </c>
      <c r="M131" s="51" t="n">
        <v>0.5179292929292929</v>
      </c>
      <c r="N131" s="49" t="n"/>
      <c r="O131" s="57" t="n"/>
      <c r="P131" s="49" t="inlineStr">
        <is>
          <t>Híbrido residual temporal limpio | hipotesis=catboost_base_prophet_residual | base=catboost_regressor(all) | residual=prophet_exogenous_regressor(corr) | y_pred_final = y_pred_base + y_pred_residual | residuales entrenados con OOF temporal via TimeSeriesSplit dentro de cada fold externo | L_total_Radar=0.627755</t>
        </is>
      </c>
      <c r="Q131" s="49" t="inlineStr">
        <is>
          <t>run_e8_hibrido_residuales.py</t>
        </is>
      </c>
      <c r="R131" s="49" t="inlineStr">
        <is>
          <t>Scripts/Modeling/run_e8_hibrido_residuales.py</t>
        </is>
      </c>
      <c r="S131" s="49" t="inlineStr">
        <is>
          <t>Experimentos/runs/E8_v3_clean_20260401_050927</t>
        </is>
      </c>
      <c r="T131" s="49" t="inlineStr">
        <is>
          <t>Experimentos/runs/E8_v3_clean_20260401_050927/scripts/run_e8_hibrido_residuales.py</t>
        </is>
      </c>
      <c r="U131" s="49" t="inlineStr">
        <is>
          <t>Experimentos/runs/E8_v3_clean_20260401_050927/parametros_run.json</t>
        </is>
      </c>
      <c r="V131" s="49" t="inlineStr">
        <is>
          <t>Experimentos/runs/E8_v3_clean_20260401_050927/metricas_horizonte.json</t>
        </is>
      </c>
      <c r="W131" s="49" t="inlineStr">
        <is>
          <t>2026-04-01 05:09:27</t>
        </is>
      </c>
      <c r="X131" s="49" t="inlineStr">
        <is>
          <t>regresion</t>
        </is>
      </c>
      <c r="Y131" s="49" t="n"/>
      <c r="Z131" s="49" t="n"/>
      <c r="AA131" s="49" t="n"/>
      <c r="AB131" s="49" t="n"/>
      <c r="AC131" s="49" t="n"/>
      <c r="AD131" s="49" t="n"/>
      <c r="AE131" s="49" t="n"/>
      <c r="AF131" s="49" t="n"/>
      <c r="AG131" s="49" t="n"/>
      <c r="AH131" s="49" t="n"/>
      <c r="AI131" s="49" t="n"/>
      <c r="AJ131" s="49" t="n"/>
      <c r="AK131" s="49" t="n"/>
    </row>
    <row r="132" ht="15" customHeight="1" s="27">
      <c r="A132" s="49" t="inlineStr">
        <is>
          <t>E9_smoke_tmp</t>
        </is>
      </c>
      <c r="B132" s="57" t="inlineStr">
        <is>
          <t>E9</t>
        </is>
      </c>
      <c r="C132" s="57" t="inlineStr">
        <is>
          <t>stacking_ridge_curado_por_horizonte</t>
        </is>
      </c>
      <c r="D132" s="57" t="inlineStr">
        <is>
          <t>stacking_controlado</t>
        </is>
      </c>
      <c r="E132" s="57" t="n">
        <v>1</v>
      </c>
      <c r="F132" s="54" t="n">
        <v>0.07934166609971609</v>
      </c>
      <c r="G132" s="53" t="n"/>
      <c r="H132" s="58" t="n">
        <v>0.05</v>
      </c>
      <c r="I132" s="54" t="n">
        <v>0.07934166609971609</v>
      </c>
      <c r="J132" s="54" t="n">
        <v>0.1419496069642681</v>
      </c>
      <c r="K132" s="54" t="n">
        <v>0.1771121423681828</v>
      </c>
      <c r="L132" s="51" t="n">
        <v>0.7857142857142857</v>
      </c>
      <c r="M132" s="51" t="n">
        <v>0.8571428571428571</v>
      </c>
      <c r="N132" s="49" t="n"/>
      <c r="O132" s="57" t="n"/>
      <c r="P132" s="49" t="inlineStr">
        <is>
          <t>smoke_test_e9 | stacking clasico controlado por horizonte | L_total_Radar=0.079342</t>
        </is>
      </c>
      <c r="Q132" s="49" t="inlineStr">
        <is>
          <t>run_e9_stacking.py</t>
        </is>
      </c>
      <c r="R132" s="49" t="inlineStr">
        <is>
          <t>Scripts/Modeling/run_e9_stacking.py</t>
        </is>
      </c>
      <c r="S132" s="49" t="inlineStr">
        <is>
          <t>Experimentos/runs/E9_smoke_tmp_20260401_065645</t>
        </is>
      </c>
      <c r="T132" s="49" t="inlineStr">
        <is>
          <t>Experimentos/runs/E9_smoke_tmp_20260401_065645/scripts/run_e9_stacking.py</t>
        </is>
      </c>
      <c r="U132" s="49" t="inlineStr">
        <is>
          <t>Experimentos/runs/E9_smoke_tmp_20260401_065645/parametros_run.json</t>
        </is>
      </c>
      <c r="V132" s="49" t="inlineStr">
        <is>
          <t>Experimentos/runs/E9_smoke_tmp_20260401_065645/metricas_horizonte.json</t>
        </is>
      </c>
      <c r="W132" s="49" t="inlineStr">
        <is>
          <t>2026-04-01 06:56:44</t>
        </is>
      </c>
      <c r="X132" s="49" t="inlineStr">
        <is>
          <t>regresion</t>
        </is>
      </c>
      <c r="Y132" s="49" t="n"/>
      <c r="Z132" s="49" t="n"/>
      <c r="AA132" s="49" t="n"/>
      <c r="AB132" s="49" t="n"/>
      <c r="AC132" s="49" t="n"/>
      <c r="AD132" s="49" t="n"/>
      <c r="AE132" s="49" t="n"/>
      <c r="AF132" s="49" t="n"/>
      <c r="AG132" s="49" t="n"/>
      <c r="AH132" s="49" t="n"/>
      <c r="AI132" s="49" t="n"/>
      <c r="AJ132" s="49" t="n"/>
      <c r="AK132" s="49" t="n"/>
    </row>
    <row r="133" ht="15" customHeight="1" s="27">
      <c r="A133" s="49" t="inlineStr">
        <is>
          <t>E9_v1_clean</t>
        </is>
      </c>
      <c r="B133" s="57" t="inlineStr">
        <is>
          <t>E9</t>
        </is>
      </c>
      <c r="C133" s="57" t="inlineStr">
        <is>
          <t>stacking_ridge_curado_por_horizonte</t>
        </is>
      </c>
      <c r="D133" s="57" t="inlineStr">
        <is>
          <t>stacking_controlado</t>
        </is>
      </c>
      <c r="E133" s="57" t="n">
        <v>4</v>
      </c>
      <c r="F133" s="54" t="n">
        <v>0.2684745612625059</v>
      </c>
      <c r="G133" s="53" t="n"/>
      <c r="H133" s="58" t="n">
        <v>0.05</v>
      </c>
      <c r="I133" s="54" t="n">
        <v>0.2684745612625059</v>
      </c>
      <c r="J133" s="54" t="n">
        <v>0.1236903756460889</v>
      </c>
      <c r="K133" s="54" t="n">
        <v>0.1663179831709239</v>
      </c>
      <c r="L133" s="51" t="n">
        <v>0.7190725940725941</v>
      </c>
      <c r="M133" s="51" t="n">
        <v>0.7619047619047619</v>
      </c>
      <c r="N133" s="49" t="n"/>
      <c r="O133" s="57" t="n"/>
      <c r="P133" s="49" t="inlineStr">
        <is>
          <t>stacking_clasico_controlado_ridge | stacking clasico controlado por horizonte | L_total_Radar=0.268475</t>
        </is>
      </c>
      <c r="Q133" s="49" t="inlineStr">
        <is>
          <t>run_e9_stacking.py</t>
        </is>
      </c>
      <c r="R133" s="49" t="inlineStr">
        <is>
          <t>Scripts/Modeling/run_e9_stacking.py</t>
        </is>
      </c>
      <c r="S133" s="49" t="inlineStr">
        <is>
          <t>Experimentos/runs/E9_v1_clean_20260401_065743</t>
        </is>
      </c>
      <c r="T133" s="49" t="inlineStr">
        <is>
          <t>Experimentos/runs/E9_v1_clean_20260401_065743/scripts/run_e9_stacking.py</t>
        </is>
      </c>
      <c r="U133" s="49" t="inlineStr">
        <is>
          <t>Experimentos/runs/E9_v1_clean_20260401_065743/parametros_run.json</t>
        </is>
      </c>
      <c r="V133" s="49" t="inlineStr">
        <is>
          <t>Experimentos/runs/E9_v1_clean_20260401_065743/metricas_horizonte.json</t>
        </is>
      </c>
      <c r="W133" s="49" t="inlineStr">
        <is>
          <t>2026-04-01 06:57:43</t>
        </is>
      </c>
      <c r="X133" s="49" t="inlineStr">
        <is>
          <t>regresion</t>
        </is>
      </c>
      <c r="Y133" s="49" t="n"/>
      <c r="Z133" s="49" t="n"/>
      <c r="AA133" s="49" t="n"/>
      <c r="AB133" s="49" t="n"/>
      <c r="AC133" s="49" t="n"/>
      <c r="AD133" s="49" t="n"/>
      <c r="AE133" s="49" t="n"/>
      <c r="AF133" s="49" t="n"/>
      <c r="AG133" s="49" t="n"/>
      <c r="AH133" s="49" t="n"/>
      <c r="AI133" s="49" t="n"/>
      <c r="AJ133" s="49" t="n"/>
      <c r="AK133" s="49" t="n"/>
    </row>
    <row r="134" ht="15" customHeight="1" s="27">
      <c r="A134" s="49" t="inlineStr">
        <is>
          <t>E9_v2_clean</t>
        </is>
      </c>
      <c r="B134" s="57" t="inlineStr">
        <is>
          <t>E9</t>
        </is>
      </c>
      <c r="C134" s="57" t="inlineStr">
        <is>
          <t>stacking_huber_curado_por_horizonte</t>
        </is>
      </c>
      <c r="D134" s="57" t="inlineStr">
        <is>
          <t>stacking_controlado</t>
        </is>
      </c>
      <c r="E134" s="57" t="n">
        <v>4</v>
      </c>
      <c r="F134" s="54" t="n">
        <v>0.2275096201736237</v>
      </c>
      <c r="G134" s="53" t="n"/>
      <c r="H134" s="58" t="n">
        <v>0.05</v>
      </c>
      <c r="I134" s="54" t="n">
        <v>0.2275096201736237</v>
      </c>
      <c r="J134" s="54" t="n">
        <v>0.1264072988014809</v>
      </c>
      <c r="K134" s="54" t="n">
        <v>0.1686042777496172</v>
      </c>
      <c r="L134" s="51" t="n">
        <v>0.7358474858474857</v>
      </c>
      <c r="M134" s="51" t="n">
        <v>0.9166666666666667</v>
      </c>
      <c r="N134" s="49" t="n"/>
      <c r="O134" s="57" t="n"/>
      <c r="P134" s="49" t="inlineStr">
        <is>
          <t>stacking_clasico_controlado_huber | stacking clasico controlado por horizonte | L_total_Radar=0.227510</t>
        </is>
      </c>
      <c r="Q134" s="49" t="inlineStr">
        <is>
          <t>run_e9_stacking.py</t>
        </is>
      </c>
      <c r="R134" s="49" t="inlineStr">
        <is>
          <t>Scripts/Modeling/run_e9_stacking.py</t>
        </is>
      </c>
      <c r="S134" s="49" t="inlineStr">
        <is>
          <t>Experimentos/runs/E9_v2_clean_20260401_070431</t>
        </is>
      </c>
      <c r="T134" s="49" t="inlineStr">
        <is>
          <t>Experimentos/runs/E9_v2_clean_20260401_070431/scripts/run_e9_stacking.py</t>
        </is>
      </c>
      <c r="U134" s="49" t="inlineStr">
        <is>
          <t>Experimentos/runs/E9_v2_clean_20260401_070431/parametros_run.json</t>
        </is>
      </c>
      <c r="V134" s="49" t="inlineStr">
        <is>
          <t>Experimentos/runs/E9_v2_clean_20260401_070431/metricas_horizonte.json</t>
        </is>
      </c>
      <c r="W134" s="49" t="inlineStr">
        <is>
          <t>2026-04-01 07:04:31</t>
        </is>
      </c>
      <c r="X134" s="49" t="inlineStr">
        <is>
          <t>regresion</t>
        </is>
      </c>
      <c r="Y134" s="49" t="n"/>
      <c r="Z134" s="49" t="n"/>
      <c r="AA134" s="49" t="n"/>
      <c r="AB134" s="49" t="n"/>
      <c r="AC134" s="49" t="n"/>
      <c r="AD134" s="49" t="n"/>
      <c r="AE134" s="49" t="n"/>
      <c r="AF134" s="49" t="n"/>
      <c r="AG134" s="49" t="n"/>
      <c r="AH134" s="49" t="n"/>
      <c r="AI134" s="49" t="n"/>
      <c r="AJ134" s="49" t="n"/>
      <c r="AK134" s="49" t="n"/>
    </row>
    <row r="135" ht="15" customHeight="1" s="27">
      <c r="A135" s="49" t="inlineStr">
        <is>
          <t>E10_v1_clean</t>
        </is>
      </c>
      <c r="B135" s="57" t="inlineStr">
        <is>
          <t>E10</t>
        </is>
      </c>
      <c r="C135" s="57" t="inlineStr">
        <is>
          <t>meta_selector_hard_logistic_regression</t>
        </is>
      </c>
      <c r="D135" s="57" t="inlineStr">
        <is>
          <t>gating_contextual</t>
        </is>
      </c>
      <c r="E135" s="57" t="n">
        <v>4</v>
      </c>
      <c r="F135" s="54" t="n">
        <v>0.2712202353073486</v>
      </c>
      <c r="G135" s="53" t="n"/>
      <c r="H135" s="58" t="n">
        <v>0.05</v>
      </c>
      <c r="I135" s="54" t="n">
        <v>0.2712202353073486</v>
      </c>
      <c r="J135" s="54" t="n">
        <v>0.1339162830798318</v>
      </c>
      <c r="K135" s="54" t="n">
        <v>0.1709394176707989</v>
      </c>
      <c r="L135" s="51" t="n">
        <v>0.6972184065934066</v>
      </c>
      <c r="M135" s="51" t="n">
        <v>0.8229166666666667</v>
      </c>
      <c r="N135" s="49" t="n"/>
      <c r="O135" s="57" t="n"/>
      <c r="P135" s="49" t="inlineStr">
        <is>
          <t>meta_selector_duro_logistico_loss_local | target=mejor_modelo_loss_radar_local | L_total_Radar=0.271220</t>
        </is>
      </c>
      <c r="Q135" s="49" t="inlineStr">
        <is>
          <t>run_e10_meta_selector.py</t>
        </is>
      </c>
      <c r="R135" s="49" t="inlineStr">
        <is>
          <t>Scripts/Modeling/run_e10_meta_selector.py</t>
        </is>
      </c>
      <c r="S135" s="49" t="inlineStr">
        <is>
          <t>Experimentos/runs/E10_v1_clean_20260401_090439</t>
        </is>
      </c>
      <c r="T135" s="49" t="inlineStr">
        <is>
          <t>Experimentos/runs/E10_v1_clean_20260401_090439/scripts/run_e10_meta_selector.py</t>
        </is>
      </c>
      <c r="U135" s="49" t="inlineStr">
        <is>
          <t>Experimentos/runs/E10_v1_clean_20260401_090439/parametros_run.json</t>
        </is>
      </c>
      <c r="V135" s="49" t="inlineStr">
        <is>
          <t>Experimentos/runs/E10_v1_clean_20260401_090439/metricas_horizonte.json</t>
        </is>
      </c>
      <c r="W135" s="49" t="inlineStr">
        <is>
          <t>2026-04-01 09:04:39</t>
        </is>
      </c>
      <c r="X135" s="49" t="inlineStr">
        <is>
          <t>regresion</t>
        </is>
      </c>
      <c r="Y135" s="49" t="n"/>
      <c r="Z135" s="49" t="n"/>
      <c r="AA135" s="49" t="n"/>
      <c r="AB135" s="49" t="n"/>
      <c r="AC135" s="49" t="n"/>
      <c r="AD135" s="49" t="n"/>
      <c r="AE135" s="49" t="n"/>
      <c r="AF135" s="49" t="n"/>
      <c r="AG135" s="49" t="n"/>
      <c r="AH135" s="49" t="n"/>
      <c r="AI135" s="49" t="n"/>
      <c r="AJ135" s="49" t="n"/>
      <c r="AK135" s="49" t="n"/>
    </row>
    <row r="136" ht="15" customHeight="1" s="27">
      <c r="A136" s="49" t="inlineStr">
        <is>
          <t>E1_1_v1_bayesian_base</t>
        </is>
      </c>
      <c r="B136" s="57" t="inlineStr">
        <is>
          <t>E1</t>
        </is>
      </c>
      <c r="C136" s="57" t="inlineStr">
        <is>
          <t>bayesian_ridge</t>
        </is>
      </c>
      <c r="D136" s="57" t="inlineStr">
        <is>
          <t>lineal_regularizado</t>
        </is>
      </c>
      <c r="E136" s="57" t="n">
        <v>4</v>
      </c>
      <c r="F136" s="54" t="n">
        <v>0.26494553341851</v>
      </c>
      <c r="G136" s="53" t="n"/>
      <c r="H136" s="58" t="n">
        <v>0.05</v>
      </c>
      <c r="I136" s="54" t="n">
        <v>0.26494553341851</v>
      </c>
      <c r="J136" s="54" t="n">
        <v>0.1119098348242612</v>
      </c>
      <c r="K136" s="54" t="n">
        <v>0.1453354702342678</v>
      </c>
      <c r="L136" s="51" t="n">
        <v>0.7349707357859532</v>
      </c>
      <c r="M136" s="51" t="n">
        <v>0.7406565656565657</v>
      </c>
      <c r="N136" s="49" t="n"/>
      <c r="O136" s="57" t="n"/>
      <c r="P136" s="49" t="inlineStr">
        <is>
          <t>bayesianridge_micro_branch_vs_ridge | BayesianRidge controlado | L_total_Radar=0.264946</t>
        </is>
      </c>
      <c r="Q136" s="49" t="inlineStr">
        <is>
          <t>run_e1_bayesian_ridge.py</t>
        </is>
      </c>
      <c r="R136" s="49" t="inlineStr">
        <is>
          <t>Scripts/Modeling/run_e1_bayesian_ridge.py</t>
        </is>
      </c>
      <c r="S136" s="49" t="inlineStr">
        <is>
          <t>Experimentos/runs/E1_1_v1_bayesian_base_20260402_063714</t>
        </is>
      </c>
      <c r="T136" s="49" t="inlineStr">
        <is>
          <t>Experimentos/runs/E1_1_v1_bayesian_base_20260402_063714/scripts/run_e1_bayesian_ridge.py</t>
        </is>
      </c>
      <c r="U136" s="49" t="inlineStr">
        <is>
          <t>Experimentos/runs/E1_1_v1_bayesian_base_20260402_063714/parametros_run.json</t>
        </is>
      </c>
      <c r="V136" s="49" t="inlineStr">
        <is>
          <t>Experimentos/runs/E1_1_v1_bayesian_base_20260402_063714/metricas_horizonte.json</t>
        </is>
      </c>
      <c r="W136" s="49" t="inlineStr">
        <is>
          <t>2026-04-02 06:37:14</t>
        </is>
      </c>
      <c r="X136" s="49" t="inlineStr">
        <is>
          <t>regresion</t>
        </is>
      </c>
      <c r="Y136" s="49" t="n"/>
      <c r="Z136" s="49" t="n"/>
      <c r="AA136" s="49" t="n"/>
      <c r="AB136" s="49" t="n"/>
      <c r="AC136" s="49" t="n"/>
      <c r="AD136" s="49" t="n"/>
      <c r="AE136" s="49" t="n"/>
      <c r="AF136" s="49" t="n"/>
      <c r="AG136" s="49" t="n"/>
      <c r="AH136" s="49" t="n"/>
      <c r="AI136" s="49" t="n"/>
      <c r="AJ136" s="49" t="n"/>
      <c r="AK136" s="49" t="n"/>
    </row>
    <row r="137" ht="15" customHeight="1" s="27">
      <c r="A137" s="49" t="inlineStr">
        <is>
          <t>OP_W14_CONTROLLED</t>
        </is>
      </c>
      <c r="B137" s="57" t="inlineStr">
        <is>
          <t>E1</t>
        </is>
      </c>
      <c r="C137" s="57" t="inlineStr">
        <is>
          <t>ridge_tscv</t>
        </is>
      </c>
      <c r="D137" s="57" t="inlineStr">
        <is>
          <t>lineal_regularizado</t>
        </is>
      </c>
      <c r="E137" s="57" t="n">
        <v>1</v>
      </c>
      <c r="F137" s="54" t="n">
        <v>0.07498523812807274</v>
      </c>
      <c r="G137" s="53" t="n"/>
      <c r="H137" s="58" t="n">
        <v>0.05</v>
      </c>
      <c r="I137" s="54" t="n">
        <v>0.07498523812807274</v>
      </c>
      <c r="J137" s="54" t="n">
        <v>0.1088197435333667</v>
      </c>
      <c r="K137" s="54" t="n">
        <v>0.1340214097591685</v>
      </c>
      <c r="L137" s="51" t="n">
        <v>0.8214285714285714</v>
      </c>
      <c r="M137" s="51" t="n">
        <v>0.7692307692307693</v>
      </c>
      <c r="N137" s="49" t="n"/>
      <c r="O137" s="57" t="n"/>
      <c r="P137" s="49" t="inlineStr">
        <is>
          <t>Ridge clean con tuning interno TimeSeriesSplit | metric=mae | L_total_Radar=0.074985</t>
        </is>
      </c>
      <c r="Q137" s="49" t="inlineStr">
        <is>
          <t>run_e1_ridge_clean.py</t>
        </is>
      </c>
      <c r="R137" s="49" t="inlineStr">
        <is>
          <t>src/modeling/runners/run_e1_ridge_clean.py</t>
        </is>
      </c>
      <c r="S137" s="49" t="inlineStr">
        <is>
          <t>experiments/runs/OP_W14_CONTROLLED_20260414_050018</t>
        </is>
      </c>
      <c r="T137" s="49" t="inlineStr">
        <is>
          <t>experiments/runs/OP_W14_CONTROLLED_20260414_050018/scripts/run_e1_ridge_clean.py</t>
        </is>
      </c>
      <c r="U137" s="49" t="inlineStr">
        <is>
          <t>experiments/runs/OP_W14_CONTROLLED_20260414_050018/parametros_run.json</t>
        </is>
      </c>
      <c r="V137" s="49" t="inlineStr">
        <is>
          <t>experiments/runs/OP_W14_CONTROLLED_20260414_050018/metricas_horizonte.json</t>
        </is>
      </c>
      <c r="W137" s="49" t="inlineStr">
        <is>
          <t>2026-04-14 05:00:18</t>
        </is>
      </c>
      <c r="X137" s="49" t="inlineStr">
        <is>
          <t>regresion</t>
        </is>
      </c>
      <c r="Y137" s="49" t="n"/>
      <c r="Z137" s="49" t="n"/>
      <c r="AA137" s="49" t="n"/>
      <c r="AB137" s="49" t="n"/>
      <c r="AC137" s="49" t="n"/>
      <c r="AD137" s="49" t="n"/>
      <c r="AE137" s="49" t="n"/>
      <c r="AF137" s="49" t="n"/>
      <c r="AG137" s="49" t="n"/>
      <c r="AH137" s="49" t="n"/>
      <c r="AI137" s="49" t="n"/>
      <c r="AJ137" s="49" t="n"/>
      <c r="AK137" s="49" t="n"/>
    </row>
  </sheetData>
  <conditionalFormatting sqref="E2:E101">
    <cfRule type="expression" rank="0" priority="2" equalAverage="0" aboveAverage="0" dxfId="1" text="" percent="0" bottom="0">
      <formula>AND($A2&lt;&gt;"",$E2&lt;&gt;4)</formula>
    </cfRule>
    <cfRule type="expression" rank="0" priority="3" equalAverage="0" aboveAverage="0" dxfId="2" text="" percent="0" bottom="0">
      <formula>AND($A2&lt;&gt;"",$E2=4)</formula>
    </cfRule>
  </conditionalFormatting>
  <conditionalFormatting sqref="I2:I101">
    <cfRule type="colorScale" priority="4">
      <colorScale>
        <cfvo type="percentile" val="10"/>
        <cfvo type="percentile" val="50"/>
        <cfvo type="percentile" val="90"/>
        <color rgb="FF63BE7B"/>
        <color rgb="FFFFEB84"/>
        <color rgb="FFF8696B"/>
      </colorScale>
    </cfRule>
  </conditionalFormatting>
  <dataValidations count="1">
    <dataValidation sqref="N2:N101" showDropDown="0" showInputMessage="0" showErrorMessage="0" allowBlank="0" type="list" errorStyle="stop" operator="between">
      <formula1>"descartar,contender,finalista,ganador"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65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cols>
    <col width="26" customWidth="1" style="26" min="1" max="6"/>
    <col width="36" customWidth="1" style="26" min="7" max="7"/>
  </cols>
  <sheetData>
    <row r="1" ht="15" customHeight="1" s="27">
      <c r="A1" s="59" t="inlineStr">
        <is>
          <t>Fecha</t>
        </is>
      </c>
      <c r="B1" s="59" t="inlineStr">
        <is>
          <t>Run_ID</t>
        </is>
      </c>
      <c r="C1" s="59" t="inlineStr">
        <is>
          <t>Experiment_ID</t>
        </is>
      </c>
      <c r="D1" s="59" t="inlineStr">
        <is>
          <t>Tipo</t>
        </is>
      </c>
      <c r="E1" s="59" t="inlineStr">
        <is>
          <t>Nombre</t>
        </is>
      </c>
      <c r="F1" s="59" t="inlineStr">
        <is>
          <t>Ruta</t>
        </is>
      </c>
      <c r="G1" s="59" t="inlineStr">
        <is>
          <t>Notas</t>
        </is>
      </c>
    </row>
    <row r="2" ht="15" customHeight="1" s="27">
      <c r="A2" s="61" t="n"/>
      <c r="B2" s="61" t="n"/>
      <c r="C2" s="61" t="n"/>
      <c r="D2" s="61" t="n"/>
      <c r="E2" s="61" t="n"/>
      <c r="F2" s="61" t="n"/>
      <c r="G2" s="61" t="n"/>
    </row>
    <row r="3" ht="15" customHeight="1" s="27">
      <c r="A3" s="61" t="inlineStr">
        <is>
          <t>2026-03-21 07:02:26</t>
        </is>
      </c>
      <c r="B3" s="61" t="inlineStr">
        <is>
          <t>E1_v1</t>
        </is>
      </c>
      <c r="C3" s="61" t="inlineStr">
        <is>
          <t>E1</t>
        </is>
      </c>
      <c r="D3" s="61" t="inlineStr">
        <is>
          <t>script_snapshot</t>
        </is>
      </c>
      <c r="E3" s="61" t="inlineStr">
        <is>
          <t>run_e1_ridge.py</t>
        </is>
      </c>
      <c r="F3" s="61" t="inlineStr">
        <is>
          <t>Experimentos/runs/E1_v1_20260321_063715/scripts/run_e1_ridge.py</t>
        </is>
      </c>
      <c r="G3" s="61" t="inlineStr">
        <is>
          <t>Copia del script ejecutado para reproducibilidad.</t>
        </is>
      </c>
    </row>
    <row r="4" ht="15" customHeight="1" s="27">
      <c r="A4" s="61" t="inlineStr">
        <is>
          <t>2026-03-21 07:02:26</t>
        </is>
      </c>
      <c r="B4" s="61" t="inlineStr">
        <is>
          <t>E1_v1</t>
        </is>
      </c>
      <c r="C4" s="61" t="inlineStr">
        <is>
          <t>E1</t>
        </is>
      </c>
      <c r="D4" s="61" t="inlineStr">
        <is>
          <t>parametros</t>
        </is>
      </c>
      <c r="E4" s="61" t="inlineStr">
        <is>
          <t>parametros_run.json</t>
        </is>
      </c>
      <c r="F4" s="61" t="inlineStr">
        <is>
          <t>Experimentos/runs/E1_v1_20260321_063715/parametros_run.json</t>
        </is>
      </c>
      <c r="G4" s="61" t="inlineStr">
        <is>
          <t>Parametros del experimento.</t>
        </is>
      </c>
    </row>
    <row r="5" ht="15" customHeight="1" s="27">
      <c r="A5" s="61" t="inlineStr">
        <is>
          <t>2026-03-21 07:02:26</t>
        </is>
      </c>
      <c r="B5" s="61" t="inlineStr">
        <is>
          <t>E1_v1</t>
        </is>
      </c>
      <c r="C5" s="61" t="inlineStr">
        <is>
          <t>E1</t>
        </is>
      </c>
      <c r="D5" s="61" t="inlineStr">
        <is>
          <t>predicciones</t>
        </is>
      </c>
      <c r="E5" s="61" t="inlineStr">
        <is>
          <t>predicciones_h1.csv</t>
        </is>
      </c>
      <c r="F5" s="61" t="inlineStr">
        <is>
          <t>Experimentos/runs/E1_v1_20260321_063715/predicciones_h1.csv</t>
        </is>
      </c>
      <c r="G5" s="61" t="inlineStr">
        <is>
          <t>Walk-forward Ridge para horizonte 1.</t>
        </is>
      </c>
    </row>
    <row r="6" ht="15" customHeight="1" s="27">
      <c r="A6" s="61" t="inlineStr">
        <is>
          <t>2026-03-21 07:02:26</t>
        </is>
      </c>
      <c r="B6" s="61" t="inlineStr">
        <is>
          <t>E1_v1</t>
        </is>
      </c>
      <c r="C6" s="61" t="inlineStr">
        <is>
          <t>E1</t>
        </is>
      </c>
      <c r="D6" s="61" t="inlineStr">
        <is>
          <t>predicciones</t>
        </is>
      </c>
      <c r="E6" s="61" t="inlineStr">
        <is>
          <t>predicciones_h2.csv</t>
        </is>
      </c>
      <c r="F6" s="61" t="inlineStr">
        <is>
          <t>Experimentos/runs/E1_v1_20260321_063715/predicciones_h2.csv</t>
        </is>
      </c>
      <c r="G6" s="61" t="inlineStr">
        <is>
          <t>Walk-forward Ridge para horizonte 2.</t>
        </is>
      </c>
    </row>
    <row r="7" ht="15" customHeight="1" s="27">
      <c r="A7" s="61" t="inlineStr">
        <is>
          <t>2026-03-21 07:02:26</t>
        </is>
      </c>
      <c r="B7" s="61" t="inlineStr">
        <is>
          <t>E1_v1</t>
        </is>
      </c>
      <c r="C7" s="61" t="inlineStr">
        <is>
          <t>E1</t>
        </is>
      </c>
      <c r="D7" s="61" t="inlineStr">
        <is>
          <t>predicciones</t>
        </is>
      </c>
      <c r="E7" s="61" t="inlineStr">
        <is>
          <t>predicciones_h3.csv</t>
        </is>
      </c>
      <c r="F7" s="61" t="inlineStr">
        <is>
          <t>Experimentos/runs/E1_v1_20260321_063715/predicciones_h3.csv</t>
        </is>
      </c>
      <c r="G7" s="61" t="inlineStr">
        <is>
          <t>Walk-forward Ridge para horizonte 3.</t>
        </is>
      </c>
    </row>
    <row r="8" ht="15" customHeight="1" s="27">
      <c r="A8" s="61" t="inlineStr">
        <is>
          <t>2026-03-21 07:02:26</t>
        </is>
      </c>
      <c r="B8" s="61" t="inlineStr">
        <is>
          <t>E1_v1</t>
        </is>
      </c>
      <c r="C8" s="61" t="inlineStr">
        <is>
          <t>E1</t>
        </is>
      </c>
      <c r="D8" s="61" t="inlineStr">
        <is>
          <t>predicciones</t>
        </is>
      </c>
      <c r="E8" s="61" t="inlineStr">
        <is>
          <t>predicciones_h4.csv</t>
        </is>
      </c>
      <c r="F8" s="61" t="inlineStr">
        <is>
          <t>Experimentos/runs/E1_v1_20260321_063715/predicciones_h4.csv</t>
        </is>
      </c>
      <c r="G8" s="61" t="inlineStr">
        <is>
          <t>Walk-forward Ridge para horizonte 4.</t>
        </is>
      </c>
    </row>
    <row r="9" ht="15" customHeight="1" s="27">
      <c r="A9" s="61" t="inlineStr">
        <is>
          <t>2026-03-21 07:02:27</t>
        </is>
      </c>
      <c r="B9" s="61" t="inlineStr">
        <is>
          <t>E1_v1</t>
        </is>
      </c>
      <c r="C9" s="61" t="inlineStr">
        <is>
          <t>E1</t>
        </is>
      </c>
      <c r="D9" s="61" t="inlineStr">
        <is>
          <t>resumen</t>
        </is>
      </c>
      <c r="E9" s="61" t="inlineStr">
        <is>
          <t>resumen_modeling_horizontes.json</t>
        </is>
      </c>
      <c r="F9" s="61" t="inlineStr">
        <is>
          <t>Experimentos/runs/E1_v1_20260321_063715/resumen_modeling_horizontes.json</t>
        </is>
      </c>
      <c r="G9" s="61" t="inlineStr">
        <is>
          <t>Resumen de tamanos por horizonte.</t>
        </is>
      </c>
    </row>
    <row r="10" ht="15" customHeight="1" s="27">
      <c r="A10" s="61" t="inlineStr">
        <is>
          <t>2026-03-21 07:02:27</t>
        </is>
      </c>
      <c r="B10" s="61" t="inlineStr">
        <is>
          <t>E1_v1</t>
        </is>
      </c>
      <c r="C10" s="61" t="inlineStr">
        <is>
          <t>E1</t>
        </is>
      </c>
      <c r="D10" s="61" t="inlineStr">
        <is>
          <t>metricas</t>
        </is>
      </c>
      <c r="E10" s="61" t="inlineStr">
        <is>
          <t>metricas_horizonte.json</t>
        </is>
      </c>
      <c r="F10" s="61" t="inlineStr">
        <is>
          <t>Experimentos/runs/E1_v1_20260321_063715/metricas_horizonte.json</t>
        </is>
      </c>
      <c r="G10" s="61" t="inlineStr">
        <is>
          <t>Resumen estructurado por horizonte.</t>
        </is>
      </c>
    </row>
    <row r="11" ht="15" customHeight="1" s="27">
      <c r="A11" s="61" t="inlineStr">
        <is>
          <t>2026-03-21 07:02:27</t>
        </is>
      </c>
      <c r="B11" s="61" t="inlineStr">
        <is>
          <t>E1_v1</t>
        </is>
      </c>
      <c r="C11" s="61" t="inlineStr">
        <is>
          <t>E1</t>
        </is>
      </c>
      <c r="D11" s="61" t="inlineStr">
        <is>
          <t>metadata</t>
        </is>
      </c>
      <c r="E11" s="61" t="inlineStr">
        <is>
          <t>metadata_run.json</t>
        </is>
      </c>
      <c r="F11" s="61" t="inlineStr">
        <is>
          <t>Experimentos/runs/E1_v1_20260321_063715/metadata_run.json</t>
        </is>
      </c>
      <c r="G11" s="61" t="inlineStr">
        <is>
          <t>Metadata base del run.</t>
        </is>
      </c>
    </row>
    <row r="12" ht="15" customHeight="1" s="27">
      <c r="A12" s="61" t="inlineStr">
        <is>
          <t>2026-03-21 08:39:24</t>
        </is>
      </c>
      <c r="B12" s="61" t="inlineStr">
        <is>
          <t>E1_v2</t>
        </is>
      </c>
      <c r="C12" s="61" t="inlineStr">
        <is>
          <t>E1</t>
        </is>
      </c>
      <c r="D12" s="61" t="inlineStr">
        <is>
          <t>script_snapshot</t>
        </is>
      </c>
      <c r="E12" s="61" t="inlineStr">
        <is>
          <t>run_e1_ridge.py</t>
        </is>
      </c>
      <c r="F12" s="61" t="inlineStr">
        <is>
          <t>Experimentos/runs/E1_v2_20260321_083922/scripts/run_e1_ridge.py</t>
        </is>
      </c>
      <c r="G12" s="61" t="inlineStr">
        <is>
          <t>Copia del script ejecutado para reproducibilidad.</t>
        </is>
      </c>
    </row>
    <row r="13" ht="15" customHeight="1" s="27">
      <c r="A13" s="61" t="inlineStr">
        <is>
          <t>2026-03-21 08:39:24</t>
        </is>
      </c>
      <c r="B13" s="61" t="inlineStr">
        <is>
          <t>E1_v2</t>
        </is>
      </c>
      <c r="C13" s="61" t="inlineStr">
        <is>
          <t>E1</t>
        </is>
      </c>
      <c r="D13" s="61" t="inlineStr">
        <is>
          <t>parametros</t>
        </is>
      </c>
      <c r="E13" s="61" t="inlineStr">
        <is>
          <t>parametros_run.json</t>
        </is>
      </c>
      <c r="F13" s="61" t="inlineStr">
        <is>
          <t>Experimentos/runs/E1_v2_20260321_083922/parametros_run.json</t>
        </is>
      </c>
      <c r="G13" s="61" t="inlineStr">
        <is>
          <t>Parametros del experimento.</t>
        </is>
      </c>
    </row>
    <row r="14" ht="15" customHeight="1" s="27">
      <c r="A14" s="61" t="inlineStr">
        <is>
          <t>2026-03-21 08:39:24</t>
        </is>
      </c>
      <c r="B14" s="61" t="inlineStr">
        <is>
          <t>E1_v2</t>
        </is>
      </c>
      <c r="C14" s="61" t="inlineStr">
        <is>
          <t>E1</t>
        </is>
      </c>
      <c r="D14" s="61" t="inlineStr">
        <is>
          <t>predicciones</t>
        </is>
      </c>
      <c r="E14" s="61" t="inlineStr">
        <is>
          <t>predicciones_h1.csv</t>
        </is>
      </c>
      <c r="F14" s="61" t="inlineStr">
        <is>
          <t>Experimentos/runs/E1_v2_20260321_083922/predicciones_h1.csv</t>
        </is>
      </c>
      <c r="G14" s="61" t="inlineStr">
        <is>
          <t>Predicciones walk-forward para horizonte 1.</t>
        </is>
      </c>
    </row>
    <row r="15" ht="15" customHeight="1" s="27">
      <c r="A15" s="61" t="inlineStr">
        <is>
          <t>2026-03-21 08:39:24</t>
        </is>
      </c>
      <c r="B15" s="61" t="inlineStr">
        <is>
          <t>E1_v2</t>
        </is>
      </c>
      <c r="C15" s="61" t="inlineStr">
        <is>
          <t>E1</t>
        </is>
      </c>
      <c r="D15" s="61" t="inlineStr">
        <is>
          <t>predicciones</t>
        </is>
      </c>
      <c r="E15" s="61" t="inlineStr">
        <is>
          <t>predicciones_h2.csv</t>
        </is>
      </c>
      <c r="F15" s="61" t="inlineStr">
        <is>
          <t>Experimentos/runs/E1_v2_20260321_083922/predicciones_h2.csv</t>
        </is>
      </c>
      <c r="G15" s="61" t="inlineStr">
        <is>
          <t>Predicciones walk-forward para horizonte 2.</t>
        </is>
      </c>
    </row>
    <row r="16" ht="15" customHeight="1" s="27">
      <c r="A16" s="61" t="inlineStr">
        <is>
          <t>2026-03-21 08:39:24</t>
        </is>
      </c>
      <c r="B16" s="61" t="inlineStr">
        <is>
          <t>E1_v2</t>
        </is>
      </c>
      <c r="C16" s="61" t="inlineStr">
        <is>
          <t>E1</t>
        </is>
      </c>
      <c r="D16" s="61" t="inlineStr">
        <is>
          <t>predicciones</t>
        </is>
      </c>
      <c r="E16" s="61" t="inlineStr">
        <is>
          <t>predicciones_h3.csv</t>
        </is>
      </c>
      <c r="F16" s="61" t="inlineStr">
        <is>
          <t>Experimentos/runs/E1_v2_20260321_083922/predicciones_h3.csv</t>
        </is>
      </c>
      <c r="G16" s="61" t="inlineStr">
        <is>
          <t>Predicciones walk-forward para horizonte 3.</t>
        </is>
      </c>
    </row>
    <row r="17" ht="15" customHeight="1" s="27">
      <c r="A17" s="61" t="inlineStr">
        <is>
          <t>2026-03-21 08:39:24</t>
        </is>
      </c>
      <c r="B17" s="61" t="inlineStr">
        <is>
          <t>E1_v2</t>
        </is>
      </c>
      <c r="C17" s="61" t="inlineStr">
        <is>
          <t>E1</t>
        </is>
      </c>
      <c r="D17" s="61" t="inlineStr">
        <is>
          <t>predicciones</t>
        </is>
      </c>
      <c r="E17" s="61" t="inlineStr">
        <is>
          <t>predicciones_h4.csv</t>
        </is>
      </c>
      <c r="F17" s="61" t="inlineStr">
        <is>
          <t>Experimentos/runs/E1_v2_20260321_083922/predicciones_h4.csv</t>
        </is>
      </c>
      <c r="G17" s="61" t="inlineStr">
        <is>
          <t>Predicciones walk-forward para horizonte 4.</t>
        </is>
      </c>
    </row>
    <row r="18" ht="15" customHeight="1" s="27">
      <c r="A18" s="61" t="inlineStr">
        <is>
          <t>2026-03-21 08:39:24</t>
        </is>
      </c>
      <c r="B18" s="61" t="inlineStr">
        <is>
          <t>E1_v2</t>
        </is>
      </c>
      <c r="C18" s="61" t="inlineStr">
        <is>
          <t>E1</t>
        </is>
      </c>
      <c r="D18" s="61" t="inlineStr">
        <is>
          <t>resumen</t>
        </is>
      </c>
      <c r="E18" s="61" t="inlineStr">
        <is>
          <t>resumen_modeling_horizontes.json</t>
        </is>
      </c>
      <c r="F18" s="61" t="inlineStr">
        <is>
          <t>Experimentos/runs/E1_v2_20260321_083922/resumen_modeling_horizontes.json</t>
        </is>
      </c>
      <c r="G18" s="61" t="inlineStr">
        <is>
          <t>Resumen de tamanos y seleccion de features por horizonte.</t>
        </is>
      </c>
    </row>
    <row r="19" ht="15" customHeight="1" s="27">
      <c r="A19" s="61" t="inlineStr">
        <is>
          <t>2026-03-21 08:39:24</t>
        </is>
      </c>
      <c r="B19" s="61" t="inlineStr">
        <is>
          <t>E1_v2</t>
        </is>
      </c>
      <c r="C19" s="61" t="inlineStr">
        <is>
          <t>E1</t>
        </is>
      </c>
      <c r="D19" s="61" t="inlineStr">
        <is>
          <t>metricas</t>
        </is>
      </c>
      <c r="E19" s="61" t="inlineStr">
        <is>
          <t>metricas_horizonte.json</t>
        </is>
      </c>
      <c r="F19" s="61" t="inlineStr">
        <is>
          <t>Experimentos/runs/E1_v2_20260321_083922/metricas_horizonte.json</t>
        </is>
      </c>
      <c r="G19" s="61" t="inlineStr">
        <is>
          <t>Resumen estructurado por horizonte.</t>
        </is>
      </c>
    </row>
    <row r="20" ht="15" customHeight="1" s="27">
      <c r="A20" s="61" t="inlineStr">
        <is>
          <t>2026-03-21 08:39:24</t>
        </is>
      </c>
      <c r="B20" s="61" t="inlineStr">
        <is>
          <t>E1_v2</t>
        </is>
      </c>
      <c r="C20" s="61" t="inlineStr">
        <is>
          <t>E1</t>
        </is>
      </c>
      <c r="D20" s="61" t="inlineStr">
        <is>
          <t>metadata</t>
        </is>
      </c>
      <c r="E20" s="61" t="inlineStr">
        <is>
          <t>metadata_run.json</t>
        </is>
      </c>
      <c r="F20" s="61" t="inlineStr">
        <is>
          <t>Experimentos/runs/E1_v2_20260321_083922/metadata_run.json</t>
        </is>
      </c>
      <c r="G20" s="61" t="inlineStr">
        <is>
          <t>Metadata base del run.</t>
        </is>
      </c>
    </row>
    <row r="21" ht="15" customHeight="1" s="27">
      <c r="A21" s="61" t="inlineStr">
        <is>
          <t>2026-03-21 09:44:10</t>
        </is>
      </c>
      <c r="B21" s="61" t="inlineStr">
        <is>
          <t>E1_v2_clean</t>
        </is>
      </c>
      <c r="C21" s="61" t="inlineStr">
        <is>
          <t>E1</t>
        </is>
      </c>
      <c r="D21" s="61" t="inlineStr">
        <is>
          <t>script_snapshot</t>
        </is>
      </c>
      <c r="E21" s="61" t="inlineStr">
        <is>
          <t>run_e1_ridge_clean.py</t>
        </is>
      </c>
      <c r="F21" s="61" t="inlineStr">
        <is>
          <t>Experimentos/runs/E1_v2_clean_20260321_094241/scripts/run_e1_ridge_clean.py</t>
        </is>
      </c>
      <c r="G21" s="61" t="inlineStr">
        <is>
          <t>Copia del script ejecutado para reproducibilidad.</t>
        </is>
      </c>
    </row>
    <row r="22" ht="15" customHeight="1" s="27">
      <c r="A22" s="61" t="inlineStr">
        <is>
          <t>2026-03-21 09:44:10</t>
        </is>
      </c>
      <c r="B22" s="61" t="inlineStr">
        <is>
          <t>E1_v2_clean</t>
        </is>
      </c>
      <c r="C22" s="61" t="inlineStr">
        <is>
          <t>E1</t>
        </is>
      </c>
      <c r="D22" s="61" t="inlineStr">
        <is>
          <t>parametros</t>
        </is>
      </c>
      <c r="E22" s="61" t="inlineStr">
        <is>
          <t>parametros_run.json</t>
        </is>
      </c>
      <c r="F22" s="61" t="inlineStr">
        <is>
          <t>Experimentos/runs/E1_v2_clean_20260321_094241/parametros_run.json</t>
        </is>
      </c>
      <c r="G22" s="61" t="inlineStr">
        <is>
          <t>Parametros del experimento.</t>
        </is>
      </c>
    </row>
    <row r="23" ht="15" customHeight="1" s="27">
      <c r="A23" s="61" t="inlineStr">
        <is>
          <t>2026-03-21 09:44:10</t>
        </is>
      </c>
      <c r="B23" s="61" t="inlineStr">
        <is>
          <t>E1_v2_clean</t>
        </is>
      </c>
      <c r="C23" s="61" t="inlineStr">
        <is>
          <t>E1</t>
        </is>
      </c>
      <c r="D23" s="61" t="inlineStr">
        <is>
          <t>predicciones</t>
        </is>
      </c>
      <c r="E23" s="61" t="inlineStr">
        <is>
          <t>predicciones_h1.csv</t>
        </is>
      </c>
      <c r="F23" s="61" t="inlineStr">
        <is>
          <t>Experimentos/runs/E1_v2_clean_20260321_094241/predicciones_h1.csv</t>
        </is>
      </c>
      <c r="G23" s="61" t="inlineStr">
        <is>
          <t>Predicciones walk-forward para horizonte 1.</t>
        </is>
      </c>
    </row>
    <row r="24" ht="15" customHeight="1" s="27">
      <c r="A24" s="61" t="inlineStr">
        <is>
          <t>2026-03-21 09:44:10</t>
        </is>
      </c>
      <c r="B24" s="61" t="inlineStr">
        <is>
          <t>E1_v2_clean</t>
        </is>
      </c>
      <c r="C24" s="61" t="inlineStr">
        <is>
          <t>E1</t>
        </is>
      </c>
      <c r="D24" s="61" t="inlineStr">
        <is>
          <t>predicciones</t>
        </is>
      </c>
      <c r="E24" s="61" t="inlineStr">
        <is>
          <t>predicciones_h2.csv</t>
        </is>
      </c>
      <c r="F24" s="61" t="inlineStr">
        <is>
          <t>Experimentos/runs/E1_v2_clean_20260321_094241/predicciones_h2.csv</t>
        </is>
      </c>
      <c r="G24" s="61" t="inlineStr">
        <is>
          <t>Predicciones walk-forward para horizonte 2.</t>
        </is>
      </c>
    </row>
    <row r="25" ht="15" customHeight="1" s="27">
      <c r="A25" s="61" t="inlineStr">
        <is>
          <t>2026-03-21 09:44:10</t>
        </is>
      </c>
      <c r="B25" s="61" t="inlineStr">
        <is>
          <t>E1_v2_clean</t>
        </is>
      </c>
      <c r="C25" s="61" t="inlineStr">
        <is>
          <t>E1</t>
        </is>
      </c>
      <c r="D25" s="61" t="inlineStr">
        <is>
          <t>predicciones</t>
        </is>
      </c>
      <c r="E25" s="61" t="inlineStr">
        <is>
          <t>predicciones_h3.csv</t>
        </is>
      </c>
      <c r="F25" s="61" t="inlineStr">
        <is>
          <t>Experimentos/runs/E1_v2_clean_20260321_094241/predicciones_h3.csv</t>
        </is>
      </c>
      <c r="G25" s="61" t="inlineStr">
        <is>
          <t>Predicciones walk-forward para horizonte 3.</t>
        </is>
      </c>
    </row>
    <row r="26" ht="15" customHeight="1" s="27">
      <c r="A26" s="61" t="inlineStr">
        <is>
          <t>2026-03-21 09:44:10</t>
        </is>
      </c>
      <c r="B26" s="61" t="inlineStr">
        <is>
          <t>E1_v2_clean</t>
        </is>
      </c>
      <c r="C26" s="61" t="inlineStr">
        <is>
          <t>E1</t>
        </is>
      </c>
      <c r="D26" s="61" t="inlineStr">
        <is>
          <t>predicciones</t>
        </is>
      </c>
      <c r="E26" s="61" t="inlineStr">
        <is>
          <t>predicciones_h4.csv</t>
        </is>
      </c>
      <c r="F26" s="61" t="inlineStr">
        <is>
          <t>Experimentos/runs/E1_v2_clean_20260321_094241/predicciones_h4.csv</t>
        </is>
      </c>
      <c r="G26" s="61" t="inlineStr">
        <is>
          <t>Predicciones walk-forward para horizonte 4.</t>
        </is>
      </c>
    </row>
    <row r="27" ht="15" customHeight="1" s="27">
      <c r="A27" s="61" t="inlineStr">
        <is>
          <t>2026-03-21 09:44:10</t>
        </is>
      </c>
      <c r="B27" s="61" t="inlineStr">
        <is>
          <t>E1_v2_clean</t>
        </is>
      </c>
      <c r="C27" s="61" t="inlineStr">
        <is>
          <t>E1</t>
        </is>
      </c>
      <c r="D27" s="61" t="inlineStr">
        <is>
          <t>resumen</t>
        </is>
      </c>
      <c r="E27" s="61" t="inlineStr">
        <is>
          <t>resumen_modeling_horizontes.json</t>
        </is>
      </c>
      <c r="F27" s="61" t="inlineStr">
        <is>
          <t>Experimentos/runs/E1_v2_clean_20260321_094241/resumen_modeling_horizontes.json</t>
        </is>
      </c>
      <c r="G27" s="61" t="inlineStr">
        <is>
          <t>Resumen de tamanos y seleccion de features por horizonte.</t>
        </is>
      </c>
    </row>
    <row r="28" ht="15" customHeight="1" s="27">
      <c r="A28" s="61" t="inlineStr">
        <is>
          <t>2026-03-21 09:44:10</t>
        </is>
      </c>
      <c r="B28" s="61" t="inlineStr">
        <is>
          <t>E1_v2_clean</t>
        </is>
      </c>
      <c r="C28" s="61" t="inlineStr">
        <is>
          <t>E1</t>
        </is>
      </c>
      <c r="D28" s="61" t="inlineStr">
        <is>
          <t>tuning</t>
        </is>
      </c>
      <c r="E28" s="61" t="inlineStr">
        <is>
          <t>alpha_tuning_horizontes.json</t>
        </is>
      </c>
      <c r="F28" s="61" t="inlineStr">
        <is>
          <t>Experimentos/runs/E1_v2_clean_20260321_094241/alpha_tuning_horizontes.json</t>
        </is>
      </c>
      <c r="G28" s="61" t="inlineStr">
        <is>
          <t>Best alpha por fold externo y resumen por horizonte.</t>
        </is>
      </c>
    </row>
    <row r="29" ht="15" customHeight="1" s="27">
      <c r="A29" s="61" t="inlineStr">
        <is>
          <t>2026-03-21 09:44:10</t>
        </is>
      </c>
      <c r="B29" s="61" t="inlineStr">
        <is>
          <t>E1_v2_clean</t>
        </is>
      </c>
      <c r="C29" s="61" t="inlineStr">
        <is>
          <t>E1</t>
        </is>
      </c>
      <c r="D29" s="61" t="inlineStr">
        <is>
          <t>comparacion</t>
        </is>
      </c>
      <c r="E29" s="61" t="inlineStr">
        <is>
          <t>comparacion_vs_E1_v2_original.json</t>
        </is>
      </c>
      <c r="F29" s="61" t="inlineStr">
        <is>
          <t>Experimentos/runs/E1_v2_clean_20260321_094241/comparacion_vs_E1_v2_original.json</t>
        </is>
      </c>
      <c r="G29" s="61" t="inlineStr">
        <is>
          <t>Comparacion de la corrida clean contra E1_v2 original.</t>
        </is>
      </c>
    </row>
    <row r="30" ht="15" customHeight="1" s="27">
      <c r="A30" s="61" t="inlineStr">
        <is>
          <t>2026-03-21 09:44:10</t>
        </is>
      </c>
      <c r="B30" s="61" t="inlineStr">
        <is>
          <t>E1_v2_clean</t>
        </is>
      </c>
      <c r="C30" s="61" t="inlineStr">
        <is>
          <t>E1</t>
        </is>
      </c>
      <c r="D30" s="61" t="inlineStr">
        <is>
          <t>metricas</t>
        </is>
      </c>
      <c r="E30" s="61" t="inlineStr">
        <is>
          <t>metricas_horizonte.json</t>
        </is>
      </c>
      <c r="F30" s="61" t="inlineStr">
        <is>
          <t>Experimentos/runs/E1_v2_clean_20260321_094241/metricas_horizonte.json</t>
        </is>
      </c>
      <c r="G30" s="61" t="inlineStr">
        <is>
          <t>Resumen estructurado por horizonte.</t>
        </is>
      </c>
    </row>
    <row r="31" ht="15" customHeight="1" s="27">
      <c r="A31" s="61" t="inlineStr">
        <is>
          <t>2026-03-21 09:44:10</t>
        </is>
      </c>
      <c r="B31" s="61" t="inlineStr">
        <is>
          <t>E1_v2_clean</t>
        </is>
      </c>
      <c r="C31" s="61" t="inlineStr">
        <is>
          <t>E1</t>
        </is>
      </c>
      <c r="D31" s="61" t="inlineStr">
        <is>
          <t>metadata</t>
        </is>
      </c>
      <c r="E31" s="61" t="inlineStr">
        <is>
          <t>metadata_run.json</t>
        </is>
      </c>
      <c r="F31" s="61" t="inlineStr">
        <is>
          <t>Experimentos/runs/E1_v2_clean_20260321_094241/metadata_run.json</t>
        </is>
      </c>
      <c r="G31" s="61" t="inlineStr">
        <is>
          <t>Metadata base del run.</t>
        </is>
      </c>
    </row>
    <row r="32" ht="15" customHeight="1" s="27">
      <c r="A32" s="61" t="inlineStr">
        <is>
          <t>2026-03-21 10:34:30</t>
        </is>
      </c>
      <c r="B32" s="61" t="inlineStr">
        <is>
          <t>E1_v3_clean</t>
        </is>
      </c>
      <c r="C32" s="61" t="inlineStr">
        <is>
          <t>E1</t>
        </is>
      </c>
      <c r="D32" s="61" t="inlineStr">
        <is>
          <t>script_snapshot</t>
        </is>
      </c>
      <c r="E32" s="61" t="inlineStr">
        <is>
          <t>run_e1_ridge_clean.py</t>
        </is>
      </c>
      <c r="F32" s="61" t="inlineStr">
        <is>
          <t>Experimentos/runs/E1_v3_clean_20260321_103256/scripts/run_e1_ridge_clean.py</t>
        </is>
      </c>
      <c r="G32" s="61" t="inlineStr">
        <is>
          <t>Copia del script ejecutado para reproducibilidad.</t>
        </is>
      </c>
    </row>
    <row r="33" ht="15" customHeight="1" s="27">
      <c r="A33" s="61" t="inlineStr">
        <is>
          <t>2026-03-21 10:34:30</t>
        </is>
      </c>
      <c r="B33" s="61" t="inlineStr">
        <is>
          <t>E1_v3_clean</t>
        </is>
      </c>
      <c r="C33" s="61" t="inlineStr">
        <is>
          <t>E1</t>
        </is>
      </c>
      <c r="D33" s="61" t="inlineStr">
        <is>
          <t>parametros</t>
        </is>
      </c>
      <c r="E33" s="61" t="inlineStr">
        <is>
          <t>parametros_run.json</t>
        </is>
      </c>
      <c r="F33" s="61" t="inlineStr">
        <is>
          <t>Experimentos/runs/E1_v3_clean_20260321_103256/parametros_run.json</t>
        </is>
      </c>
      <c r="G33" s="61" t="inlineStr">
        <is>
          <t>Parametros del experimento.</t>
        </is>
      </c>
    </row>
    <row r="34" ht="15" customHeight="1" s="27">
      <c r="A34" s="61" t="inlineStr">
        <is>
          <t>2026-03-21 10:34:30</t>
        </is>
      </c>
      <c r="B34" s="61" t="inlineStr">
        <is>
          <t>E1_v3_clean</t>
        </is>
      </c>
      <c r="C34" s="61" t="inlineStr">
        <is>
          <t>E1</t>
        </is>
      </c>
      <c r="D34" s="61" t="inlineStr">
        <is>
          <t>predicciones</t>
        </is>
      </c>
      <c r="E34" s="61" t="inlineStr">
        <is>
          <t>predicciones_h1.csv</t>
        </is>
      </c>
      <c r="F34" s="61" t="inlineStr">
        <is>
          <t>Experimentos/runs/E1_v3_clean_20260321_103256/predicciones_h1.csv</t>
        </is>
      </c>
      <c r="G34" s="61" t="inlineStr">
        <is>
          <t>Predicciones walk-forward para horizonte 1.</t>
        </is>
      </c>
    </row>
    <row r="35" ht="15" customHeight="1" s="27">
      <c r="A35" s="61" t="inlineStr">
        <is>
          <t>2026-03-21 10:34:30</t>
        </is>
      </c>
      <c r="B35" s="61" t="inlineStr">
        <is>
          <t>E1_v3_clean</t>
        </is>
      </c>
      <c r="C35" s="61" t="inlineStr">
        <is>
          <t>E1</t>
        </is>
      </c>
      <c r="D35" s="61" t="inlineStr">
        <is>
          <t>predicciones</t>
        </is>
      </c>
      <c r="E35" s="61" t="inlineStr">
        <is>
          <t>predicciones_h2.csv</t>
        </is>
      </c>
      <c r="F35" s="61" t="inlineStr">
        <is>
          <t>Experimentos/runs/E1_v3_clean_20260321_103256/predicciones_h2.csv</t>
        </is>
      </c>
      <c r="G35" s="61" t="inlineStr">
        <is>
          <t>Predicciones walk-forward para horizonte 2.</t>
        </is>
      </c>
    </row>
    <row r="36" ht="15" customHeight="1" s="27">
      <c r="A36" s="61" t="inlineStr">
        <is>
          <t>2026-03-21 10:34:30</t>
        </is>
      </c>
      <c r="B36" s="61" t="inlineStr">
        <is>
          <t>E1_v3_clean</t>
        </is>
      </c>
      <c r="C36" s="61" t="inlineStr">
        <is>
          <t>E1</t>
        </is>
      </c>
      <c r="D36" s="61" t="inlineStr">
        <is>
          <t>predicciones</t>
        </is>
      </c>
      <c r="E36" s="61" t="inlineStr">
        <is>
          <t>predicciones_h3.csv</t>
        </is>
      </c>
      <c r="F36" s="61" t="inlineStr">
        <is>
          <t>Experimentos/runs/E1_v3_clean_20260321_103256/predicciones_h3.csv</t>
        </is>
      </c>
      <c r="G36" s="61" t="inlineStr">
        <is>
          <t>Predicciones walk-forward para horizonte 3.</t>
        </is>
      </c>
    </row>
    <row r="37" ht="15" customHeight="1" s="27">
      <c r="A37" s="61" t="inlineStr">
        <is>
          <t>2026-03-21 10:34:30</t>
        </is>
      </c>
      <c r="B37" s="61" t="inlineStr">
        <is>
          <t>E1_v3_clean</t>
        </is>
      </c>
      <c r="C37" s="61" t="inlineStr">
        <is>
          <t>E1</t>
        </is>
      </c>
      <c r="D37" s="61" t="inlineStr">
        <is>
          <t>predicciones</t>
        </is>
      </c>
      <c r="E37" s="61" t="inlineStr">
        <is>
          <t>predicciones_h4.csv</t>
        </is>
      </c>
      <c r="F37" s="61" t="inlineStr">
        <is>
          <t>Experimentos/runs/E1_v3_clean_20260321_103256/predicciones_h4.csv</t>
        </is>
      </c>
      <c r="G37" s="61" t="inlineStr">
        <is>
          <t>Predicciones walk-forward para horizonte 4.</t>
        </is>
      </c>
    </row>
    <row r="38" ht="15" customHeight="1" s="27">
      <c r="A38" s="61" t="inlineStr">
        <is>
          <t>2026-03-21 10:34:30</t>
        </is>
      </c>
      <c r="B38" s="61" t="inlineStr">
        <is>
          <t>E1_v3_clean</t>
        </is>
      </c>
      <c r="C38" s="61" t="inlineStr">
        <is>
          <t>E1</t>
        </is>
      </c>
      <c r="D38" s="61" t="inlineStr">
        <is>
          <t>resumen</t>
        </is>
      </c>
      <c r="E38" s="61" t="inlineStr">
        <is>
          <t>resumen_modeling_horizontes.json</t>
        </is>
      </c>
      <c r="F38" s="61" t="inlineStr">
        <is>
          <t>Experimentos/runs/E1_v3_clean_20260321_103256/resumen_modeling_horizontes.json</t>
        </is>
      </c>
      <c r="G38" s="61" t="inlineStr">
        <is>
          <t>Resumen de tamanos y seleccion de features por horizonte.</t>
        </is>
      </c>
    </row>
    <row r="39" ht="15" customHeight="1" s="27">
      <c r="A39" s="61" t="inlineStr">
        <is>
          <t>2026-03-21 10:34:30</t>
        </is>
      </c>
      <c r="B39" s="61" t="inlineStr">
        <is>
          <t>E1_v3_clean</t>
        </is>
      </c>
      <c r="C39" s="61" t="inlineStr">
        <is>
          <t>E1</t>
        </is>
      </c>
      <c r="D39" s="61" t="inlineStr">
        <is>
          <t>tuning</t>
        </is>
      </c>
      <c r="E39" s="61" t="inlineStr">
        <is>
          <t>alpha_tuning_horizontes.json</t>
        </is>
      </c>
      <c r="F39" s="61" t="inlineStr">
        <is>
          <t>Experimentos/runs/E1_v3_clean_20260321_103256/alpha_tuning_horizontes.json</t>
        </is>
      </c>
      <c r="G39" s="61" t="inlineStr">
        <is>
          <t>Best alpha por fold externo y resumen por horizonte.</t>
        </is>
      </c>
    </row>
    <row r="40" ht="15" customHeight="1" s="27">
      <c r="A40" s="61" t="inlineStr">
        <is>
          <t>2026-03-21 10:34:30</t>
        </is>
      </c>
      <c r="B40" s="61" t="inlineStr">
        <is>
          <t>E1_v3_clean</t>
        </is>
      </c>
      <c r="C40" s="61" t="inlineStr">
        <is>
          <t>E1</t>
        </is>
      </c>
      <c r="D40" s="61" t="inlineStr">
        <is>
          <t>comparacion</t>
        </is>
      </c>
      <c r="E40" s="61" t="inlineStr">
        <is>
          <t>comparacion_vs_E1_v2_clean.json</t>
        </is>
      </c>
      <c r="F40" s="61" t="inlineStr">
        <is>
          <t>Experimentos/runs/E1_v3_clean_20260321_103256/comparacion_vs_E1_v2_clean.json</t>
        </is>
      </c>
      <c r="G40" s="61" t="inlineStr">
        <is>
          <t>Comparacion de la corrida clean contra E1_v2_clean.</t>
        </is>
      </c>
    </row>
    <row r="41" ht="15" customHeight="1" s="27">
      <c r="A41" s="61" t="inlineStr">
        <is>
          <t>2026-03-21 10:34:30</t>
        </is>
      </c>
      <c r="B41" s="61" t="inlineStr">
        <is>
          <t>E1_v3_clean</t>
        </is>
      </c>
      <c r="C41" s="61" t="inlineStr">
        <is>
          <t>E1</t>
        </is>
      </c>
      <c r="D41" s="61" t="inlineStr">
        <is>
          <t>metricas</t>
        </is>
      </c>
      <c r="E41" s="61" t="inlineStr">
        <is>
          <t>metricas_horizonte.json</t>
        </is>
      </c>
      <c r="F41" s="61" t="inlineStr">
        <is>
          <t>Experimentos/runs/E1_v3_clean_20260321_103256/metricas_horizonte.json</t>
        </is>
      </c>
      <c r="G41" s="61" t="inlineStr">
        <is>
          <t>Resumen estructurado por horizonte.</t>
        </is>
      </c>
    </row>
    <row r="42" ht="15" customHeight="1" s="27">
      <c r="A42" s="61" t="inlineStr">
        <is>
          <t>2026-03-21 10:34:30</t>
        </is>
      </c>
      <c r="B42" s="61" t="inlineStr">
        <is>
          <t>E1_v3_clean</t>
        </is>
      </c>
      <c r="C42" s="61" t="inlineStr">
        <is>
          <t>E1</t>
        </is>
      </c>
      <c r="D42" s="61" t="inlineStr">
        <is>
          <t>metadata</t>
        </is>
      </c>
      <c r="E42" s="61" t="inlineStr">
        <is>
          <t>metadata_run.json</t>
        </is>
      </c>
      <c r="F42" s="61" t="inlineStr">
        <is>
          <t>Experimentos/runs/E1_v3_clean_20260321_103256/metadata_run.json</t>
        </is>
      </c>
      <c r="G42" s="61" t="inlineStr">
        <is>
          <t>Metadata base del run.</t>
        </is>
      </c>
    </row>
    <row r="43" ht="15" customHeight="1" s="27">
      <c r="A43" s="61" t="inlineStr">
        <is>
          <t>2026-03-21 10:41:37</t>
        </is>
      </c>
      <c r="B43" s="61" t="inlineStr">
        <is>
          <t>E1_v4_clean</t>
        </is>
      </c>
      <c r="C43" s="61" t="inlineStr">
        <is>
          <t>E1</t>
        </is>
      </c>
      <c r="D43" s="61" t="inlineStr">
        <is>
          <t>script_snapshot</t>
        </is>
      </c>
      <c r="E43" s="61" t="inlineStr">
        <is>
          <t>run_e1_ridge_clean.py</t>
        </is>
      </c>
      <c r="F43" s="61" t="inlineStr">
        <is>
          <t>Experimentos/runs/E1_v4_clean_20260321_103832/scripts/run_e1_ridge_clean.py</t>
        </is>
      </c>
      <c r="G43" s="61" t="inlineStr">
        <is>
          <t>Copia del script ejecutado para reproducibilidad.</t>
        </is>
      </c>
    </row>
    <row r="44" ht="15" customHeight="1" s="27">
      <c r="A44" s="61" t="inlineStr">
        <is>
          <t>2026-03-21 10:41:37</t>
        </is>
      </c>
      <c r="B44" s="61" t="inlineStr">
        <is>
          <t>E1_v4_clean</t>
        </is>
      </c>
      <c r="C44" s="61" t="inlineStr">
        <is>
          <t>E1</t>
        </is>
      </c>
      <c r="D44" s="61" t="inlineStr">
        <is>
          <t>parametros</t>
        </is>
      </c>
      <c r="E44" s="61" t="inlineStr">
        <is>
          <t>parametros_run.json</t>
        </is>
      </c>
      <c r="F44" s="61" t="inlineStr">
        <is>
          <t>Experimentos/runs/E1_v4_clean_20260321_103832/parametros_run.json</t>
        </is>
      </c>
      <c r="G44" s="61" t="inlineStr">
        <is>
          <t>Parametros del experimento.</t>
        </is>
      </c>
    </row>
    <row r="45" ht="15" customHeight="1" s="27">
      <c r="A45" s="61" t="inlineStr">
        <is>
          <t>2026-03-21 10:41:37</t>
        </is>
      </c>
      <c r="B45" s="61" t="inlineStr">
        <is>
          <t>E1_v4_clean</t>
        </is>
      </c>
      <c r="C45" s="61" t="inlineStr">
        <is>
          <t>E1</t>
        </is>
      </c>
      <c r="D45" s="61" t="inlineStr">
        <is>
          <t>seleccion_features</t>
        </is>
      </c>
      <c r="E45" s="61" t="inlineStr">
        <is>
          <t>features_seleccionadas_h1.csv</t>
        </is>
      </c>
      <c r="F45" s="61" t="inlineStr">
        <is>
          <t>Experimentos/runs/E1_v4_clean_20260321_103832/features_seleccionadas_h1.csv</t>
        </is>
      </c>
      <c r="G45" s="61" t="inlineStr">
        <is>
          <t>Resumen de combinaciones de features seleccionadas por fold externo. El filtro se calcula solo con el train de cada fold externo.</t>
        </is>
      </c>
    </row>
    <row r="46" ht="15" customHeight="1" s="27">
      <c r="A46" s="61" t="inlineStr">
        <is>
          <t>2026-03-21 10:41:37</t>
        </is>
      </c>
      <c r="B46" s="61" t="inlineStr">
        <is>
          <t>E1_v4_clean</t>
        </is>
      </c>
      <c r="C46" s="61" t="inlineStr">
        <is>
          <t>E1</t>
        </is>
      </c>
      <c r="D46" s="61" t="inlineStr">
        <is>
          <t>seleccion_features</t>
        </is>
      </c>
      <c r="E46" s="61" t="inlineStr">
        <is>
          <t>features_seleccionadas_h2.csv</t>
        </is>
      </c>
      <c r="F46" s="61" t="inlineStr">
        <is>
          <t>Experimentos/runs/E1_v4_clean_20260321_103832/features_seleccionadas_h2.csv</t>
        </is>
      </c>
      <c r="G46" s="61" t="inlineStr">
        <is>
          <t>Resumen de combinaciones de features seleccionadas por fold externo. El filtro se calcula solo con el train de cada fold externo.</t>
        </is>
      </c>
    </row>
    <row r="47" ht="15" customHeight="1" s="27">
      <c r="A47" s="61" t="inlineStr">
        <is>
          <t>2026-03-21 10:41:37</t>
        </is>
      </c>
      <c r="B47" s="61" t="inlineStr">
        <is>
          <t>E1_v4_clean</t>
        </is>
      </c>
      <c r="C47" s="61" t="inlineStr">
        <is>
          <t>E1</t>
        </is>
      </c>
      <c r="D47" s="61" t="inlineStr">
        <is>
          <t>seleccion_features</t>
        </is>
      </c>
      <c r="E47" s="61" t="inlineStr">
        <is>
          <t>features_seleccionadas_h3.csv</t>
        </is>
      </c>
      <c r="F47" s="61" t="inlineStr">
        <is>
          <t>Experimentos/runs/E1_v4_clean_20260321_103832/features_seleccionadas_h3.csv</t>
        </is>
      </c>
      <c r="G47" s="61" t="inlineStr">
        <is>
          <t>Resumen de combinaciones de features seleccionadas por fold externo. El filtro se calcula solo con el train de cada fold externo.</t>
        </is>
      </c>
    </row>
    <row r="48" ht="15" customHeight="1" s="27">
      <c r="A48" s="61" t="inlineStr">
        <is>
          <t>2026-03-21 10:41:37</t>
        </is>
      </c>
      <c r="B48" s="61" t="inlineStr">
        <is>
          <t>E1_v4_clean</t>
        </is>
      </c>
      <c r="C48" s="61" t="inlineStr">
        <is>
          <t>E1</t>
        </is>
      </c>
      <c r="D48" s="61" t="inlineStr">
        <is>
          <t>seleccion_features</t>
        </is>
      </c>
      <c r="E48" s="61" t="inlineStr">
        <is>
          <t>features_seleccionadas_h4.csv</t>
        </is>
      </c>
      <c r="F48" s="61" t="inlineStr">
        <is>
          <t>Experimentos/runs/E1_v4_clean_20260321_103832/features_seleccionadas_h4.csv</t>
        </is>
      </c>
      <c r="G48" s="61" t="inlineStr">
        <is>
          <t>Resumen de combinaciones de features seleccionadas por fold externo. El filtro se calcula solo con el train de cada fold externo.</t>
        </is>
      </c>
    </row>
    <row r="49" ht="15" customHeight="1" s="27">
      <c r="A49" s="61" t="inlineStr">
        <is>
          <t>2026-03-21 10:41:37</t>
        </is>
      </c>
      <c r="B49" s="61" t="inlineStr">
        <is>
          <t>E1_v4_clean</t>
        </is>
      </c>
      <c r="C49" s="61" t="inlineStr">
        <is>
          <t>E1</t>
        </is>
      </c>
      <c r="D49" s="61" t="inlineStr">
        <is>
          <t>predicciones</t>
        </is>
      </c>
      <c r="E49" s="61" t="inlineStr">
        <is>
          <t>predicciones_h1.csv</t>
        </is>
      </c>
      <c r="F49" s="61" t="inlineStr">
        <is>
          <t>Experimentos/runs/E1_v4_clean_20260321_103832/predicciones_h1.csv</t>
        </is>
      </c>
      <c r="G49" s="61" t="inlineStr">
        <is>
          <t>Predicciones walk-forward para horizonte 1.</t>
        </is>
      </c>
    </row>
    <row r="50" ht="15" customHeight="1" s="27">
      <c r="A50" s="61" t="inlineStr">
        <is>
          <t>2026-03-21 10:41:37</t>
        </is>
      </c>
      <c r="B50" s="61" t="inlineStr">
        <is>
          <t>E1_v4_clean</t>
        </is>
      </c>
      <c r="C50" s="61" t="inlineStr">
        <is>
          <t>E1</t>
        </is>
      </c>
      <c r="D50" s="61" t="inlineStr">
        <is>
          <t>predicciones</t>
        </is>
      </c>
      <c r="E50" s="61" t="inlineStr">
        <is>
          <t>predicciones_h2.csv</t>
        </is>
      </c>
      <c r="F50" s="61" t="inlineStr">
        <is>
          <t>Experimentos/runs/E1_v4_clean_20260321_103832/predicciones_h2.csv</t>
        </is>
      </c>
      <c r="G50" s="61" t="inlineStr">
        <is>
          <t>Predicciones walk-forward para horizonte 2.</t>
        </is>
      </c>
    </row>
    <row r="51" ht="15" customHeight="1" s="27">
      <c r="A51" s="61" t="inlineStr">
        <is>
          <t>2026-03-21 10:41:37</t>
        </is>
      </c>
      <c r="B51" s="61" t="inlineStr">
        <is>
          <t>E1_v4_clean</t>
        </is>
      </c>
      <c r="C51" s="61" t="inlineStr">
        <is>
          <t>E1</t>
        </is>
      </c>
      <c r="D51" s="61" t="inlineStr">
        <is>
          <t>predicciones</t>
        </is>
      </c>
      <c r="E51" s="61" t="inlineStr">
        <is>
          <t>predicciones_h3.csv</t>
        </is>
      </c>
      <c r="F51" s="61" t="inlineStr">
        <is>
          <t>Experimentos/runs/E1_v4_clean_20260321_103832/predicciones_h3.csv</t>
        </is>
      </c>
      <c r="G51" s="61" t="inlineStr">
        <is>
          <t>Predicciones walk-forward para horizonte 3.</t>
        </is>
      </c>
    </row>
    <row r="52" ht="15" customHeight="1" s="27">
      <c r="A52" s="61" t="inlineStr">
        <is>
          <t>2026-03-21 10:41:37</t>
        </is>
      </c>
      <c r="B52" s="61" t="inlineStr">
        <is>
          <t>E1_v4_clean</t>
        </is>
      </c>
      <c r="C52" s="61" t="inlineStr">
        <is>
          <t>E1</t>
        </is>
      </c>
      <c r="D52" s="61" t="inlineStr">
        <is>
          <t>predicciones</t>
        </is>
      </c>
      <c r="E52" s="61" t="inlineStr">
        <is>
          <t>predicciones_h4.csv</t>
        </is>
      </c>
      <c r="F52" s="61" t="inlineStr">
        <is>
          <t>Experimentos/runs/E1_v4_clean_20260321_103832/predicciones_h4.csv</t>
        </is>
      </c>
      <c r="G52" s="61" t="inlineStr">
        <is>
          <t>Predicciones walk-forward para horizonte 4.</t>
        </is>
      </c>
    </row>
    <row r="53" ht="15" customHeight="1" s="27">
      <c r="A53" s="61" t="inlineStr">
        <is>
          <t>2026-03-21 10:41:37</t>
        </is>
      </c>
      <c r="B53" s="61" t="inlineStr">
        <is>
          <t>E1_v4_clean</t>
        </is>
      </c>
      <c r="C53" s="61" t="inlineStr">
        <is>
          <t>E1</t>
        </is>
      </c>
      <c r="D53" s="61" t="inlineStr">
        <is>
          <t>resumen</t>
        </is>
      </c>
      <c r="E53" s="61" t="inlineStr">
        <is>
          <t>resumen_modeling_horizontes.json</t>
        </is>
      </c>
      <c r="F53" s="61" t="inlineStr">
        <is>
          <t>Experimentos/runs/E1_v4_clean_20260321_103832/resumen_modeling_horizontes.json</t>
        </is>
      </c>
      <c r="G53" s="61" t="inlineStr">
        <is>
          <t>Resumen de tamanos y seleccion de features por horizonte.</t>
        </is>
      </c>
    </row>
    <row r="54" ht="15" customHeight="1" s="27">
      <c r="A54" s="61" t="inlineStr">
        <is>
          <t>2026-03-21 10:41:37</t>
        </is>
      </c>
      <c r="B54" s="61" t="inlineStr">
        <is>
          <t>E1_v4_clean</t>
        </is>
      </c>
      <c r="C54" s="61" t="inlineStr">
        <is>
          <t>E1</t>
        </is>
      </c>
      <c r="D54" s="61" t="inlineStr">
        <is>
          <t>tuning</t>
        </is>
      </c>
      <c r="E54" s="61" t="inlineStr">
        <is>
          <t>alpha_tuning_horizontes.json</t>
        </is>
      </c>
      <c r="F54" s="61" t="inlineStr">
        <is>
          <t>Experimentos/runs/E1_v4_clean_20260321_103832/alpha_tuning_horizontes.json</t>
        </is>
      </c>
      <c r="G54" s="61" t="inlineStr">
        <is>
          <t>Best alpha por fold externo y resumen por horizonte.</t>
        </is>
      </c>
    </row>
    <row r="55" ht="15" customHeight="1" s="27">
      <c r="A55" s="61" t="inlineStr">
        <is>
          <t>2026-03-21 10:41:37</t>
        </is>
      </c>
      <c r="B55" s="61" t="inlineStr">
        <is>
          <t>E1_v4_clean</t>
        </is>
      </c>
      <c r="C55" s="61" t="inlineStr">
        <is>
          <t>E1</t>
        </is>
      </c>
      <c r="D55" s="61" t="inlineStr">
        <is>
          <t>comparacion</t>
        </is>
      </c>
      <c r="E55" s="61" t="inlineStr">
        <is>
          <t>comparacion_vs_E1_v2_clean.json</t>
        </is>
      </c>
      <c r="F55" s="61" t="inlineStr">
        <is>
          <t>Experimentos/runs/E1_v4_clean_20260321_103832/comparacion_vs_E1_v2_clean.json</t>
        </is>
      </c>
      <c r="G55" s="61" t="inlineStr">
        <is>
          <t>Comparacion de la corrida clean contra E1_v2_clean.</t>
        </is>
      </c>
    </row>
    <row r="56" ht="15" customHeight="1" s="27">
      <c r="A56" s="61" t="inlineStr">
        <is>
          <t>2026-03-21 10:41:37</t>
        </is>
      </c>
      <c r="B56" s="61" t="inlineStr">
        <is>
          <t>E1_v4_clean</t>
        </is>
      </c>
      <c r="C56" s="61" t="inlineStr">
        <is>
          <t>E1</t>
        </is>
      </c>
      <c r="D56" s="61" t="inlineStr">
        <is>
          <t>metricas</t>
        </is>
      </c>
      <c r="E56" s="61" t="inlineStr">
        <is>
          <t>metricas_horizonte.json</t>
        </is>
      </c>
      <c r="F56" s="61" t="inlineStr">
        <is>
          <t>Experimentos/runs/E1_v4_clean_20260321_103832/metricas_horizonte.json</t>
        </is>
      </c>
      <c r="G56" s="61" t="inlineStr">
        <is>
          <t>Resumen estructurado por horizonte.</t>
        </is>
      </c>
    </row>
    <row r="57" ht="15" customHeight="1" s="27">
      <c r="A57" s="61" t="inlineStr">
        <is>
          <t>2026-03-21 10:41:37</t>
        </is>
      </c>
      <c r="B57" s="61" t="inlineStr">
        <is>
          <t>E1_v4_clean</t>
        </is>
      </c>
      <c r="C57" s="61" t="inlineStr">
        <is>
          <t>E1</t>
        </is>
      </c>
      <c r="D57" s="61" t="inlineStr">
        <is>
          <t>metadata</t>
        </is>
      </c>
      <c r="E57" s="61" t="inlineStr">
        <is>
          <t>metadata_run.json</t>
        </is>
      </c>
      <c r="F57" s="61" t="inlineStr">
        <is>
          <t>Experimentos/runs/E1_v4_clean_20260321_103832/metadata_run.json</t>
        </is>
      </c>
      <c r="G57" s="61" t="inlineStr">
        <is>
          <t>Metadata base del run.</t>
        </is>
      </c>
    </row>
    <row r="58" ht="15" customHeight="1" s="27">
      <c r="A58" s="61" t="inlineStr">
        <is>
          <t>2026-03-21 10:58:34</t>
        </is>
      </c>
      <c r="B58" s="61" t="inlineStr">
        <is>
          <t>E1_v5_clean</t>
        </is>
      </c>
      <c r="C58" s="61" t="inlineStr">
        <is>
          <t>E1</t>
        </is>
      </c>
      <c r="D58" s="61" t="inlineStr">
        <is>
          <t>script_snapshot</t>
        </is>
      </c>
      <c r="E58" s="61" t="inlineStr">
        <is>
          <t>run_e1_ridge_clean.py</t>
        </is>
      </c>
      <c r="F58" s="61" t="inlineStr">
        <is>
          <t>Experimentos/runs/E1_v5_clean_20260321_105449/scripts/run_e1_ridge_clean.py</t>
        </is>
      </c>
      <c r="G58" s="61" t="inlineStr">
        <is>
          <t>Copia del script ejecutado para reproducibilidad.</t>
        </is>
      </c>
    </row>
    <row r="59" ht="15" customHeight="1" s="27">
      <c r="A59" s="61" t="inlineStr">
        <is>
          <t>2026-03-21 10:58:34</t>
        </is>
      </c>
      <c r="B59" s="61" t="inlineStr">
        <is>
          <t>E1_v5_clean</t>
        </is>
      </c>
      <c r="C59" s="61" t="inlineStr">
        <is>
          <t>E1</t>
        </is>
      </c>
      <c r="D59" s="61" t="inlineStr">
        <is>
          <t>parametros</t>
        </is>
      </c>
      <c r="E59" s="61" t="inlineStr">
        <is>
          <t>parametros_run.json</t>
        </is>
      </c>
      <c r="F59" s="61" t="inlineStr">
        <is>
          <t>Experimentos/runs/E1_v5_clean_20260321_105449/parametros_run.json</t>
        </is>
      </c>
      <c r="G59" s="61" t="inlineStr">
        <is>
          <t>Parametros del experimento.</t>
        </is>
      </c>
    </row>
    <row r="60" ht="15" customHeight="1" s="27">
      <c r="A60" s="61" t="inlineStr">
        <is>
          <t>2026-03-21 10:58:34</t>
        </is>
      </c>
      <c r="B60" s="61" t="inlineStr">
        <is>
          <t>E1_v5_clean</t>
        </is>
      </c>
      <c r="C60" s="61" t="inlineStr">
        <is>
          <t>E1</t>
        </is>
      </c>
      <c r="D60" s="61" t="inlineStr">
        <is>
          <t>seleccion_features</t>
        </is>
      </c>
      <c r="E60" s="61" t="inlineStr">
        <is>
          <t>features_seleccionadas_h1.csv</t>
        </is>
      </c>
      <c r="F60" s="61" t="inlineStr">
        <is>
          <t>Experimentos/runs/E1_v5_clean_20260321_105449/features_seleccionadas_h1.csv</t>
        </is>
      </c>
      <c r="G60" s="61" t="inlineStr">
        <is>
          <t>Resumen de combinaciones de features seleccionadas por fold externo. El filtro se calcula solo con el train de cada fold externo.</t>
        </is>
      </c>
    </row>
    <row r="61" ht="15" customHeight="1" s="27">
      <c r="A61" s="61" t="inlineStr">
        <is>
          <t>2026-03-21 10:58:34</t>
        </is>
      </c>
      <c r="B61" s="61" t="inlineStr">
        <is>
          <t>E1_v5_clean</t>
        </is>
      </c>
      <c r="C61" s="61" t="inlineStr">
        <is>
          <t>E1</t>
        </is>
      </c>
      <c r="D61" s="61" t="inlineStr">
        <is>
          <t>seleccion_features</t>
        </is>
      </c>
      <c r="E61" s="61" t="inlineStr">
        <is>
          <t>features_seleccionadas_h2.csv</t>
        </is>
      </c>
      <c r="F61" s="61" t="inlineStr">
        <is>
          <t>Experimentos/runs/E1_v5_clean_20260321_105449/features_seleccionadas_h2.csv</t>
        </is>
      </c>
      <c r="G61" s="61" t="inlineStr">
        <is>
          <t>Resumen de combinaciones de features seleccionadas por fold externo. El filtro se calcula solo con el train de cada fold externo.</t>
        </is>
      </c>
    </row>
    <row r="62" ht="15" customHeight="1" s="27">
      <c r="A62" s="61" t="inlineStr">
        <is>
          <t>2026-03-21 10:58:34</t>
        </is>
      </c>
      <c r="B62" s="61" t="inlineStr">
        <is>
          <t>E1_v5_clean</t>
        </is>
      </c>
      <c r="C62" s="61" t="inlineStr">
        <is>
          <t>E1</t>
        </is>
      </c>
      <c r="D62" s="61" t="inlineStr">
        <is>
          <t>seleccion_features</t>
        </is>
      </c>
      <c r="E62" s="61" t="inlineStr">
        <is>
          <t>features_seleccionadas_h3.csv</t>
        </is>
      </c>
      <c r="F62" s="61" t="inlineStr">
        <is>
          <t>Experimentos/runs/E1_v5_clean_20260321_105449/features_seleccionadas_h3.csv</t>
        </is>
      </c>
      <c r="G62" s="61" t="inlineStr">
        <is>
          <t>Resumen de combinaciones de features seleccionadas por fold externo. El filtro se calcula solo con el train de cada fold externo.</t>
        </is>
      </c>
    </row>
    <row r="63" ht="15" customHeight="1" s="27">
      <c r="A63" s="61" t="inlineStr">
        <is>
          <t>2026-03-21 10:58:34</t>
        </is>
      </c>
      <c r="B63" s="61" t="inlineStr">
        <is>
          <t>E1_v5_clean</t>
        </is>
      </c>
      <c r="C63" s="61" t="inlineStr">
        <is>
          <t>E1</t>
        </is>
      </c>
      <c r="D63" s="61" t="inlineStr">
        <is>
          <t>seleccion_features</t>
        </is>
      </c>
      <c r="E63" s="61" t="inlineStr">
        <is>
          <t>features_seleccionadas_h4.csv</t>
        </is>
      </c>
      <c r="F63" s="61" t="inlineStr">
        <is>
          <t>Experimentos/runs/E1_v5_clean_20260321_105449/features_seleccionadas_h4.csv</t>
        </is>
      </c>
      <c r="G63" s="61" t="inlineStr">
        <is>
          <t>Resumen de combinaciones de features seleccionadas por fold externo. El filtro se calcula solo con el train de cada fold externo.</t>
        </is>
      </c>
    </row>
    <row r="64" ht="15" customHeight="1" s="27">
      <c r="A64" s="61" t="inlineStr">
        <is>
          <t>2026-03-21 10:58:34</t>
        </is>
      </c>
      <c r="B64" s="61" t="inlineStr">
        <is>
          <t>E1_v5_clean</t>
        </is>
      </c>
      <c r="C64" s="61" t="inlineStr">
        <is>
          <t>E1</t>
        </is>
      </c>
      <c r="D64" s="61" t="inlineStr">
        <is>
          <t>predicciones</t>
        </is>
      </c>
      <c r="E64" s="61" t="inlineStr">
        <is>
          <t>predicciones_h1.csv</t>
        </is>
      </c>
      <c r="F64" s="61" t="inlineStr">
        <is>
          <t>Experimentos/runs/E1_v5_clean_20260321_105449/predicciones_h1.csv</t>
        </is>
      </c>
      <c r="G64" s="61" t="inlineStr">
        <is>
          <t>Predicciones walk-forward para horizonte 1.</t>
        </is>
      </c>
    </row>
    <row r="65" ht="15" customHeight="1" s="27">
      <c r="A65" s="61" t="inlineStr">
        <is>
          <t>2026-03-21 10:58:34</t>
        </is>
      </c>
      <c r="B65" s="61" t="inlineStr">
        <is>
          <t>E1_v5_clean</t>
        </is>
      </c>
      <c r="C65" s="61" t="inlineStr">
        <is>
          <t>E1</t>
        </is>
      </c>
      <c r="D65" s="61" t="inlineStr">
        <is>
          <t>predicciones</t>
        </is>
      </c>
      <c r="E65" s="61" t="inlineStr">
        <is>
          <t>predicciones_h2.csv</t>
        </is>
      </c>
      <c r="F65" s="61" t="inlineStr">
        <is>
          <t>Experimentos/runs/E1_v5_clean_20260321_105449/predicciones_h2.csv</t>
        </is>
      </c>
      <c r="G65" s="61" t="inlineStr">
        <is>
          <t>Predicciones walk-forward para horizonte 2.</t>
        </is>
      </c>
    </row>
    <row r="66" ht="15" customHeight="1" s="27">
      <c r="A66" s="61" t="inlineStr">
        <is>
          <t>2026-03-21 10:58:34</t>
        </is>
      </c>
      <c r="B66" s="61" t="inlineStr">
        <is>
          <t>E1_v5_clean</t>
        </is>
      </c>
      <c r="C66" s="61" t="inlineStr">
        <is>
          <t>E1</t>
        </is>
      </c>
      <c r="D66" s="61" t="inlineStr">
        <is>
          <t>predicciones</t>
        </is>
      </c>
      <c r="E66" s="61" t="inlineStr">
        <is>
          <t>predicciones_h3.csv</t>
        </is>
      </c>
      <c r="F66" s="61" t="inlineStr">
        <is>
          <t>Experimentos/runs/E1_v5_clean_20260321_105449/predicciones_h3.csv</t>
        </is>
      </c>
      <c r="G66" s="61" t="inlineStr">
        <is>
          <t>Predicciones walk-forward para horizonte 3.</t>
        </is>
      </c>
    </row>
    <row r="67" ht="15" customHeight="1" s="27">
      <c r="A67" s="61" t="inlineStr">
        <is>
          <t>2026-03-21 10:58:34</t>
        </is>
      </c>
      <c r="B67" s="61" t="inlineStr">
        <is>
          <t>E1_v5_clean</t>
        </is>
      </c>
      <c r="C67" s="61" t="inlineStr">
        <is>
          <t>E1</t>
        </is>
      </c>
      <c r="D67" s="61" t="inlineStr">
        <is>
          <t>predicciones</t>
        </is>
      </c>
      <c r="E67" s="61" t="inlineStr">
        <is>
          <t>predicciones_h4.csv</t>
        </is>
      </c>
      <c r="F67" s="61" t="inlineStr">
        <is>
          <t>Experimentos/runs/E1_v5_clean_20260321_105449/predicciones_h4.csv</t>
        </is>
      </c>
      <c r="G67" s="61" t="inlineStr">
        <is>
          <t>Predicciones walk-forward para horizonte 4.</t>
        </is>
      </c>
    </row>
    <row r="68" ht="15" customHeight="1" s="27">
      <c r="A68" s="61" t="inlineStr">
        <is>
          <t>2026-03-21 10:58:34</t>
        </is>
      </c>
      <c r="B68" s="61" t="inlineStr">
        <is>
          <t>E1_v5_clean</t>
        </is>
      </c>
      <c r="C68" s="61" t="inlineStr">
        <is>
          <t>E1</t>
        </is>
      </c>
      <c r="D68" s="61" t="inlineStr">
        <is>
          <t>resumen</t>
        </is>
      </c>
      <c r="E68" s="61" t="inlineStr">
        <is>
          <t>resumen_modeling_horizontes.json</t>
        </is>
      </c>
      <c r="F68" s="61" t="inlineStr">
        <is>
          <t>Experimentos/runs/E1_v5_clean_20260321_105449/resumen_modeling_horizontes.json</t>
        </is>
      </c>
      <c r="G68" s="61" t="inlineStr">
        <is>
          <t>Resumen de tamanos y seleccion de features por horizonte.</t>
        </is>
      </c>
    </row>
    <row r="69" ht="15" customHeight="1" s="27">
      <c r="A69" s="61" t="inlineStr">
        <is>
          <t>2026-03-21 10:58:34</t>
        </is>
      </c>
      <c r="B69" s="61" t="inlineStr">
        <is>
          <t>E1_v5_clean</t>
        </is>
      </c>
      <c r="C69" s="61" t="inlineStr">
        <is>
          <t>E1</t>
        </is>
      </c>
      <c r="D69" s="61" t="inlineStr">
        <is>
          <t>tuning</t>
        </is>
      </c>
      <c r="E69" s="61" t="inlineStr">
        <is>
          <t>alpha_tuning_horizontes.json</t>
        </is>
      </c>
      <c r="F69" s="61" t="inlineStr">
        <is>
          <t>Experimentos/runs/E1_v5_clean_20260321_105449/alpha_tuning_horizontes.json</t>
        </is>
      </c>
      <c r="G69" s="61" t="inlineStr">
        <is>
          <t>Best alpha por fold externo y resumen por horizonte.</t>
        </is>
      </c>
    </row>
    <row r="70" ht="15" customHeight="1" s="27">
      <c r="A70" s="61" t="inlineStr">
        <is>
          <t>2026-03-21 10:58:34</t>
        </is>
      </c>
      <c r="B70" s="61" t="inlineStr">
        <is>
          <t>E1_v5_clean</t>
        </is>
      </c>
      <c r="C70" s="61" t="inlineStr">
        <is>
          <t>E1</t>
        </is>
      </c>
      <c r="D70" s="61" t="inlineStr">
        <is>
          <t>comparacion</t>
        </is>
      </c>
      <c r="E70" s="61" t="inlineStr">
        <is>
          <t>comparacion_vs_E1_v4_clean.json</t>
        </is>
      </c>
      <c r="F70" s="61" t="inlineStr">
        <is>
          <t>Experimentos/runs/E1_v5_clean_20260321_105449/comparacion_vs_E1_v4_clean.json</t>
        </is>
      </c>
      <c r="G70" s="61" t="inlineStr">
        <is>
          <t>Comparacion de la corrida clean contra E1_v4_clean.</t>
        </is>
      </c>
    </row>
    <row r="71" ht="15" customHeight="1" s="27">
      <c r="A71" s="61" t="inlineStr">
        <is>
          <t>2026-03-21 10:58:34</t>
        </is>
      </c>
      <c r="B71" s="61" t="inlineStr">
        <is>
          <t>E1_v5_clean</t>
        </is>
      </c>
      <c r="C71" s="61" t="inlineStr">
        <is>
          <t>E1</t>
        </is>
      </c>
      <c r="D71" s="61" t="inlineStr">
        <is>
          <t>metricas</t>
        </is>
      </c>
      <c r="E71" s="61" t="inlineStr">
        <is>
          <t>metricas_horizonte.json</t>
        </is>
      </c>
      <c r="F71" s="61" t="inlineStr">
        <is>
          <t>Experimentos/runs/E1_v5_clean_20260321_105449/metricas_horizonte.json</t>
        </is>
      </c>
      <c r="G71" s="61" t="inlineStr">
        <is>
          <t>Resumen estructurado por horizonte.</t>
        </is>
      </c>
    </row>
    <row r="72" ht="15" customHeight="1" s="27">
      <c r="A72" s="61" t="inlineStr">
        <is>
          <t>2026-03-21 10:58:34</t>
        </is>
      </c>
      <c r="B72" s="61" t="inlineStr">
        <is>
          <t>E1_v5_clean</t>
        </is>
      </c>
      <c r="C72" s="61" t="inlineStr">
        <is>
          <t>E1</t>
        </is>
      </c>
      <c r="D72" s="61" t="inlineStr">
        <is>
          <t>metadata</t>
        </is>
      </c>
      <c r="E72" s="61" t="inlineStr">
        <is>
          <t>metadata_run.json</t>
        </is>
      </c>
      <c r="F72" s="61" t="inlineStr">
        <is>
          <t>Experimentos/runs/E1_v5_clean_20260321_105449/metadata_run.json</t>
        </is>
      </c>
      <c r="G72" s="61" t="inlineStr">
        <is>
          <t>Metadata base del run.</t>
        </is>
      </c>
    </row>
    <row r="73" ht="15" customHeight="1" s="27">
      <c r="A73" s="61" t="inlineStr">
        <is>
          <t>2026-03-23 05:15:03</t>
        </is>
      </c>
      <c r="B73" s="61" t="inlineStr">
        <is>
          <t>E2_v1_clean</t>
        </is>
      </c>
      <c r="C73" s="61" t="inlineStr">
        <is>
          <t>E2</t>
        </is>
      </c>
      <c r="D73" s="61" t="inlineStr">
        <is>
          <t>script_snapshot</t>
        </is>
      </c>
      <c r="E73" s="61" t="inlineStr">
        <is>
          <t>run_e2_huber_clean.py</t>
        </is>
      </c>
      <c r="F73" s="61" t="inlineStr">
        <is>
          <t>Experimentos/runs/E2_v1_clean_20260323_050029/scripts/run_e2_huber_clean.py</t>
        </is>
      </c>
      <c r="G73" s="61" t="inlineStr">
        <is>
          <t>Copia del script ejecutado para reproducibilidad.</t>
        </is>
      </c>
    </row>
    <row r="74" ht="15" customHeight="1" s="27">
      <c r="A74" s="61" t="inlineStr">
        <is>
          <t>2026-03-23 05:15:03</t>
        </is>
      </c>
      <c r="B74" s="61" t="inlineStr">
        <is>
          <t>E2_v1_clean</t>
        </is>
      </c>
      <c r="C74" s="61" t="inlineStr">
        <is>
          <t>E2</t>
        </is>
      </c>
      <c r="D74" s="61" t="inlineStr">
        <is>
          <t>parametros</t>
        </is>
      </c>
      <c r="E74" s="61" t="inlineStr">
        <is>
          <t>parametros_run.json</t>
        </is>
      </c>
      <c r="F74" s="61" t="inlineStr">
        <is>
          <t>Experimentos/runs/E2_v1_clean_20260323_050029/parametros_run.json</t>
        </is>
      </c>
      <c r="G74" s="61" t="inlineStr">
        <is>
          <t>Parametros del experimento.</t>
        </is>
      </c>
    </row>
    <row r="75" ht="15" customHeight="1" s="27">
      <c r="A75" s="61" t="inlineStr">
        <is>
          <t>2026-03-23 05:15:03</t>
        </is>
      </c>
      <c r="B75" s="61" t="inlineStr">
        <is>
          <t>E2_v1_clean</t>
        </is>
      </c>
      <c r="C75" s="61" t="inlineStr">
        <is>
          <t>E2</t>
        </is>
      </c>
      <c r="D75" s="61" t="inlineStr">
        <is>
          <t>seleccion_features</t>
        </is>
      </c>
      <c r="E75" s="61" t="inlineStr">
        <is>
          <t>features_seleccionadas_h1.csv</t>
        </is>
      </c>
      <c r="F75" s="61" t="inlineStr">
        <is>
          <t>Experimentos/runs/E2_v1_clean_20260323_050029/features_seleccionadas_h1.csv</t>
        </is>
      </c>
      <c r="G75" s="61" t="inlineStr">
        <is>
          <t>Resumen de combinaciones de features seleccionadas por fold externo. El filtro se calcula solo con el train de cada fold externo.</t>
        </is>
      </c>
    </row>
    <row r="76" ht="15" customHeight="1" s="27">
      <c r="A76" s="61" t="inlineStr">
        <is>
          <t>2026-03-23 05:15:03</t>
        </is>
      </c>
      <c r="B76" s="61" t="inlineStr">
        <is>
          <t>E2_v1_clean</t>
        </is>
      </c>
      <c r="C76" s="61" t="inlineStr">
        <is>
          <t>E2</t>
        </is>
      </c>
      <c r="D76" s="61" t="inlineStr">
        <is>
          <t>seleccion_features</t>
        </is>
      </c>
      <c r="E76" s="61" t="inlineStr">
        <is>
          <t>features_seleccionadas_h2.csv</t>
        </is>
      </c>
      <c r="F76" s="61" t="inlineStr">
        <is>
          <t>Experimentos/runs/E2_v1_clean_20260323_050029/features_seleccionadas_h2.csv</t>
        </is>
      </c>
      <c r="G76" s="61" t="inlineStr">
        <is>
          <t>Resumen de combinaciones de features seleccionadas por fold externo. El filtro se calcula solo con el train de cada fold externo.</t>
        </is>
      </c>
    </row>
    <row r="77" ht="15" customHeight="1" s="27">
      <c r="A77" s="61" t="inlineStr">
        <is>
          <t>2026-03-23 05:15:03</t>
        </is>
      </c>
      <c r="B77" s="61" t="inlineStr">
        <is>
          <t>E2_v1_clean</t>
        </is>
      </c>
      <c r="C77" s="61" t="inlineStr">
        <is>
          <t>E2</t>
        </is>
      </c>
      <c r="D77" s="61" t="inlineStr">
        <is>
          <t>seleccion_features</t>
        </is>
      </c>
      <c r="E77" s="61" t="inlineStr">
        <is>
          <t>features_seleccionadas_h3.csv</t>
        </is>
      </c>
      <c r="F77" s="61" t="inlineStr">
        <is>
          <t>Experimentos/runs/E2_v1_clean_20260323_050029/features_seleccionadas_h3.csv</t>
        </is>
      </c>
      <c r="G77" s="61" t="inlineStr">
        <is>
          <t>Resumen de combinaciones de features seleccionadas por fold externo. El filtro se calcula solo con el train de cada fold externo.</t>
        </is>
      </c>
    </row>
    <row r="78" ht="15" customHeight="1" s="27">
      <c r="A78" s="61" t="inlineStr">
        <is>
          <t>2026-03-23 05:15:03</t>
        </is>
      </c>
      <c r="B78" s="61" t="inlineStr">
        <is>
          <t>E2_v1_clean</t>
        </is>
      </c>
      <c r="C78" s="61" t="inlineStr">
        <is>
          <t>E2</t>
        </is>
      </c>
      <c r="D78" s="61" t="inlineStr">
        <is>
          <t>seleccion_features</t>
        </is>
      </c>
      <c r="E78" s="61" t="inlineStr">
        <is>
          <t>features_seleccionadas_h4.csv</t>
        </is>
      </c>
      <c r="F78" s="61" t="inlineStr">
        <is>
          <t>Experimentos/runs/E2_v1_clean_20260323_050029/features_seleccionadas_h4.csv</t>
        </is>
      </c>
      <c r="G78" s="61" t="inlineStr">
        <is>
          <t>Resumen de combinaciones de features seleccionadas por fold externo. El filtro se calcula solo con el train de cada fold externo.</t>
        </is>
      </c>
    </row>
    <row r="79" ht="15" customHeight="1" s="27">
      <c r="A79" s="61" t="inlineStr">
        <is>
          <t>2026-03-23 05:15:03</t>
        </is>
      </c>
      <c r="B79" s="61" t="inlineStr">
        <is>
          <t>E2_v1_clean</t>
        </is>
      </c>
      <c r="C79" s="61" t="inlineStr">
        <is>
          <t>E2</t>
        </is>
      </c>
      <c r="D79" s="61" t="inlineStr">
        <is>
          <t>predicciones</t>
        </is>
      </c>
      <c r="E79" s="61" t="inlineStr">
        <is>
          <t>predicciones_h1.csv</t>
        </is>
      </c>
      <c r="F79" s="61" t="inlineStr">
        <is>
          <t>Experimentos/runs/E2_v1_clean_20260323_050029/predicciones_h1.csv</t>
        </is>
      </c>
      <c r="G79" s="61" t="inlineStr">
        <is>
          <t>Predicciones walk-forward para horizonte 1.</t>
        </is>
      </c>
    </row>
    <row r="80" ht="15" customHeight="1" s="27">
      <c r="A80" s="61" t="inlineStr">
        <is>
          <t>2026-03-23 05:15:03</t>
        </is>
      </c>
      <c r="B80" s="61" t="inlineStr">
        <is>
          <t>E2_v1_clean</t>
        </is>
      </c>
      <c r="C80" s="61" t="inlineStr">
        <is>
          <t>E2</t>
        </is>
      </c>
      <c r="D80" s="61" t="inlineStr">
        <is>
          <t>predicciones</t>
        </is>
      </c>
      <c r="E80" s="61" t="inlineStr">
        <is>
          <t>predicciones_h2.csv</t>
        </is>
      </c>
      <c r="F80" s="61" t="inlineStr">
        <is>
          <t>Experimentos/runs/E2_v1_clean_20260323_050029/predicciones_h2.csv</t>
        </is>
      </c>
      <c r="G80" s="61" t="inlineStr">
        <is>
          <t>Predicciones walk-forward para horizonte 2.</t>
        </is>
      </c>
    </row>
    <row r="81" ht="15" customHeight="1" s="27">
      <c r="A81" s="61" t="inlineStr">
        <is>
          <t>2026-03-23 05:15:03</t>
        </is>
      </c>
      <c r="B81" s="61" t="inlineStr">
        <is>
          <t>E2_v1_clean</t>
        </is>
      </c>
      <c r="C81" s="61" t="inlineStr">
        <is>
          <t>E2</t>
        </is>
      </c>
      <c r="D81" s="61" t="inlineStr">
        <is>
          <t>predicciones</t>
        </is>
      </c>
      <c r="E81" s="61" t="inlineStr">
        <is>
          <t>predicciones_h3.csv</t>
        </is>
      </c>
      <c r="F81" s="61" t="inlineStr">
        <is>
          <t>Experimentos/runs/E2_v1_clean_20260323_050029/predicciones_h3.csv</t>
        </is>
      </c>
      <c r="G81" s="61" t="inlineStr">
        <is>
          <t>Predicciones walk-forward para horizonte 3.</t>
        </is>
      </c>
    </row>
    <row r="82" ht="15" customHeight="1" s="27">
      <c r="A82" s="61" t="inlineStr">
        <is>
          <t>2026-03-23 05:15:03</t>
        </is>
      </c>
      <c r="B82" s="61" t="inlineStr">
        <is>
          <t>E2_v1_clean</t>
        </is>
      </c>
      <c r="C82" s="61" t="inlineStr">
        <is>
          <t>E2</t>
        </is>
      </c>
      <c r="D82" s="61" t="inlineStr">
        <is>
          <t>predicciones</t>
        </is>
      </c>
      <c r="E82" s="61" t="inlineStr">
        <is>
          <t>predicciones_h4.csv</t>
        </is>
      </c>
      <c r="F82" s="61" t="inlineStr">
        <is>
          <t>Experimentos/runs/E2_v1_clean_20260323_050029/predicciones_h4.csv</t>
        </is>
      </c>
      <c r="G82" s="61" t="inlineStr">
        <is>
          <t>Predicciones walk-forward para horizonte 4.</t>
        </is>
      </c>
    </row>
    <row r="83" ht="15" customHeight="1" s="27">
      <c r="A83" s="61" t="inlineStr">
        <is>
          <t>2026-03-23 05:15:03</t>
        </is>
      </c>
      <c r="B83" s="61" t="inlineStr">
        <is>
          <t>E2_v1_clean</t>
        </is>
      </c>
      <c r="C83" s="61" t="inlineStr">
        <is>
          <t>E2</t>
        </is>
      </c>
      <c r="D83" s="61" t="inlineStr">
        <is>
          <t>resumen</t>
        </is>
      </c>
      <c r="E83" s="61" t="inlineStr">
        <is>
          <t>resumen_modeling_horizontes.json</t>
        </is>
      </c>
      <c r="F83" s="61" t="inlineStr">
        <is>
          <t>Experimentos/runs/E2_v1_clean_20260323_050029/resumen_modeling_horizontes.json</t>
        </is>
      </c>
      <c r="G83" s="61" t="inlineStr">
        <is>
          <t>Resumen de tamanos y seleccion de features por horizonte.</t>
        </is>
      </c>
    </row>
    <row r="84" ht="15" customHeight="1" s="27">
      <c r="A84" s="61" t="inlineStr">
        <is>
          <t>2026-03-23 05:15:03</t>
        </is>
      </c>
      <c r="B84" s="61" t="inlineStr">
        <is>
          <t>E2_v1_clean</t>
        </is>
      </c>
      <c r="C84" s="61" t="inlineStr">
        <is>
          <t>E2</t>
        </is>
      </c>
      <c r="D84" s="61" t="inlineStr">
        <is>
          <t>tuning</t>
        </is>
      </c>
      <c r="E84" s="61" t="inlineStr">
        <is>
          <t>huber_tuning_horizontes.json</t>
        </is>
      </c>
      <c r="F84" s="61" t="inlineStr">
        <is>
          <t>Experimentos/runs/E2_v1_clean_20260323_050029/huber_tuning_horizontes.json</t>
        </is>
      </c>
      <c r="G84" s="61" t="inlineStr">
        <is>
          <t>Mejores hiperparametros Huber por fold externo y resumen por horizonte.</t>
        </is>
      </c>
    </row>
    <row r="85" ht="15" customHeight="1" s="27">
      <c r="A85" s="61" t="inlineStr">
        <is>
          <t>2026-03-23 05:15:03</t>
        </is>
      </c>
      <c r="B85" s="61" t="inlineStr">
        <is>
          <t>E2_v1_clean</t>
        </is>
      </c>
      <c r="C85" s="61" t="inlineStr">
        <is>
          <t>E2</t>
        </is>
      </c>
      <c r="D85" s="61" t="inlineStr">
        <is>
          <t>comparacion</t>
        </is>
      </c>
      <c r="E85" s="61" t="inlineStr">
        <is>
          <t>comparacion_vs_E1_v5_clean.json</t>
        </is>
      </c>
      <c r="F85" s="61" t="inlineStr">
        <is>
          <t>Experimentos/runs/E2_v1_clean_20260323_050029/comparacion_vs_E1_v5_clean.json</t>
        </is>
      </c>
      <c r="G85" s="61" t="inlineStr">
        <is>
          <t>Comparacion de la corrida clean contra E1_v5_clean.</t>
        </is>
      </c>
    </row>
    <row r="86" ht="15" customHeight="1" s="27">
      <c r="A86" s="61" t="inlineStr">
        <is>
          <t>2026-03-23 05:15:03</t>
        </is>
      </c>
      <c r="B86" s="61" t="inlineStr">
        <is>
          <t>E2_v1_clean</t>
        </is>
      </c>
      <c r="C86" s="61" t="inlineStr">
        <is>
          <t>E2</t>
        </is>
      </c>
      <c r="D86" s="61" t="inlineStr">
        <is>
          <t>metricas</t>
        </is>
      </c>
      <c r="E86" s="61" t="inlineStr">
        <is>
          <t>metricas_horizonte.json</t>
        </is>
      </c>
      <c r="F86" s="61" t="inlineStr">
        <is>
          <t>Experimentos/runs/E2_v1_clean_20260323_050029/metricas_horizonte.json</t>
        </is>
      </c>
      <c r="G86" s="61" t="inlineStr">
        <is>
          <t>Resumen estructurado por horizonte.</t>
        </is>
      </c>
    </row>
    <row r="87" ht="15" customHeight="1" s="27">
      <c r="A87" s="61" t="inlineStr">
        <is>
          <t>2026-03-23 05:15:03</t>
        </is>
      </c>
      <c r="B87" s="61" t="inlineStr">
        <is>
          <t>E2_v1_clean</t>
        </is>
      </c>
      <c r="C87" s="61" t="inlineStr">
        <is>
          <t>E2</t>
        </is>
      </c>
      <c r="D87" s="61" t="inlineStr">
        <is>
          <t>metadata</t>
        </is>
      </c>
      <c r="E87" s="61" t="inlineStr">
        <is>
          <t>metadata_run.json</t>
        </is>
      </c>
      <c r="F87" s="61" t="inlineStr">
        <is>
          <t>Experimentos/runs/E2_v1_clean_20260323_050029/metadata_run.json</t>
        </is>
      </c>
      <c r="G87" s="61" t="inlineStr">
        <is>
          <t>Metadata base del run.</t>
        </is>
      </c>
    </row>
    <row r="88" ht="15" customHeight="1" s="27">
      <c r="A88" s="61" t="inlineStr">
        <is>
          <t>2026-03-23 06:10:23</t>
        </is>
      </c>
      <c r="B88" s="61" t="inlineStr">
        <is>
          <t>E2_v2_clean</t>
        </is>
      </c>
      <c r="C88" s="61" t="inlineStr">
        <is>
          <t>E2</t>
        </is>
      </c>
      <c r="D88" s="61" t="inlineStr">
        <is>
          <t>script_snapshot</t>
        </is>
      </c>
      <c r="E88" s="61" t="inlineStr">
        <is>
          <t>run_e2_huber_clean.py</t>
        </is>
      </c>
      <c r="F88" s="61" t="inlineStr">
        <is>
          <t>Experimentos/runs/E2_v2_clean_20260323_054101/scripts/run_e2_huber_clean.py</t>
        </is>
      </c>
      <c r="G88" s="61" t="inlineStr">
        <is>
          <t>Copia del script ejecutado para reproducibilidad.</t>
        </is>
      </c>
    </row>
    <row r="89" ht="15" customHeight="1" s="27">
      <c r="A89" s="61" t="inlineStr">
        <is>
          <t>2026-03-23 06:10:23</t>
        </is>
      </c>
      <c r="B89" s="61" t="inlineStr">
        <is>
          <t>E2_v2_clean</t>
        </is>
      </c>
      <c r="C89" s="61" t="inlineStr">
        <is>
          <t>E2</t>
        </is>
      </c>
      <c r="D89" s="61" t="inlineStr">
        <is>
          <t>parametros</t>
        </is>
      </c>
      <c r="E89" s="61" t="inlineStr">
        <is>
          <t>parametros_run.json</t>
        </is>
      </c>
      <c r="F89" s="61" t="inlineStr">
        <is>
          <t>Experimentos/runs/E2_v2_clean_20260323_054101/parametros_run.json</t>
        </is>
      </c>
      <c r="G89" s="61" t="inlineStr">
        <is>
          <t>Parametros del experimento.</t>
        </is>
      </c>
    </row>
    <row r="90" ht="15" customHeight="1" s="27">
      <c r="A90" s="61" t="inlineStr">
        <is>
          <t>2026-03-23 06:10:23</t>
        </is>
      </c>
      <c r="B90" s="61" t="inlineStr">
        <is>
          <t>E2_v2_clean</t>
        </is>
      </c>
      <c r="C90" s="61" t="inlineStr">
        <is>
          <t>E2</t>
        </is>
      </c>
      <c r="D90" s="61" t="inlineStr">
        <is>
          <t>seleccion_features</t>
        </is>
      </c>
      <c r="E90" s="61" t="inlineStr">
        <is>
          <t>features_seleccionadas_h1.csv</t>
        </is>
      </c>
      <c r="F90" s="61" t="inlineStr">
        <is>
          <t>Experimentos/runs/E2_v2_clean_20260323_054101/features_seleccionadas_h1.csv</t>
        </is>
      </c>
      <c r="G90" s="61" t="inlineStr">
        <is>
          <t>Resumen de combinaciones de features seleccionadas por fold externo. El filtro se calcula solo con el train de cada fold externo.</t>
        </is>
      </c>
    </row>
    <row r="91" ht="15" customHeight="1" s="27">
      <c r="A91" s="61" t="inlineStr">
        <is>
          <t>2026-03-23 06:10:23</t>
        </is>
      </c>
      <c r="B91" s="61" t="inlineStr">
        <is>
          <t>E2_v2_clean</t>
        </is>
      </c>
      <c r="C91" s="61" t="inlineStr">
        <is>
          <t>E2</t>
        </is>
      </c>
      <c r="D91" s="61" t="inlineStr">
        <is>
          <t>seleccion_features</t>
        </is>
      </c>
      <c r="E91" s="61" t="inlineStr">
        <is>
          <t>features_seleccionadas_h2.csv</t>
        </is>
      </c>
      <c r="F91" s="61" t="inlineStr">
        <is>
          <t>Experimentos/runs/E2_v2_clean_20260323_054101/features_seleccionadas_h2.csv</t>
        </is>
      </c>
      <c r="G91" s="61" t="inlineStr">
        <is>
          <t>Resumen de combinaciones de features seleccionadas por fold externo. El filtro se calcula solo con el train de cada fold externo.</t>
        </is>
      </c>
    </row>
    <row r="92" ht="15" customHeight="1" s="27">
      <c r="A92" s="61" t="inlineStr">
        <is>
          <t>2026-03-23 06:10:23</t>
        </is>
      </c>
      <c r="B92" s="61" t="inlineStr">
        <is>
          <t>E2_v2_clean</t>
        </is>
      </c>
      <c r="C92" s="61" t="inlineStr">
        <is>
          <t>E2</t>
        </is>
      </c>
      <c r="D92" s="61" t="inlineStr">
        <is>
          <t>seleccion_features</t>
        </is>
      </c>
      <c r="E92" s="61" t="inlineStr">
        <is>
          <t>features_seleccionadas_h3.csv</t>
        </is>
      </c>
      <c r="F92" s="61" t="inlineStr">
        <is>
          <t>Experimentos/runs/E2_v2_clean_20260323_054101/features_seleccionadas_h3.csv</t>
        </is>
      </c>
      <c r="G92" s="61" t="inlineStr">
        <is>
          <t>Resumen de combinaciones de features seleccionadas por fold externo. El filtro se calcula solo con el train de cada fold externo.</t>
        </is>
      </c>
    </row>
    <row r="93" ht="15" customHeight="1" s="27">
      <c r="A93" s="61" t="inlineStr">
        <is>
          <t>2026-03-23 06:10:23</t>
        </is>
      </c>
      <c r="B93" s="61" t="inlineStr">
        <is>
          <t>E2_v2_clean</t>
        </is>
      </c>
      <c r="C93" s="61" t="inlineStr">
        <is>
          <t>E2</t>
        </is>
      </c>
      <c r="D93" s="61" t="inlineStr">
        <is>
          <t>seleccion_features</t>
        </is>
      </c>
      <c r="E93" s="61" t="inlineStr">
        <is>
          <t>features_seleccionadas_h4.csv</t>
        </is>
      </c>
      <c r="F93" s="61" t="inlineStr">
        <is>
          <t>Experimentos/runs/E2_v2_clean_20260323_054101/features_seleccionadas_h4.csv</t>
        </is>
      </c>
      <c r="G93" s="61" t="inlineStr">
        <is>
          <t>Resumen de combinaciones de features seleccionadas por fold externo. El filtro se calcula solo con el train de cada fold externo.</t>
        </is>
      </c>
    </row>
    <row r="94" ht="15" customHeight="1" s="27">
      <c r="A94" s="61" t="inlineStr">
        <is>
          <t>2026-03-23 06:10:23</t>
        </is>
      </c>
      <c r="B94" s="61" t="inlineStr">
        <is>
          <t>E2_v2_clean</t>
        </is>
      </c>
      <c r="C94" s="61" t="inlineStr">
        <is>
          <t>E2</t>
        </is>
      </c>
      <c r="D94" s="61" t="inlineStr">
        <is>
          <t>predicciones</t>
        </is>
      </c>
      <c r="E94" s="61" t="inlineStr">
        <is>
          <t>predicciones_h1.csv</t>
        </is>
      </c>
      <c r="F94" s="61" t="inlineStr">
        <is>
          <t>Experimentos/runs/E2_v2_clean_20260323_054101/predicciones_h1.csv</t>
        </is>
      </c>
      <c r="G94" s="61" t="inlineStr">
        <is>
          <t>Predicciones walk-forward para horizonte 1.</t>
        </is>
      </c>
    </row>
    <row r="95" ht="15" customHeight="1" s="27">
      <c r="A95" s="61" t="inlineStr">
        <is>
          <t>2026-03-23 06:10:23</t>
        </is>
      </c>
      <c r="B95" s="61" t="inlineStr">
        <is>
          <t>E2_v2_clean</t>
        </is>
      </c>
      <c r="C95" s="61" t="inlineStr">
        <is>
          <t>E2</t>
        </is>
      </c>
      <c r="D95" s="61" t="inlineStr">
        <is>
          <t>predicciones</t>
        </is>
      </c>
      <c r="E95" s="61" t="inlineStr">
        <is>
          <t>predicciones_h2.csv</t>
        </is>
      </c>
      <c r="F95" s="61" t="inlineStr">
        <is>
          <t>Experimentos/runs/E2_v2_clean_20260323_054101/predicciones_h2.csv</t>
        </is>
      </c>
      <c r="G95" s="61" t="inlineStr">
        <is>
          <t>Predicciones walk-forward para horizonte 2.</t>
        </is>
      </c>
    </row>
    <row r="96" ht="15" customHeight="1" s="27">
      <c r="A96" s="61" t="inlineStr">
        <is>
          <t>2026-03-23 06:10:23</t>
        </is>
      </c>
      <c r="B96" s="61" t="inlineStr">
        <is>
          <t>E2_v2_clean</t>
        </is>
      </c>
      <c r="C96" s="61" t="inlineStr">
        <is>
          <t>E2</t>
        </is>
      </c>
      <c r="D96" s="61" t="inlineStr">
        <is>
          <t>predicciones</t>
        </is>
      </c>
      <c r="E96" s="61" t="inlineStr">
        <is>
          <t>predicciones_h3.csv</t>
        </is>
      </c>
      <c r="F96" s="61" t="inlineStr">
        <is>
          <t>Experimentos/runs/E2_v2_clean_20260323_054101/predicciones_h3.csv</t>
        </is>
      </c>
      <c r="G96" s="61" t="inlineStr">
        <is>
          <t>Predicciones walk-forward para horizonte 3.</t>
        </is>
      </c>
    </row>
    <row r="97" ht="15" customHeight="1" s="27">
      <c r="A97" s="61" t="inlineStr">
        <is>
          <t>2026-03-23 06:10:23</t>
        </is>
      </c>
      <c r="B97" s="61" t="inlineStr">
        <is>
          <t>E2_v2_clean</t>
        </is>
      </c>
      <c r="C97" s="61" t="inlineStr">
        <is>
          <t>E2</t>
        </is>
      </c>
      <c r="D97" s="61" t="inlineStr">
        <is>
          <t>predicciones</t>
        </is>
      </c>
      <c r="E97" s="61" t="inlineStr">
        <is>
          <t>predicciones_h4.csv</t>
        </is>
      </c>
      <c r="F97" s="61" t="inlineStr">
        <is>
          <t>Experimentos/runs/E2_v2_clean_20260323_054101/predicciones_h4.csv</t>
        </is>
      </c>
      <c r="G97" s="61" t="inlineStr">
        <is>
          <t>Predicciones walk-forward para horizonte 4.</t>
        </is>
      </c>
    </row>
    <row r="98" ht="15" customHeight="1" s="27">
      <c r="A98" s="61" t="inlineStr">
        <is>
          <t>2026-03-23 06:10:23</t>
        </is>
      </c>
      <c r="B98" s="61" t="inlineStr">
        <is>
          <t>E2_v2_clean</t>
        </is>
      </c>
      <c r="C98" s="61" t="inlineStr">
        <is>
          <t>E2</t>
        </is>
      </c>
      <c r="D98" s="61" t="inlineStr">
        <is>
          <t>resumen</t>
        </is>
      </c>
      <c r="E98" s="61" t="inlineStr">
        <is>
          <t>resumen_modeling_horizontes.json</t>
        </is>
      </c>
      <c r="F98" s="61" t="inlineStr">
        <is>
          <t>Experimentos/runs/E2_v2_clean_20260323_054101/resumen_modeling_horizontes.json</t>
        </is>
      </c>
      <c r="G98" s="61" t="inlineStr">
        <is>
          <t>Resumen de tamanos y seleccion de features por horizonte.</t>
        </is>
      </c>
    </row>
    <row r="99" ht="15" customHeight="1" s="27">
      <c r="A99" s="61" t="inlineStr">
        <is>
          <t>2026-03-23 06:10:23</t>
        </is>
      </c>
      <c r="B99" s="61" t="inlineStr">
        <is>
          <t>E2_v2_clean</t>
        </is>
      </c>
      <c r="C99" s="61" t="inlineStr">
        <is>
          <t>E2</t>
        </is>
      </c>
      <c r="D99" s="61" t="inlineStr">
        <is>
          <t>tuning</t>
        </is>
      </c>
      <c r="E99" s="61" t="inlineStr">
        <is>
          <t>huber_tuning_horizontes.json</t>
        </is>
      </c>
      <c r="F99" s="61" t="inlineStr">
        <is>
          <t>Experimentos/runs/E2_v2_clean_20260323_054101/huber_tuning_horizontes.json</t>
        </is>
      </c>
      <c r="G99" s="61" t="inlineStr">
        <is>
          <t>Mejores hiperparametros Huber por fold externo y resumen por horizonte.</t>
        </is>
      </c>
    </row>
    <row r="100" ht="15" customHeight="1" s="27">
      <c r="A100" s="61" t="inlineStr">
        <is>
          <t>2026-03-23 06:10:23</t>
        </is>
      </c>
      <c r="B100" s="61" t="inlineStr">
        <is>
          <t>E2_v2_clean</t>
        </is>
      </c>
      <c r="C100" s="61" t="inlineStr">
        <is>
          <t>E2</t>
        </is>
      </c>
      <c r="D100" s="61" t="inlineStr">
        <is>
          <t>comparacion</t>
        </is>
      </c>
      <c r="E100" s="61" t="inlineStr">
        <is>
          <t>comparacion_vs_E1_v5_clean.json</t>
        </is>
      </c>
      <c r="F100" s="61" t="inlineStr">
        <is>
          <t>Experimentos/runs/E2_v2_clean_20260323_054101/comparacion_vs_E1_v5_clean.json</t>
        </is>
      </c>
      <c r="G100" s="61" t="inlineStr">
        <is>
          <t>Comparacion de la corrida clean contra E1_v5_clean.</t>
        </is>
      </c>
    </row>
    <row r="101" ht="15" customHeight="1" s="27">
      <c r="A101" s="61" t="inlineStr">
        <is>
          <t>2026-03-23 06:10:23</t>
        </is>
      </c>
      <c r="B101" s="61" t="inlineStr">
        <is>
          <t>E2_v2_clean</t>
        </is>
      </c>
      <c r="C101" s="61" t="inlineStr">
        <is>
          <t>E2</t>
        </is>
      </c>
      <c r="D101" s="61" t="inlineStr">
        <is>
          <t>comparacion</t>
        </is>
      </c>
      <c r="E101" s="61" t="inlineStr">
        <is>
          <t>comparacion_vs_E2_v1_clean.json</t>
        </is>
      </c>
      <c r="F101" s="61" t="inlineStr">
        <is>
          <t>Experimentos/runs/E2_v2_clean_20260323_054101/comparacion_vs_E2_v1_clean.json</t>
        </is>
      </c>
      <c r="G101" s="61" t="inlineStr">
        <is>
          <t>Comparacion de la corrida clean contra E2_v1_clean.</t>
        </is>
      </c>
    </row>
    <row r="102" ht="15" customHeight="1" s="27">
      <c r="A102" s="61" t="inlineStr">
        <is>
          <t>2026-03-23 06:10:23</t>
        </is>
      </c>
      <c r="B102" s="61" t="inlineStr">
        <is>
          <t>E2_v2_clean</t>
        </is>
      </c>
      <c r="C102" s="61" t="inlineStr">
        <is>
          <t>E2</t>
        </is>
      </c>
      <c r="D102" s="61" t="inlineStr">
        <is>
          <t>metricas</t>
        </is>
      </c>
      <c r="E102" s="61" t="inlineStr">
        <is>
          <t>metricas_horizonte.json</t>
        </is>
      </c>
      <c r="F102" s="61" t="inlineStr">
        <is>
          <t>Experimentos/runs/E2_v2_clean_20260323_054101/metricas_horizonte.json</t>
        </is>
      </c>
      <c r="G102" s="61" t="inlineStr">
        <is>
          <t>Resumen estructurado por horizonte.</t>
        </is>
      </c>
    </row>
    <row r="103" ht="15" customHeight="1" s="27">
      <c r="A103" s="61" t="inlineStr">
        <is>
          <t>2026-03-23 06:10:23</t>
        </is>
      </c>
      <c r="B103" s="61" t="inlineStr">
        <is>
          <t>E2_v2_clean</t>
        </is>
      </c>
      <c r="C103" s="61" t="inlineStr">
        <is>
          <t>E2</t>
        </is>
      </c>
      <c r="D103" s="61" t="inlineStr">
        <is>
          <t>metadata</t>
        </is>
      </c>
      <c r="E103" s="61" t="inlineStr">
        <is>
          <t>metadata_run.json</t>
        </is>
      </c>
      <c r="F103" s="61" t="inlineStr">
        <is>
          <t>Experimentos/runs/E2_v2_clean_20260323_054101/metadata_run.json</t>
        </is>
      </c>
      <c r="G103" s="61" t="inlineStr">
        <is>
          <t>Metadata base del run.</t>
        </is>
      </c>
    </row>
    <row r="104" ht="15" customHeight="1" s="27">
      <c r="A104" s="61" t="inlineStr">
        <is>
          <t>2026-03-23 06:22:49</t>
        </is>
      </c>
      <c r="B104" s="61" t="inlineStr">
        <is>
          <t>E2_v3_clean</t>
        </is>
      </c>
      <c r="C104" s="61" t="inlineStr">
        <is>
          <t>E2</t>
        </is>
      </c>
      <c r="D104" s="61" t="inlineStr">
        <is>
          <t>script_snapshot</t>
        </is>
      </c>
      <c r="E104" s="61" t="inlineStr">
        <is>
          <t>run_e2_huber_clean.py</t>
        </is>
      </c>
      <c r="F104" s="61" t="inlineStr">
        <is>
          <t>Experimentos/runs/E2_v3_clean_20260323_061213/scripts/run_e2_huber_clean.py</t>
        </is>
      </c>
      <c r="G104" s="61" t="inlineStr">
        <is>
          <t>Copia del script ejecutado para reproducibilidad.</t>
        </is>
      </c>
    </row>
    <row r="105" ht="15" customHeight="1" s="27">
      <c r="A105" s="61" t="inlineStr">
        <is>
          <t>2026-03-23 06:22:49</t>
        </is>
      </c>
      <c r="B105" s="61" t="inlineStr">
        <is>
          <t>E2_v3_clean</t>
        </is>
      </c>
      <c r="C105" s="61" t="inlineStr">
        <is>
          <t>E2</t>
        </is>
      </c>
      <c r="D105" s="61" t="inlineStr">
        <is>
          <t>parametros</t>
        </is>
      </c>
      <c r="E105" s="61" t="inlineStr">
        <is>
          <t>parametros_run.json</t>
        </is>
      </c>
      <c r="F105" s="61" t="inlineStr">
        <is>
          <t>Experimentos/runs/E2_v3_clean_20260323_061213/parametros_run.json</t>
        </is>
      </c>
      <c r="G105" s="61" t="inlineStr">
        <is>
          <t>Parametros del experimento.</t>
        </is>
      </c>
    </row>
    <row r="106" ht="15" customHeight="1" s="27">
      <c r="A106" s="61" t="inlineStr">
        <is>
          <t>2026-03-23 06:22:49</t>
        </is>
      </c>
      <c r="B106" s="61" t="inlineStr">
        <is>
          <t>E2_v3_clean</t>
        </is>
      </c>
      <c r="C106" s="61" t="inlineStr">
        <is>
          <t>E2</t>
        </is>
      </c>
      <c r="D106" s="61" t="inlineStr">
        <is>
          <t>seleccion_features</t>
        </is>
      </c>
      <c r="E106" s="61" t="inlineStr">
        <is>
          <t>features_seleccionadas_h1.csv</t>
        </is>
      </c>
      <c r="F106" s="61" t="inlineStr">
        <is>
          <t>Experimentos/runs/E2_v3_clean_20260323_061213/features_seleccionadas_h1.csv</t>
        </is>
      </c>
      <c r="G106" s="61" t="inlineStr">
        <is>
          <t>Resumen de combinaciones de features seleccionadas por fold externo. El filtro se calcula solo con el train de cada fold externo.</t>
        </is>
      </c>
    </row>
    <row r="107" ht="15" customHeight="1" s="27">
      <c r="A107" s="61" t="inlineStr">
        <is>
          <t>2026-03-23 06:22:49</t>
        </is>
      </c>
      <c r="B107" s="61" t="inlineStr">
        <is>
          <t>E2_v3_clean</t>
        </is>
      </c>
      <c r="C107" s="61" t="inlineStr">
        <is>
          <t>E2</t>
        </is>
      </c>
      <c r="D107" s="61" t="inlineStr">
        <is>
          <t>seleccion_features</t>
        </is>
      </c>
      <c r="E107" s="61" t="inlineStr">
        <is>
          <t>features_seleccionadas_h2.csv</t>
        </is>
      </c>
      <c r="F107" s="61" t="inlineStr">
        <is>
          <t>Experimentos/runs/E2_v3_clean_20260323_061213/features_seleccionadas_h2.csv</t>
        </is>
      </c>
      <c r="G107" s="61" t="inlineStr">
        <is>
          <t>Resumen de combinaciones de features seleccionadas por fold externo. El filtro se calcula solo con el train de cada fold externo.</t>
        </is>
      </c>
    </row>
    <row r="108" ht="15" customHeight="1" s="27">
      <c r="A108" s="61" t="inlineStr">
        <is>
          <t>2026-03-23 06:22:49</t>
        </is>
      </c>
      <c r="B108" s="61" t="inlineStr">
        <is>
          <t>E2_v3_clean</t>
        </is>
      </c>
      <c r="C108" s="61" t="inlineStr">
        <is>
          <t>E2</t>
        </is>
      </c>
      <c r="D108" s="61" t="inlineStr">
        <is>
          <t>seleccion_features</t>
        </is>
      </c>
      <c r="E108" s="61" t="inlineStr">
        <is>
          <t>features_seleccionadas_h3.csv</t>
        </is>
      </c>
      <c r="F108" s="61" t="inlineStr">
        <is>
          <t>Experimentos/runs/E2_v3_clean_20260323_061213/features_seleccionadas_h3.csv</t>
        </is>
      </c>
      <c r="G108" s="61" t="inlineStr">
        <is>
          <t>Resumen de combinaciones de features seleccionadas por fold externo. El filtro se calcula solo con el train de cada fold externo.</t>
        </is>
      </c>
    </row>
    <row r="109" ht="15" customHeight="1" s="27">
      <c r="A109" s="61" t="inlineStr">
        <is>
          <t>2026-03-23 06:22:49</t>
        </is>
      </c>
      <c r="B109" s="61" t="inlineStr">
        <is>
          <t>E2_v3_clean</t>
        </is>
      </c>
      <c r="C109" s="61" t="inlineStr">
        <is>
          <t>E2</t>
        </is>
      </c>
      <c r="D109" s="61" t="inlineStr">
        <is>
          <t>seleccion_features</t>
        </is>
      </c>
      <c r="E109" s="61" t="inlineStr">
        <is>
          <t>features_seleccionadas_h4.csv</t>
        </is>
      </c>
      <c r="F109" s="61" t="inlineStr">
        <is>
          <t>Experimentos/runs/E2_v3_clean_20260323_061213/features_seleccionadas_h4.csv</t>
        </is>
      </c>
      <c r="G109" s="61" t="inlineStr">
        <is>
          <t>Resumen de combinaciones de features seleccionadas por fold externo. El filtro se calcula solo con el train de cada fold externo.</t>
        </is>
      </c>
    </row>
    <row r="110" ht="15" customHeight="1" s="27">
      <c r="A110" s="61" t="inlineStr">
        <is>
          <t>2026-03-23 06:22:49</t>
        </is>
      </c>
      <c r="B110" s="61" t="inlineStr">
        <is>
          <t>E2_v3_clean</t>
        </is>
      </c>
      <c r="C110" s="61" t="inlineStr">
        <is>
          <t>E2</t>
        </is>
      </c>
      <c r="D110" s="61" t="inlineStr">
        <is>
          <t>predicciones</t>
        </is>
      </c>
      <c r="E110" s="61" t="inlineStr">
        <is>
          <t>predicciones_h1.csv</t>
        </is>
      </c>
      <c r="F110" s="61" t="inlineStr">
        <is>
          <t>Experimentos/runs/E2_v3_clean_20260323_061213/predicciones_h1.csv</t>
        </is>
      </c>
      <c r="G110" s="61" t="inlineStr">
        <is>
          <t>Predicciones walk-forward para horizonte 1.</t>
        </is>
      </c>
    </row>
    <row r="111" ht="15" customHeight="1" s="27">
      <c r="A111" s="61" t="inlineStr">
        <is>
          <t>2026-03-23 06:22:49</t>
        </is>
      </c>
      <c r="B111" s="61" t="inlineStr">
        <is>
          <t>E2_v3_clean</t>
        </is>
      </c>
      <c r="C111" s="61" t="inlineStr">
        <is>
          <t>E2</t>
        </is>
      </c>
      <c r="D111" s="61" t="inlineStr">
        <is>
          <t>predicciones</t>
        </is>
      </c>
      <c r="E111" s="61" t="inlineStr">
        <is>
          <t>predicciones_h2.csv</t>
        </is>
      </c>
      <c r="F111" s="61" t="inlineStr">
        <is>
          <t>Experimentos/runs/E2_v3_clean_20260323_061213/predicciones_h2.csv</t>
        </is>
      </c>
      <c r="G111" s="61" t="inlineStr">
        <is>
          <t>Predicciones walk-forward para horizonte 2.</t>
        </is>
      </c>
    </row>
    <row r="112" ht="15" customHeight="1" s="27">
      <c r="A112" s="61" t="inlineStr">
        <is>
          <t>2026-03-23 06:22:49</t>
        </is>
      </c>
      <c r="B112" s="61" t="inlineStr">
        <is>
          <t>E2_v3_clean</t>
        </is>
      </c>
      <c r="C112" s="61" t="inlineStr">
        <is>
          <t>E2</t>
        </is>
      </c>
      <c r="D112" s="61" t="inlineStr">
        <is>
          <t>predicciones</t>
        </is>
      </c>
      <c r="E112" s="61" t="inlineStr">
        <is>
          <t>predicciones_h3.csv</t>
        </is>
      </c>
      <c r="F112" s="61" t="inlineStr">
        <is>
          <t>Experimentos/runs/E2_v3_clean_20260323_061213/predicciones_h3.csv</t>
        </is>
      </c>
      <c r="G112" s="61" t="inlineStr">
        <is>
          <t>Predicciones walk-forward para horizonte 3.</t>
        </is>
      </c>
    </row>
    <row r="113" ht="15" customHeight="1" s="27">
      <c r="A113" s="61" t="inlineStr">
        <is>
          <t>2026-03-23 06:22:49</t>
        </is>
      </c>
      <c r="B113" s="61" t="inlineStr">
        <is>
          <t>E2_v3_clean</t>
        </is>
      </c>
      <c r="C113" s="61" t="inlineStr">
        <is>
          <t>E2</t>
        </is>
      </c>
      <c r="D113" s="61" t="inlineStr">
        <is>
          <t>predicciones</t>
        </is>
      </c>
      <c r="E113" s="61" t="inlineStr">
        <is>
          <t>predicciones_h4.csv</t>
        </is>
      </c>
      <c r="F113" s="61" t="inlineStr">
        <is>
          <t>Experimentos/runs/E2_v3_clean_20260323_061213/predicciones_h4.csv</t>
        </is>
      </c>
      <c r="G113" s="61" t="inlineStr">
        <is>
          <t>Predicciones walk-forward para horizonte 4.</t>
        </is>
      </c>
    </row>
    <row r="114" ht="15" customHeight="1" s="27">
      <c r="A114" s="61" t="inlineStr">
        <is>
          <t>2026-03-23 06:22:49</t>
        </is>
      </c>
      <c r="B114" s="61" t="inlineStr">
        <is>
          <t>E2_v3_clean</t>
        </is>
      </c>
      <c r="C114" s="61" t="inlineStr">
        <is>
          <t>E2</t>
        </is>
      </c>
      <c r="D114" s="61" t="inlineStr">
        <is>
          <t>resumen</t>
        </is>
      </c>
      <c r="E114" s="61" t="inlineStr">
        <is>
          <t>resumen_modeling_horizontes.json</t>
        </is>
      </c>
      <c r="F114" s="61" t="inlineStr">
        <is>
          <t>Experimentos/runs/E2_v3_clean_20260323_061213/resumen_modeling_horizontes.json</t>
        </is>
      </c>
      <c r="G114" s="61" t="inlineStr">
        <is>
          <t>Resumen de tamanos y seleccion de features por horizonte.</t>
        </is>
      </c>
    </row>
    <row r="115" ht="15" customHeight="1" s="27">
      <c r="A115" s="61" t="inlineStr">
        <is>
          <t>2026-03-23 06:22:49</t>
        </is>
      </c>
      <c r="B115" s="61" t="inlineStr">
        <is>
          <t>E2_v3_clean</t>
        </is>
      </c>
      <c r="C115" s="61" t="inlineStr">
        <is>
          <t>E2</t>
        </is>
      </c>
      <c r="D115" s="61" t="inlineStr">
        <is>
          <t>tuning</t>
        </is>
      </c>
      <c r="E115" s="61" t="inlineStr">
        <is>
          <t>huber_tuning_horizontes.json</t>
        </is>
      </c>
      <c r="F115" s="61" t="inlineStr">
        <is>
          <t>Experimentos/runs/E2_v3_clean_20260323_061213/huber_tuning_horizontes.json</t>
        </is>
      </c>
      <c r="G115" s="61" t="inlineStr">
        <is>
          <t>Mejores hiperparametros Huber por fold externo y resumen por horizonte.</t>
        </is>
      </c>
    </row>
    <row r="116" ht="15" customHeight="1" s="27">
      <c r="A116" s="61" t="inlineStr">
        <is>
          <t>2026-03-23 06:22:49</t>
        </is>
      </c>
      <c r="B116" s="61" t="inlineStr">
        <is>
          <t>E2_v3_clean</t>
        </is>
      </c>
      <c r="C116" s="61" t="inlineStr">
        <is>
          <t>E2</t>
        </is>
      </c>
      <c r="D116" s="61" t="inlineStr">
        <is>
          <t>comparacion</t>
        </is>
      </c>
      <c r="E116" s="61" t="inlineStr">
        <is>
          <t>comparacion_vs_E1_v5_clean.json</t>
        </is>
      </c>
      <c r="F116" s="61" t="inlineStr">
        <is>
          <t>Experimentos/runs/E2_v3_clean_20260323_061213/comparacion_vs_E1_v5_clean.json</t>
        </is>
      </c>
      <c r="G116" s="61" t="inlineStr">
        <is>
          <t>Comparacion de la corrida clean contra E1_v5_clean.</t>
        </is>
      </c>
    </row>
    <row r="117" ht="15" customHeight="1" s="27">
      <c r="A117" s="61" t="inlineStr">
        <is>
          <t>2026-03-23 06:22:49</t>
        </is>
      </c>
      <c r="B117" s="61" t="inlineStr">
        <is>
          <t>E2_v3_clean</t>
        </is>
      </c>
      <c r="C117" s="61" t="inlineStr">
        <is>
          <t>E2</t>
        </is>
      </c>
      <c r="D117" s="61" t="inlineStr">
        <is>
          <t>comparacion</t>
        </is>
      </c>
      <c r="E117" s="61" t="inlineStr">
        <is>
          <t>comparacion_vs_E2_v1_clean.json</t>
        </is>
      </c>
      <c r="F117" s="61" t="inlineStr">
        <is>
          <t>Experimentos/runs/E2_v3_clean_20260323_061213/comparacion_vs_E2_v1_clean.json</t>
        </is>
      </c>
      <c r="G117" s="61" t="inlineStr">
        <is>
          <t>Comparacion de la corrida clean contra E2_v1_clean.</t>
        </is>
      </c>
    </row>
    <row r="118" ht="15" customHeight="1" s="27">
      <c r="A118" s="61" t="inlineStr">
        <is>
          <t>2026-03-23 06:22:49</t>
        </is>
      </c>
      <c r="B118" s="61" t="inlineStr">
        <is>
          <t>E2_v3_clean</t>
        </is>
      </c>
      <c r="C118" s="61" t="inlineStr">
        <is>
          <t>E2</t>
        </is>
      </c>
      <c r="D118" s="61" t="inlineStr">
        <is>
          <t>metricas</t>
        </is>
      </c>
      <c r="E118" s="61" t="inlineStr">
        <is>
          <t>metricas_horizonte.json</t>
        </is>
      </c>
      <c r="F118" s="61" t="inlineStr">
        <is>
          <t>Experimentos/runs/E2_v3_clean_20260323_061213/metricas_horizonte.json</t>
        </is>
      </c>
      <c r="G118" s="61" t="inlineStr">
        <is>
          <t>Resumen estructurado por horizonte.</t>
        </is>
      </c>
    </row>
    <row r="119" ht="15" customHeight="1" s="27">
      <c r="A119" s="61" t="inlineStr">
        <is>
          <t>2026-03-23 06:22:49</t>
        </is>
      </c>
      <c r="B119" s="61" t="inlineStr">
        <is>
          <t>E2_v3_clean</t>
        </is>
      </c>
      <c r="C119" s="61" t="inlineStr">
        <is>
          <t>E2</t>
        </is>
      </c>
      <c r="D119" s="61" t="inlineStr">
        <is>
          <t>metadata</t>
        </is>
      </c>
      <c r="E119" s="61" t="inlineStr">
        <is>
          <t>metadata_run.json</t>
        </is>
      </c>
      <c r="F119" s="61" t="inlineStr">
        <is>
          <t>Experimentos/runs/E2_v3_clean_20260323_061213/metadata_run.json</t>
        </is>
      </c>
      <c r="G119" s="61" t="inlineStr">
        <is>
          <t>Metadata base del run.</t>
        </is>
      </c>
    </row>
    <row r="120" ht="15" customHeight="1" s="27">
      <c r="A120" s="61" t="inlineStr">
        <is>
          <t>2026-03-23 07:32:24</t>
        </is>
      </c>
      <c r="B120" s="61" t="inlineStr">
        <is>
          <t>E3_v1_clean</t>
        </is>
      </c>
      <c r="C120" s="61" t="inlineStr">
        <is>
          <t>E3</t>
        </is>
      </c>
      <c r="D120" s="61" t="inlineStr">
        <is>
          <t>script_snapshot</t>
        </is>
      </c>
      <c r="E120" s="61" t="inlineStr">
        <is>
          <t>run_e3_random_forest.py</t>
        </is>
      </c>
      <c r="F120" s="61" t="inlineStr">
        <is>
          <t>Experimentos/runs/E3_v1_clean_20260323_073144/scripts/run_e3_random_forest.py</t>
        </is>
      </c>
      <c r="G120" s="61" t="inlineStr">
        <is>
          <t>Copia del script ejecutado para reproducibilidad.</t>
        </is>
      </c>
    </row>
    <row r="121" ht="15" customHeight="1" s="27">
      <c r="A121" s="61" t="inlineStr">
        <is>
          <t>2026-03-23 07:32:24</t>
        </is>
      </c>
      <c r="B121" s="61" t="inlineStr">
        <is>
          <t>E3_v1_clean</t>
        </is>
      </c>
      <c r="C121" s="61" t="inlineStr">
        <is>
          <t>E3</t>
        </is>
      </c>
      <c r="D121" s="61" t="inlineStr">
        <is>
          <t>parametros</t>
        </is>
      </c>
      <c r="E121" s="61" t="inlineStr">
        <is>
          <t>parametros_run.json</t>
        </is>
      </c>
      <c r="F121" s="61" t="inlineStr">
        <is>
          <t>Experimentos/runs/E3_v1_clean_20260323_073144/parametros_run.json</t>
        </is>
      </c>
      <c r="G121" s="61" t="inlineStr">
        <is>
          <t>Parametros del experimento.</t>
        </is>
      </c>
    </row>
    <row r="122" ht="15" customHeight="1" s="27">
      <c r="A122" s="61" t="inlineStr">
        <is>
          <t>2026-03-23 07:32:24</t>
        </is>
      </c>
      <c r="B122" s="61" t="inlineStr">
        <is>
          <t>E3_v1_clean</t>
        </is>
      </c>
      <c r="C122" s="61" t="inlineStr">
        <is>
          <t>E3</t>
        </is>
      </c>
      <c r="D122" s="61" t="inlineStr">
        <is>
          <t>seleccion_features</t>
        </is>
      </c>
      <c r="E122" s="61" t="inlineStr">
        <is>
          <t>features_seleccionadas_h1.csv</t>
        </is>
      </c>
      <c r="F122" s="61" t="inlineStr">
        <is>
          <t>Experimentos/runs/E3_v1_clean_20260323_073144/features_seleccionadas_h1.csv</t>
        </is>
      </c>
      <c r="G122" s="61" t="inlineStr">
        <is>
          <t>Resumen de combinaciones de features seleccionadas por fold externo. El filtro se calcula solo con el train de cada fold externo.</t>
        </is>
      </c>
    </row>
    <row r="123" ht="15" customHeight="1" s="27">
      <c r="A123" s="61" t="inlineStr">
        <is>
          <t>2026-03-23 07:32:24</t>
        </is>
      </c>
      <c r="B123" s="61" t="inlineStr">
        <is>
          <t>E3_v1_clean</t>
        </is>
      </c>
      <c r="C123" s="61" t="inlineStr">
        <is>
          <t>E3</t>
        </is>
      </c>
      <c r="D123" s="61" t="inlineStr">
        <is>
          <t>seleccion_features</t>
        </is>
      </c>
      <c r="E123" s="61" t="inlineStr">
        <is>
          <t>features_seleccionadas_h2.csv</t>
        </is>
      </c>
      <c r="F123" s="61" t="inlineStr">
        <is>
          <t>Experimentos/runs/E3_v1_clean_20260323_073144/features_seleccionadas_h2.csv</t>
        </is>
      </c>
      <c r="G123" s="61" t="inlineStr">
        <is>
          <t>Resumen de combinaciones de features seleccionadas por fold externo. El filtro se calcula solo con el train de cada fold externo.</t>
        </is>
      </c>
    </row>
    <row r="124" ht="15" customHeight="1" s="27">
      <c r="A124" s="61" t="inlineStr">
        <is>
          <t>2026-03-23 07:32:24</t>
        </is>
      </c>
      <c r="B124" s="61" t="inlineStr">
        <is>
          <t>E3_v1_clean</t>
        </is>
      </c>
      <c r="C124" s="61" t="inlineStr">
        <is>
          <t>E3</t>
        </is>
      </c>
      <c r="D124" s="61" t="inlineStr">
        <is>
          <t>seleccion_features</t>
        </is>
      </c>
      <c r="E124" s="61" t="inlineStr">
        <is>
          <t>features_seleccionadas_h3.csv</t>
        </is>
      </c>
      <c r="F124" s="61" t="inlineStr">
        <is>
          <t>Experimentos/runs/E3_v1_clean_20260323_073144/features_seleccionadas_h3.csv</t>
        </is>
      </c>
      <c r="G124" s="61" t="inlineStr">
        <is>
          <t>Resumen de combinaciones de features seleccionadas por fold externo. El filtro se calcula solo con el train de cada fold externo.</t>
        </is>
      </c>
    </row>
    <row r="125" ht="15" customHeight="1" s="27">
      <c r="A125" s="61" t="inlineStr">
        <is>
          <t>2026-03-23 07:32:24</t>
        </is>
      </c>
      <c r="B125" s="61" t="inlineStr">
        <is>
          <t>E3_v1_clean</t>
        </is>
      </c>
      <c r="C125" s="61" t="inlineStr">
        <is>
          <t>E3</t>
        </is>
      </c>
      <c r="D125" s="61" t="inlineStr">
        <is>
          <t>seleccion_features</t>
        </is>
      </c>
      <c r="E125" s="61" t="inlineStr">
        <is>
          <t>features_seleccionadas_h4.csv</t>
        </is>
      </c>
      <c r="F125" s="61" t="inlineStr">
        <is>
          <t>Experimentos/runs/E3_v1_clean_20260323_073144/features_seleccionadas_h4.csv</t>
        </is>
      </c>
      <c r="G125" s="61" t="inlineStr">
        <is>
          <t>Resumen de combinaciones de features seleccionadas por fold externo. El filtro se calcula solo con el train de cada fold externo.</t>
        </is>
      </c>
    </row>
    <row r="126" ht="15" customHeight="1" s="27">
      <c r="A126" s="61" t="inlineStr">
        <is>
          <t>2026-03-23 07:32:24</t>
        </is>
      </c>
      <c r="B126" s="61" t="inlineStr">
        <is>
          <t>E3_v1_clean</t>
        </is>
      </c>
      <c r="C126" s="61" t="inlineStr">
        <is>
          <t>E3</t>
        </is>
      </c>
      <c r="D126" s="61" t="inlineStr">
        <is>
          <t>predicciones</t>
        </is>
      </c>
      <c r="E126" s="61" t="inlineStr">
        <is>
          <t>predicciones_h1.csv</t>
        </is>
      </c>
      <c r="F126" s="61" t="inlineStr">
        <is>
          <t>Experimentos/runs/E3_v1_clean_20260323_073144/predicciones_h1.csv</t>
        </is>
      </c>
      <c r="G126" s="61" t="inlineStr">
        <is>
          <t>Predicciones walk-forward para horizonte 1.</t>
        </is>
      </c>
    </row>
    <row r="127" ht="15" customHeight="1" s="27">
      <c r="A127" s="61" t="inlineStr">
        <is>
          <t>2026-03-23 07:32:24</t>
        </is>
      </c>
      <c r="B127" s="61" t="inlineStr">
        <is>
          <t>E3_v1_clean</t>
        </is>
      </c>
      <c r="C127" s="61" t="inlineStr">
        <is>
          <t>E3</t>
        </is>
      </c>
      <c r="D127" s="61" t="inlineStr">
        <is>
          <t>predicciones</t>
        </is>
      </c>
      <c r="E127" s="61" t="inlineStr">
        <is>
          <t>predicciones_h2.csv</t>
        </is>
      </c>
      <c r="F127" s="61" t="inlineStr">
        <is>
          <t>Experimentos/runs/E3_v1_clean_20260323_073144/predicciones_h2.csv</t>
        </is>
      </c>
      <c r="G127" s="61" t="inlineStr">
        <is>
          <t>Predicciones walk-forward para horizonte 2.</t>
        </is>
      </c>
    </row>
    <row r="128" ht="15" customHeight="1" s="27">
      <c r="A128" s="61" t="inlineStr">
        <is>
          <t>2026-03-23 07:32:24</t>
        </is>
      </c>
      <c r="B128" s="61" t="inlineStr">
        <is>
          <t>E3_v1_clean</t>
        </is>
      </c>
      <c r="C128" s="61" t="inlineStr">
        <is>
          <t>E3</t>
        </is>
      </c>
      <c r="D128" s="61" t="inlineStr">
        <is>
          <t>predicciones</t>
        </is>
      </c>
      <c r="E128" s="61" t="inlineStr">
        <is>
          <t>predicciones_h3.csv</t>
        </is>
      </c>
      <c r="F128" s="61" t="inlineStr">
        <is>
          <t>Experimentos/runs/E3_v1_clean_20260323_073144/predicciones_h3.csv</t>
        </is>
      </c>
      <c r="G128" s="61" t="inlineStr">
        <is>
          <t>Predicciones walk-forward para horizonte 3.</t>
        </is>
      </c>
    </row>
    <row r="129" ht="15" customHeight="1" s="27">
      <c r="A129" s="61" t="inlineStr">
        <is>
          <t>2026-03-23 07:32:24</t>
        </is>
      </c>
      <c r="B129" s="61" t="inlineStr">
        <is>
          <t>E3_v1_clean</t>
        </is>
      </c>
      <c r="C129" s="61" t="inlineStr">
        <is>
          <t>E3</t>
        </is>
      </c>
      <c r="D129" s="61" t="inlineStr">
        <is>
          <t>predicciones</t>
        </is>
      </c>
      <c r="E129" s="61" t="inlineStr">
        <is>
          <t>predicciones_h4.csv</t>
        </is>
      </c>
      <c r="F129" s="61" t="inlineStr">
        <is>
          <t>Experimentos/runs/E3_v1_clean_20260323_073144/predicciones_h4.csv</t>
        </is>
      </c>
      <c r="G129" s="61" t="inlineStr">
        <is>
          <t>Predicciones walk-forward para horizonte 4.</t>
        </is>
      </c>
    </row>
    <row r="130" ht="15" customHeight="1" s="27">
      <c r="A130" s="61" t="inlineStr">
        <is>
          <t>2026-03-23 07:32:24</t>
        </is>
      </c>
      <c r="B130" s="61" t="inlineStr">
        <is>
          <t>E3_v1_clean</t>
        </is>
      </c>
      <c r="C130" s="61" t="inlineStr">
        <is>
          <t>E3</t>
        </is>
      </c>
      <c r="D130" s="61" t="inlineStr">
        <is>
          <t>resumen</t>
        </is>
      </c>
      <c r="E130" s="61" t="inlineStr">
        <is>
          <t>resumen_modeling_horizontes.json</t>
        </is>
      </c>
      <c r="F130" s="61" t="inlineStr">
        <is>
          <t>Experimentos/runs/E3_v1_clean_20260323_073144/resumen_modeling_horizontes.json</t>
        </is>
      </c>
      <c r="G130" s="61" t="inlineStr">
        <is>
          <t>Resumen de tamanos y seleccion de features por horizonte.</t>
        </is>
      </c>
    </row>
    <row r="131" ht="15" customHeight="1" s="27">
      <c r="A131" s="61" t="inlineStr">
        <is>
          <t>2026-03-23 07:32:24</t>
        </is>
      </c>
      <c r="B131" s="61" t="inlineStr">
        <is>
          <t>E3_v1_clean</t>
        </is>
      </c>
      <c r="C131" s="61" t="inlineStr">
        <is>
          <t>E3</t>
        </is>
      </c>
      <c r="D131" s="61" t="inlineStr">
        <is>
          <t>comparacion</t>
        </is>
      </c>
      <c r="E131" s="61" t="inlineStr">
        <is>
          <t>comparacion_vs_E1_v5_clean.json</t>
        </is>
      </c>
      <c r="F131" s="61" t="inlineStr">
        <is>
          <t>Experimentos/runs/E3_v1_clean_20260323_073144/comparacion_vs_E1_v5_clean.json</t>
        </is>
      </c>
      <c r="G131" s="61" t="inlineStr">
        <is>
          <t>Comparacion de la corrida clean contra E1_v5_clean.</t>
        </is>
      </c>
    </row>
    <row r="132" ht="15" customHeight="1" s="27">
      <c r="A132" s="61" t="inlineStr">
        <is>
          <t>2026-03-23 07:32:24</t>
        </is>
      </c>
      <c r="B132" s="61" t="inlineStr">
        <is>
          <t>E3_v1_clean</t>
        </is>
      </c>
      <c r="C132" s="61" t="inlineStr">
        <is>
          <t>E3</t>
        </is>
      </c>
      <c r="D132" s="61" t="inlineStr">
        <is>
          <t>comparacion</t>
        </is>
      </c>
      <c r="E132" s="61" t="inlineStr">
        <is>
          <t>comparacion_vs_E1_v4_clean.json</t>
        </is>
      </c>
      <c r="F132" s="61" t="inlineStr">
        <is>
          <t>Experimentos/runs/E3_v1_clean_20260323_073144/comparacion_vs_E1_v4_clean.json</t>
        </is>
      </c>
      <c r="G132" s="61" t="inlineStr">
        <is>
          <t>Comparacion de la corrida clean contra E1_v4_clean.</t>
        </is>
      </c>
    </row>
    <row r="133" ht="15" customHeight="1" s="27">
      <c r="A133" s="61" t="inlineStr">
        <is>
          <t>2026-03-23 07:32:24</t>
        </is>
      </c>
      <c r="B133" s="61" t="inlineStr">
        <is>
          <t>E3_v1_clean</t>
        </is>
      </c>
      <c r="C133" s="61" t="inlineStr">
        <is>
          <t>E3</t>
        </is>
      </c>
      <c r="D133" s="61" t="inlineStr">
        <is>
          <t>comparacion</t>
        </is>
      </c>
      <c r="E133" s="61" t="inlineStr">
        <is>
          <t>comparacion_vs_E2_v3_clean.json</t>
        </is>
      </c>
      <c r="F133" s="61" t="inlineStr">
        <is>
          <t>Experimentos/runs/E3_v1_clean_20260323_073144/comparacion_vs_E2_v3_clean.json</t>
        </is>
      </c>
      <c r="G133" s="61" t="inlineStr">
        <is>
          <t>Comparacion de la corrida clean contra E2_v3_clean.</t>
        </is>
      </c>
    </row>
    <row r="134" ht="15" customHeight="1" s="27">
      <c r="A134" s="61" t="inlineStr">
        <is>
          <t>2026-03-23 07:32:24</t>
        </is>
      </c>
      <c r="B134" s="61" t="inlineStr">
        <is>
          <t>E3_v1_clean</t>
        </is>
      </c>
      <c r="C134" s="61" t="inlineStr">
        <is>
          <t>E3</t>
        </is>
      </c>
      <c r="D134" s="61" t="inlineStr">
        <is>
          <t>metricas</t>
        </is>
      </c>
      <c r="E134" s="61" t="inlineStr">
        <is>
          <t>metricas_horizonte.json</t>
        </is>
      </c>
      <c r="F134" s="61" t="inlineStr">
        <is>
          <t>Experimentos/runs/E3_v1_clean_20260323_073144/metricas_horizonte.json</t>
        </is>
      </c>
      <c r="G134" s="61" t="inlineStr">
        <is>
          <t>Resumen estructurado por horizonte.</t>
        </is>
      </c>
    </row>
    <row r="135" ht="15" customHeight="1" s="27">
      <c r="A135" s="61" t="inlineStr">
        <is>
          <t>2026-03-23 07:32:24</t>
        </is>
      </c>
      <c r="B135" s="61" t="inlineStr">
        <is>
          <t>E3_v1_clean</t>
        </is>
      </c>
      <c r="C135" s="61" t="inlineStr">
        <is>
          <t>E3</t>
        </is>
      </c>
      <c r="D135" s="61" t="inlineStr">
        <is>
          <t>metadata</t>
        </is>
      </c>
      <c r="E135" s="61" t="inlineStr">
        <is>
          <t>metadata_run.json</t>
        </is>
      </c>
      <c r="F135" s="61" t="inlineStr">
        <is>
          <t>Experimentos/runs/E3_v1_clean_20260323_073144/metadata_run.json</t>
        </is>
      </c>
      <c r="G135" s="61" t="inlineStr">
        <is>
          <t>Metadata base del run.</t>
        </is>
      </c>
    </row>
    <row r="136" ht="15" customHeight="1" s="27">
      <c r="A136" s="61" t="inlineStr">
        <is>
          <t>2026-03-23 08:01:52</t>
        </is>
      </c>
      <c r="B136" s="61" t="inlineStr">
        <is>
          <t>E3_v3_clean</t>
        </is>
      </c>
      <c r="C136" s="61" t="inlineStr">
        <is>
          <t>E3</t>
        </is>
      </c>
      <c r="D136" s="61" t="inlineStr">
        <is>
          <t>script_snapshot</t>
        </is>
      </c>
      <c r="E136" s="61" t="inlineStr">
        <is>
          <t>run_e3_random_forest.py</t>
        </is>
      </c>
      <c r="F136" s="61" t="inlineStr">
        <is>
          <t>Experimentos/runs/E3_v3_clean_20260323_080110/scripts/run_e3_random_forest.py</t>
        </is>
      </c>
      <c r="G136" s="61" t="inlineStr">
        <is>
          <t>Copia del script ejecutado para reproducibilidad.</t>
        </is>
      </c>
    </row>
    <row r="137" ht="15" customHeight="1" s="27">
      <c r="A137" s="61" t="inlineStr">
        <is>
          <t>2026-03-23 08:01:52</t>
        </is>
      </c>
      <c r="B137" s="61" t="inlineStr">
        <is>
          <t>E3_v3_clean</t>
        </is>
      </c>
      <c r="C137" s="61" t="inlineStr">
        <is>
          <t>E3</t>
        </is>
      </c>
      <c r="D137" s="61" t="inlineStr">
        <is>
          <t>parametros</t>
        </is>
      </c>
      <c r="E137" s="61" t="inlineStr">
        <is>
          <t>parametros_run.json</t>
        </is>
      </c>
      <c r="F137" s="61" t="inlineStr">
        <is>
          <t>Experimentos/runs/E3_v3_clean_20260323_080110/parametros_run.json</t>
        </is>
      </c>
      <c r="G137" s="61" t="inlineStr">
        <is>
          <t>Parametros del experimento.</t>
        </is>
      </c>
    </row>
    <row r="138" ht="15" customHeight="1" s="27">
      <c r="A138" s="61" t="inlineStr">
        <is>
          <t>2026-03-23 08:01:52</t>
        </is>
      </c>
      <c r="B138" s="61" t="inlineStr">
        <is>
          <t>E3_v3_clean</t>
        </is>
      </c>
      <c r="C138" s="61" t="inlineStr">
        <is>
          <t>E3</t>
        </is>
      </c>
      <c r="D138" s="61" t="inlineStr">
        <is>
          <t>seleccion_features</t>
        </is>
      </c>
      <c r="E138" s="61" t="inlineStr">
        <is>
          <t>features_seleccionadas_h1.csv</t>
        </is>
      </c>
      <c r="F138" s="61" t="inlineStr">
        <is>
          <t>Experimentos/runs/E3_v3_clean_20260323_080110/features_seleccionadas_h1.csv</t>
        </is>
      </c>
      <c r="G138" s="61" t="inlineStr">
        <is>
          <t>Resumen de combinaciones de features seleccionadas por fold externo. El filtro se calcula solo con el train de cada fold externo.</t>
        </is>
      </c>
    </row>
    <row r="139" ht="15" customHeight="1" s="27">
      <c r="A139" s="61" t="inlineStr">
        <is>
          <t>2026-03-23 08:01:52</t>
        </is>
      </c>
      <c r="B139" s="61" t="inlineStr">
        <is>
          <t>E3_v3_clean</t>
        </is>
      </c>
      <c r="C139" s="61" t="inlineStr">
        <is>
          <t>E3</t>
        </is>
      </c>
      <c r="D139" s="61" t="inlineStr">
        <is>
          <t>seleccion_features</t>
        </is>
      </c>
      <c r="E139" s="61" t="inlineStr">
        <is>
          <t>features_seleccionadas_h2.csv</t>
        </is>
      </c>
      <c r="F139" s="61" t="inlineStr">
        <is>
          <t>Experimentos/runs/E3_v3_clean_20260323_080110/features_seleccionadas_h2.csv</t>
        </is>
      </c>
      <c r="G139" s="61" t="inlineStr">
        <is>
          <t>Resumen de combinaciones de features seleccionadas por fold externo. El filtro se calcula solo con el train de cada fold externo.</t>
        </is>
      </c>
    </row>
    <row r="140" ht="15" customHeight="1" s="27">
      <c r="A140" s="61" t="inlineStr">
        <is>
          <t>2026-03-23 08:01:52</t>
        </is>
      </c>
      <c r="B140" s="61" t="inlineStr">
        <is>
          <t>E3_v3_clean</t>
        </is>
      </c>
      <c r="C140" s="61" t="inlineStr">
        <is>
          <t>E3</t>
        </is>
      </c>
      <c r="D140" s="61" t="inlineStr">
        <is>
          <t>seleccion_features</t>
        </is>
      </c>
      <c r="E140" s="61" t="inlineStr">
        <is>
          <t>features_seleccionadas_h3.csv</t>
        </is>
      </c>
      <c r="F140" s="61" t="inlineStr">
        <is>
          <t>Experimentos/runs/E3_v3_clean_20260323_080110/features_seleccionadas_h3.csv</t>
        </is>
      </c>
      <c r="G140" s="61" t="inlineStr">
        <is>
          <t>Resumen de combinaciones de features seleccionadas por fold externo. El filtro se calcula solo con el train de cada fold externo.</t>
        </is>
      </c>
    </row>
    <row r="141" ht="15" customHeight="1" s="27">
      <c r="A141" s="61" t="inlineStr">
        <is>
          <t>2026-03-23 08:01:52</t>
        </is>
      </c>
      <c r="B141" s="61" t="inlineStr">
        <is>
          <t>E3_v3_clean</t>
        </is>
      </c>
      <c r="C141" s="61" t="inlineStr">
        <is>
          <t>E3</t>
        </is>
      </c>
      <c r="D141" s="61" t="inlineStr">
        <is>
          <t>seleccion_features</t>
        </is>
      </c>
      <c r="E141" s="61" t="inlineStr">
        <is>
          <t>features_seleccionadas_h4.csv</t>
        </is>
      </c>
      <c r="F141" s="61" t="inlineStr">
        <is>
          <t>Experimentos/runs/E3_v3_clean_20260323_080110/features_seleccionadas_h4.csv</t>
        </is>
      </c>
      <c r="G141" s="61" t="inlineStr">
        <is>
          <t>Resumen de combinaciones de features seleccionadas por fold externo. El filtro se calcula solo con el train de cada fold externo.</t>
        </is>
      </c>
    </row>
    <row r="142" ht="15" customHeight="1" s="27">
      <c r="A142" s="61" t="inlineStr">
        <is>
          <t>2026-03-23 08:01:52</t>
        </is>
      </c>
      <c r="B142" s="61" t="inlineStr">
        <is>
          <t>E3_v3_clean</t>
        </is>
      </c>
      <c r="C142" s="61" t="inlineStr">
        <is>
          <t>E3</t>
        </is>
      </c>
      <c r="D142" s="61" t="inlineStr">
        <is>
          <t>predicciones</t>
        </is>
      </c>
      <c r="E142" s="61" t="inlineStr">
        <is>
          <t>predicciones_h1.csv</t>
        </is>
      </c>
      <c r="F142" s="61" t="inlineStr">
        <is>
          <t>Experimentos/runs/E3_v3_clean_20260323_080110/predicciones_h1.csv</t>
        </is>
      </c>
      <c r="G142" s="61" t="inlineStr">
        <is>
          <t>Predicciones walk-forward para horizonte 1.</t>
        </is>
      </c>
    </row>
    <row r="143" ht="15" customHeight="1" s="27">
      <c r="A143" s="61" t="inlineStr">
        <is>
          <t>2026-03-23 08:01:52</t>
        </is>
      </c>
      <c r="B143" s="61" t="inlineStr">
        <is>
          <t>E3_v3_clean</t>
        </is>
      </c>
      <c r="C143" s="61" t="inlineStr">
        <is>
          <t>E3</t>
        </is>
      </c>
      <c r="D143" s="61" t="inlineStr">
        <is>
          <t>predicciones</t>
        </is>
      </c>
      <c r="E143" s="61" t="inlineStr">
        <is>
          <t>predicciones_h2.csv</t>
        </is>
      </c>
      <c r="F143" s="61" t="inlineStr">
        <is>
          <t>Experimentos/runs/E3_v3_clean_20260323_080110/predicciones_h2.csv</t>
        </is>
      </c>
      <c r="G143" s="61" t="inlineStr">
        <is>
          <t>Predicciones walk-forward para horizonte 2.</t>
        </is>
      </c>
    </row>
    <row r="144" ht="15" customHeight="1" s="27">
      <c r="A144" s="61" t="inlineStr">
        <is>
          <t>2026-03-23 08:01:52</t>
        </is>
      </c>
      <c r="B144" s="61" t="inlineStr">
        <is>
          <t>E3_v3_clean</t>
        </is>
      </c>
      <c r="C144" s="61" t="inlineStr">
        <is>
          <t>E3</t>
        </is>
      </c>
      <c r="D144" s="61" t="inlineStr">
        <is>
          <t>predicciones</t>
        </is>
      </c>
      <c r="E144" s="61" t="inlineStr">
        <is>
          <t>predicciones_h3.csv</t>
        </is>
      </c>
      <c r="F144" s="61" t="inlineStr">
        <is>
          <t>Experimentos/runs/E3_v3_clean_20260323_080110/predicciones_h3.csv</t>
        </is>
      </c>
      <c r="G144" s="61" t="inlineStr">
        <is>
          <t>Predicciones walk-forward para horizonte 3.</t>
        </is>
      </c>
    </row>
    <row r="145" ht="15" customHeight="1" s="27">
      <c r="A145" s="61" t="inlineStr">
        <is>
          <t>2026-03-23 08:01:52</t>
        </is>
      </c>
      <c r="B145" s="61" t="inlineStr">
        <is>
          <t>E3_v3_clean</t>
        </is>
      </c>
      <c r="C145" s="61" t="inlineStr">
        <is>
          <t>E3</t>
        </is>
      </c>
      <c r="D145" s="61" t="inlineStr">
        <is>
          <t>predicciones</t>
        </is>
      </c>
      <c r="E145" s="61" t="inlineStr">
        <is>
          <t>predicciones_h4.csv</t>
        </is>
      </c>
      <c r="F145" s="61" t="inlineStr">
        <is>
          <t>Experimentos/runs/E3_v3_clean_20260323_080110/predicciones_h4.csv</t>
        </is>
      </c>
      <c r="G145" s="61" t="inlineStr">
        <is>
          <t>Predicciones walk-forward para horizonte 4.</t>
        </is>
      </c>
    </row>
    <row r="146" ht="15" customHeight="1" s="27">
      <c r="A146" s="61" t="inlineStr">
        <is>
          <t>2026-03-23 08:01:52</t>
        </is>
      </c>
      <c r="B146" s="61" t="inlineStr">
        <is>
          <t>E3_v3_clean</t>
        </is>
      </c>
      <c r="C146" s="61" t="inlineStr">
        <is>
          <t>E3</t>
        </is>
      </c>
      <c r="D146" s="61" t="inlineStr">
        <is>
          <t>resumen</t>
        </is>
      </c>
      <c r="E146" s="61" t="inlineStr">
        <is>
          <t>resumen_modeling_horizontes.json</t>
        </is>
      </c>
      <c r="F146" s="61" t="inlineStr">
        <is>
          <t>Experimentos/runs/E3_v3_clean_20260323_080110/resumen_modeling_horizontes.json</t>
        </is>
      </c>
      <c r="G146" s="61" t="inlineStr">
        <is>
          <t>Resumen de tamanos y seleccion de features por horizonte.</t>
        </is>
      </c>
    </row>
    <row r="147" ht="15" customHeight="1" s="27">
      <c r="A147" s="61" t="inlineStr">
        <is>
          <t>2026-03-23 08:01:52</t>
        </is>
      </c>
      <c r="B147" s="61" t="inlineStr">
        <is>
          <t>E3_v3_clean</t>
        </is>
      </c>
      <c r="C147" s="61" t="inlineStr">
        <is>
          <t>E3</t>
        </is>
      </c>
      <c r="D147" s="61" t="inlineStr">
        <is>
          <t>comparacion</t>
        </is>
      </c>
      <c r="E147" s="61" t="inlineStr">
        <is>
          <t>comparacion_vs_E3_v1_clean.json</t>
        </is>
      </c>
      <c r="F147" s="61" t="inlineStr">
        <is>
          <t>Experimentos/runs/E3_v3_clean_20260323_080110/comparacion_vs_E3_v1_clean.json</t>
        </is>
      </c>
      <c r="G147" s="61" t="inlineStr">
        <is>
          <t>Comparacion de la corrida clean contra E3_v1_clean.</t>
        </is>
      </c>
    </row>
    <row r="148" ht="15" customHeight="1" s="27">
      <c r="A148" s="61" t="inlineStr">
        <is>
          <t>2026-03-23 08:01:52</t>
        </is>
      </c>
      <c r="B148" s="61" t="inlineStr">
        <is>
          <t>E3_v3_clean</t>
        </is>
      </c>
      <c r="C148" s="61" t="inlineStr">
        <is>
          <t>E3</t>
        </is>
      </c>
      <c r="D148" s="61" t="inlineStr">
        <is>
          <t>comparacion</t>
        </is>
      </c>
      <c r="E148" s="61" t="inlineStr">
        <is>
          <t>comparacion_vs_E2_v3_clean.json</t>
        </is>
      </c>
      <c r="F148" s="61" t="inlineStr">
        <is>
          <t>Experimentos/runs/E3_v3_clean_20260323_080110/comparacion_vs_E2_v3_clean.json</t>
        </is>
      </c>
      <c r="G148" s="61" t="inlineStr">
        <is>
          <t>Comparacion de la corrida clean contra E2_v3_clean.</t>
        </is>
      </c>
    </row>
    <row r="149" ht="15" customHeight="1" s="27">
      <c r="A149" s="61" t="inlineStr">
        <is>
          <t>2026-03-23 08:01:52</t>
        </is>
      </c>
      <c r="B149" s="61" t="inlineStr">
        <is>
          <t>E3_v3_clean</t>
        </is>
      </c>
      <c r="C149" s="61" t="inlineStr">
        <is>
          <t>E3</t>
        </is>
      </c>
      <c r="D149" s="61" t="inlineStr">
        <is>
          <t>comparacion</t>
        </is>
      </c>
      <c r="E149" s="61" t="inlineStr">
        <is>
          <t>comparacion_vs_E1_v4_clean.json</t>
        </is>
      </c>
      <c r="F149" s="61" t="inlineStr">
        <is>
          <t>Experimentos/runs/E3_v3_clean_20260323_080110/comparacion_vs_E1_v4_clean.json</t>
        </is>
      </c>
      <c r="G149" s="61" t="inlineStr">
        <is>
          <t>Comparacion de la corrida clean contra E1_v4_clean.</t>
        </is>
      </c>
    </row>
    <row r="150" ht="15" customHeight="1" s="27">
      <c r="A150" s="61" t="inlineStr">
        <is>
          <t>2026-03-23 08:01:52</t>
        </is>
      </c>
      <c r="B150" s="61" t="inlineStr">
        <is>
          <t>E3_v3_clean</t>
        </is>
      </c>
      <c r="C150" s="61" t="inlineStr">
        <is>
          <t>E3</t>
        </is>
      </c>
      <c r="D150" s="61" t="inlineStr">
        <is>
          <t>comparacion</t>
        </is>
      </c>
      <c r="E150" s="61" t="inlineStr">
        <is>
          <t>comparacion_vs_E1_v5_clean.json</t>
        </is>
      </c>
      <c r="F150" s="61" t="inlineStr">
        <is>
          <t>Experimentos/runs/E3_v3_clean_20260323_080110/comparacion_vs_E1_v5_clean.json</t>
        </is>
      </c>
      <c r="G150" s="61" t="inlineStr">
        <is>
          <t>Comparacion de la corrida clean contra E1_v5_clean.</t>
        </is>
      </c>
    </row>
    <row r="151" ht="15" customHeight="1" s="27">
      <c r="A151" s="61" t="inlineStr">
        <is>
          <t>2026-03-23 08:01:52</t>
        </is>
      </c>
      <c r="B151" s="61" t="inlineStr">
        <is>
          <t>E3_v3_clean</t>
        </is>
      </c>
      <c r="C151" s="61" t="inlineStr">
        <is>
          <t>E3</t>
        </is>
      </c>
      <c r="D151" s="61" t="inlineStr">
        <is>
          <t>metricas</t>
        </is>
      </c>
      <c r="E151" s="61" t="inlineStr">
        <is>
          <t>metricas_horizonte.json</t>
        </is>
      </c>
      <c r="F151" s="61" t="inlineStr">
        <is>
          <t>Experimentos/runs/E3_v3_clean_20260323_080110/metricas_horizonte.json</t>
        </is>
      </c>
      <c r="G151" s="61" t="inlineStr">
        <is>
          <t>Resumen estructurado por horizonte.</t>
        </is>
      </c>
    </row>
    <row r="152" ht="15" customHeight="1" s="27">
      <c r="A152" s="61" t="inlineStr">
        <is>
          <t>2026-03-23 08:01:52</t>
        </is>
      </c>
      <c r="B152" s="61" t="inlineStr">
        <is>
          <t>E3_v3_clean</t>
        </is>
      </c>
      <c r="C152" s="61" t="inlineStr">
        <is>
          <t>E3</t>
        </is>
      </c>
      <c r="D152" s="61" t="inlineStr">
        <is>
          <t>metadata</t>
        </is>
      </c>
      <c r="E152" s="61" t="inlineStr">
        <is>
          <t>metadata_run.json</t>
        </is>
      </c>
      <c r="F152" s="61" t="inlineStr">
        <is>
          <t>Experimentos/runs/E3_v3_clean_20260323_080110/metadata_run.json</t>
        </is>
      </c>
      <c r="G152" s="61" t="inlineStr">
        <is>
          <t>Metadata base del run.</t>
        </is>
      </c>
    </row>
    <row r="153" ht="15" customHeight="1" s="27">
      <c r="A153" s="61" t="inlineStr">
        <is>
          <t>2026-03-25 04:59:55</t>
        </is>
      </c>
      <c r="B153" s="61" t="inlineStr">
        <is>
          <t>E3_v2_clean</t>
        </is>
      </c>
      <c r="C153" s="61" t="inlineStr">
        <is>
          <t>E3</t>
        </is>
      </c>
      <c r="D153" s="61" t="inlineStr">
        <is>
          <t>script_snapshot</t>
        </is>
      </c>
      <c r="E153" s="61" t="inlineStr">
        <is>
          <t>run_e3_random_forest.py</t>
        </is>
      </c>
      <c r="F153" s="61" t="inlineStr">
        <is>
          <t>Experimentos/runs/E3_v2_clean_20260325_045918/scripts/run_e3_random_forest.py</t>
        </is>
      </c>
      <c r="G153" s="61" t="inlineStr">
        <is>
          <t>Copia del script ejecutado para reproducibilidad.</t>
        </is>
      </c>
    </row>
    <row r="154" ht="15" customHeight="1" s="27">
      <c r="A154" s="61" t="inlineStr">
        <is>
          <t>2026-03-25 04:59:55</t>
        </is>
      </c>
      <c r="B154" s="61" t="inlineStr">
        <is>
          <t>E3_v2_clean</t>
        </is>
      </c>
      <c r="C154" s="61" t="inlineStr">
        <is>
          <t>E3</t>
        </is>
      </c>
      <c r="D154" s="61" t="inlineStr">
        <is>
          <t>parametros</t>
        </is>
      </c>
      <c r="E154" s="61" t="inlineStr">
        <is>
          <t>parametros_run.json</t>
        </is>
      </c>
      <c r="F154" s="61" t="inlineStr">
        <is>
          <t>Experimentos/runs/E3_v2_clean_20260325_045918/parametros_run.json</t>
        </is>
      </c>
      <c r="G154" s="61" t="inlineStr">
        <is>
          <t>Parametros del experimento.</t>
        </is>
      </c>
    </row>
    <row r="155" ht="15" customHeight="1" s="27">
      <c r="A155" s="61" t="inlineStr">
        <is>
          <t>2026-03-25 04:59:55</t>
        </is>
      </c>
      <c r="B155" s="61" t="inlineStr">
        <is>
          <t>E3_v2_clean</t>
        </is>
      </c>
      <c r="C155" s="61" t="inlineStr">
        <is>
          <t>E3</t>
        </is>
      </c>
      <c r="D155" s="61" t="inlineStr">
        <is>
          <t>predicciones</t>
        </is>
      </c>
      <c r="E155" s="61" t="inlineStr">
        <is>
          <t>predicciones_h1.csv</t>
        </is>
      </c>
      <c r="F155" s="61" t="inlineStr">
        <is>
          <t>Experimentos/runs/E3_v2_clean_20260325_045918/predicciones_h1.csv</t>
        </is>
      </c>
      <c r="G155" s="61" t="inlineStr">
        <is>
          <t>Predicciones walk-forward para horizonte 1.</t>
        </is>
      </c>
    </row>
    <row r="156" ht="15" customHeight="1" s="27">
      <c r="A156" s="61" t="inlineStr">
        <is>
          <t>2026-03-25 04:59:55</t>
        </is>
      </c>
      <c r="B156" s="61" t="inlineStr">
        <is>
          <t>E3_v2_clean</t>
        </is>
      </c>
      <c r="C156" s="61" t="inlineStr">
        <is>
          <t>E3</t>
        </is>
      </c>
      <c r="D156" s="61" t="inlineStr">
        <is>
          <t>predicciones</t>
        </is>
      </c>
      <c r="E156" s="61" t="inlineStr">
        <is>
          <t>predicciones_h2.csv</t>
        </is>
      </c>
      <c r="F156" s="61" t="inlineStr">
        <is>
          <t>Experimentos/runs/E3_v2_clean_20260325_045918/predicciones_h2.csv</t>
        </is>
      </c>
      <c r="G156" s="61" t="inlineStr">
        <is>
          <t>Predicciones walk-forward para horizonte 2.</t>
        </is>
      </c>
    </row>
    <row r="157" ht="15" customHeight="1" s="27">
      <c r="A157" s="61" t="inlineStr">
        <is>
          <t>2026-03-25 04:59:55</t>
        </is>
      </c>
      <c r="B157" s="61" t="inlineStr">
        <is>
          <t>E3_v2_clean</t>
        </is>
      </c>
      <c r="C157" s="61" t="inlineStr">
        <is>
          <t>E3</t>
        </is>
      </c>
      <c r="D157" s="61" t="inlineStr">
        <is>
          <t>predicciones</t>
        </is>
      </c>
      <c r="E157" s="61" t="inlineStr">
        <is>
          <t>predicciones_h3.csv</t>
        </is>
      </c>
      <c r="F157" s="61" t="inlineStr">
        <is>
          <t>Experimentos/runs/E3_v2_clean_20260325_045918/predicciones_h3.csv</t>
        </is>
      </c>
      <c r="G157" s="61" t="inlineStr">
        <is>
          <t>Predicciones walk-forward para horizonte 3.</t>
        </is>
      </c>
    </row>
    <row r="158" ht="15" customHeight="1" s="27">
      <c r="A158" s="61" t="inlineStr">
        <is>
          <t>2026-03-25 04:59:55</t>
        </is>
      </c>
      <c r="B158" s="61" t="inlineStr">
        <is>
          <t>E3_v2_clean</t>
        </is>
      </c>
      <c r="C158" s="61" t="inlineStr">
        <is>
          <t>E3</t>
        </is>
      </c>
      <c r="D158" s="61" t="inlineStr">
        <is>
          <t>predicciones</t>
        </is>
      </c>
      <c r="E158" s="61" t="inlineStr">
        <is>
          <t>predicciones_h4.csv</t>
        </is>
      </c>
      <c r="F158" s="61" t="inlineStr">
        <is>
          <t>Experimentos/runs/E3_v2_clean_20260325_045918/predicciones_h4.csv</t>
        </is>
      </c>
      <c r="G158" s="61" t="inlineStr">
        <is>
          <t>Predicciones walk-forward para horizonte 4.</t>
        </is>
      </c>
    </row>
    <row r="159" ht="15" customHeight="1" s="27">
      <c r="A159" s="61" t="inlineStr">
        <is>
          <t>2026-03-25 04:59:55</t>
        </is>
      </c>
      <c r="B159" s="61" t="inlineStr">
        <is>
          <t>E3_v2_clean</t>
        </is>
      </c>
      <c r="C159" s="61" t="inlineStr">
        <is>
          <t>E3</t>
        </is>
      </c>
      <c r="D159" s="61" t="inlineStr">
        <is>
          <t>resumen</t>
        </is>
      </c>
      <c r="E159" s="61" t="inlineStr">
        <is>
          <t>resumen_modeling_horizontes.json</t>
        </is>
      </c>
      <c r="F159" s="61" t="inlineStr">
        <is>
          <t>Experimentos/runs/E3_v2_clean_20260325_045918/resumen_modeling_horizontes.json</t>
        </is>
      </c>
      <c r="G159" s="61" t="inlineStr">
        <is>
          <t>Resumen de tamanos y seleccion de features por horizonte.</t>
        </is>
      </c>
    </row>
    <row r="160" ht="15" customHeight="1" s="27">
      <c r="A160" s="61" t="inlineStr">
        <is>
          <t>2026-03-25 04:59:55</t>
        </is>
      </c>
      <c r="B160" s="61" t="inlineStr">
        <is>
          <t>E3_v2_clean</t>
        </is>
      </c>
      <c r="C160" s="61" t="inlineStr">
        <is>
          <t>E3</t>
        </is>
      </c>
      <c r="D160" s="61" t="inlineStr">
        <is>
          <t>comparacion</t>
        </is>
      </c>
      <c r="E160" s="61" t="inlineStr">
        <is>
          <t>comparacion_vs_E1_v5_clean.json</t>
        </is>
      </c>
      <c r="F160" s="61" t="inlineStr">
        <is>
          <t>Experimentos/runs/E3_v2_clean_20260325_045918/comparacion_vs_E1_v5_clean.json</t>
        </is>
      </c>
      <c r="G160" s="61" t="inlineStr">
        <is>
          <t>Comparacion de la corrida clean contra E1_v5_clean.</t>
        </is>
      </c>
    </row>
    <row r="161" ht="15" customHeight="1" s="27">
      <c r="A161" s="61" t="inlineStr">
        <is>
          <t>2026-03-25 04:59:55</t>
        </is>
      </c>
      <c r="B161" s="61" t="inlineStr">
        <is>
          <t>E3_v2_clean</t>
        </is>
      </c>
      <c r="C161" s="61" t="inlineStr">
        <is>
          <t>E3</t>
        </is>
      </c>
      <c r="D161" s="61" t="inlineStr">
        <is>
          <t>comparacion</t>
        </is>
      </c>
      <c r="E161" s="61" t="inlineStr">
        <is>
          <t>comparacion_vs_E1_v4_clean.json</t>
        </is>
      </c>
      <c r="F161" s="61" t="inlineStr">
        <is>
          <t>Experimentos/runs/E3_v2_clean_20260325_045918/comparacion_vs_E1_v4_clean.json</t>
        </is>
      </c>
      <c r="G161" s="61" t="inlineStr">
        <is>
          <t>Comparacion de la corrida clean contra E1_v4_clean.</t>
        </is>
      </c>
    </row>
    <row r="162" ht="15" customHeight="1" s="27">
      <c r="A162" s="61" t="inlineStr">
        <is>
          <t>2026-03-25 04:59:55</t>
        </is>
      </c>
      <c r="B162" s="61" t="inlineStr">
        <is>
          <t>E3_v2_clean</t>
        </is>
      </c>
      <c r="C162" s="61" t="inlineStr">
        <is>
          <t>E3</t>
        </is>
      </c>
      <c r="D162" s="61" t="inlineStr">
        <is>
          <t>comparacion</t>
        </is>
      </c>
      <c r="E162" s="61" t="inlineStr">
        <is>
          <t>comparacion_vs_E2_v3_clean.json</t>
        </is>
      </c>
      <c r="F162" s="61" t="inlineStr">
        <is>
          <t>Experimentos/runs/E3_v2_clean_20260325_045918/comparacion_vs_E2_v3_clean.json</t>
        </is>
      </c>
      <c r="G162" s="61" t="inlineStr">
        <is>
          <t>Comparacion de la corrida clean contra E2_v3_clean.</t>
        </is>
      </c>
    </row>
    <row r="163" ht="15" customHeight="1" s="27">
      <c r="A163" s="61" t="inlineStr">
        <is>
          <t>2026-03-25 04:59:55</t>
        </is>
      </c>
      <c r="B163" s="61" t="inlineStr">
        <is>
          <t>E3_v2_clean</t>
        </is>
      </c>
      <c r="C163" s="61" t="inlineStr">
        <is>
          <t>E3</t>
        </is>
      </c>
      <c r="D163" s="61" t="inlineStr">
        <is>
          <t>comparacion</t>
        </is>
      </c>
      <c r="E163" s="61" t="inlineStr">
        <is>
          <t>comparacion_vs_E3_v1_clean.json</t>
        </is>
      </c>
      <c r="F163" s="61" t="inlineStr">
        <is>
          <t>Experimentos/runs/E3_v2_clean_20260325_045918/comparacion_vs_E3_v1_clean.json</t>
        </is>
      </c>
      <c r="G163" s="61" t="inlineStr">
        <is>
          <t>Comparacion de la corrida clean contra E3_v1_clean.</t>
        </is>
      </c>
    </row>
    <row r="164" ht="15" customHeight="1" s="27">
      <c r="A164" s="61" t="inlineStr">
        <is>
          <t>2026-03-25 04:59:55</t>
        </is>
      </c>
      <c r="B164" s="61" t="inlineStr">
        <is>
          <t>E3_v2_clean</t>
        </is>
      </c>
      <c r="C164" s="61" t="inlineStr">
        <is>
          <t>E3</t>
        </is>
      </c>
      <c r="D164" s="61" t="inlineStr">
        <is>
          <t>metricas</t>
        </is>
      </c>
      <c r="E164" s="61" t="inlineStr">
        <is>
          <t>metricas_horizonte.json</t>
        </is>
      </c>
      <c r="F164" s="61" t="inlineStr">
        <is>
          <t>Experimentos/runs/E3_v2_clean_20260325_045918/metricas_horizonte.json</t>
        </is>
      </c>
      <c r="G164" s="61" t="inlineStr">
        <is>
          <t>Resumen estructurado por horizonte.</t>
        </is>
      </c>
    </row>
    <row r="165" ht="15" customHeight="1" s="27">
      <c r="A165" s="61" t="inlineStr">
        <is>
          <t>2026-03-25 04:59:55</t>
        </is>
      </c>
      <c r="B165" s="61" t="inlineStr">
        <is>
          <t>E3_v2_clean</t>
        </is>
      </c>
      <c r="C165" s="61" t="inlineStr">
        <is>
          <t>E3</t>
        </is>
      </c>
      <c r="D165" s="61" t="inlineStr">
        <is>
          <t>metadata</t>
        </is>
      </c>
      <c r="E165" s="61" t="inlineStr">
        <is>
          <t>metadata_run.json</t>
        </is>
      </c>
      <c r="F165" s="61" t="inlineStr">
        <is>
          <t>Experimentos/runs/E3_v2_clean_20260325_045918/metadata_run.json</t>
        </is>
      </c>
      <c r="G165" s="61" t="inlineStr">
        <is>
          <t>Metadata base del run.</t>
        </is>
      </c>
    </row>
    <row r="166" ht="15" customHeight="1" s="27">
      <c r="A166" s="61" t="inlineStr">
        <is>
          <t>2026-03-25 05:21:02</t>
        </is>
      </c>
      <c r="B166" s="61" t="inlineStr">
        <is>
          <t>E4_v1_clean</t>
        </is>
      </c>
      <c r="C166" s="61" t="inlineStr">
        <is>
          <t>E4</t>
        </is>
      </c>
      <c r="D166" s="61" t="inlineStr">
        <is>
          <t>script_snapshot</t>
        </is>
      </c>
      <c r="E166" s="61" t="inlineStr">
        <is>
          <t>run_e4_xgboost.py</t>
        </is>
      </c>
      <c r="F166" s="61" t="inlineStr">
        <is>
          <t>Experimentos/runs/E4_v1_clean_20260325_052051/scripts/run_e4_xgboost.py</t>
        </is>
      </c>
      <c r="G166" s="61" t="inlineStr">
        <is>
          <t>Copia del script ejecutado para reproducibilidad.</t>
        </is>
      </c>
    </row>
    <row r="167" ht="15" customHeight="1" s="27">
      <c r="A167" s="61" t="inlineStr">
        <is>
          <t>2026-03-25 05:21:02</t>
        </is>
      </c>
      <c r="B167" s="61" t="inlineStr">
        <is>
          <t>E4_v1_clean</t>
        </is>
      </c>
      <c r="C167" s="61" t="inlineStr">
        <is>
          <t>E4</t>
        </is>
      </c>
      <c r="D167" s="61" t="inlineStr">
        <is>
          <t>parametros</t>
        </is>
      </c>
      <c r="E167" s="61" t="inlineStr">
        <is>
          <t>parametros_run.json</t>
        </is>
      </c>
      <c r="F167" s="61" t="inlineStr">
        <is>
          <t>Experimentos/runs/E4_v1_clean_20260325_052051/parametros_run.json</t>
        </is>
      </c>
      <c r="G167" s="61" t="inlineStr">
        <is>
          <t>Parametros del experimento.</t>
        </is>
      </c>
    </row>
    <row r="168" ht="15" customHeight="1" s="27">
      <c r="A168" s="61" t="inlineStr">
        <is>
          <t>2026-03-25 05:21:02</t>
        </is>
      </c>
      <c r="B168" s="61" t="inlineStr">
        <is>
          <t>E4_v1_clean</t>
        </is>
      </c>
      <c r="C168" s="61" t="inlineStr">
        <is>
          <t>E4</t>
        </is>
      </c>
      <c r="D168" s="61" t="inlineStr">
        <is>
          <t>predicciones</t>
        </is>
      </c>
      <c r="E168" s="61" t="inlineStr">
        <is>
          <t>predicciones_h1.csv</t>
        </is>
      </c>
      <c r="F168" s="61" t="inlineStr">
        <is>
          <t>Experimentos/runs/E4_v1_clean_20260325_052051/predicciones_h1.csv</t>
        </is>
      </c>
      <c r="G168" s="61" t="inlineStr">
        <is>
          <t>Predicciones walk-forward para horizonte 1.</t>
        </is>
      </c>
    </row>
    <row r="169" ht="15" customHeight="1" s="27">
      <c r="A169" s="61" t="inlineStr">
        <is>
          <t>2026-03-25 05:21:02</t>
        </is>
      </c>
      <c r="B169" s="61" t="inlineStr">
        <is>
          <t>E4_v1_clean</t>
        </is>
      </c>
      <c r="C169" s="61" t="inlineStr">
        <is>
          <t>E4</t>
        </is>
      </c>
      <c r="D169" s="61" t="inlineStr">
        <is>
          <t>predicciones</t>
        </is>
      </c>
      <c r="E169" s="61" t="inlineStr">
        <is>
          <t>predicciones_h2.csv</t>
        </is>
      </c>
      <c r="F169" s="61" t="inlineStr">
        <is>
          <t>Experimentos/runs/E4_v1_clean_20260325_052051/predicciones_h2.csv</t>
        </is>
      </c>
      <c r="G169" s="61" t="inlineStr">
        <is>
          <t>Predicciones walk-forward para horizonte 2.</t>
        </is>
      </c>
    </row>
    <row r="170" ht="15" customHeight="1" s="27">
      <c r="A170" s="61" t="inlineStr">
        <is>
          <t>2026-03-25 05:21:02</t>
        </is>
      </c>
      <c r="B170" s="61" t="inlineStr">
        <is>
          <t>E4_v1_clean</t>
        </is>
      </c>
      <c r="C170" s="61" t="inlineStr">
        <is>
          <t>E4</t>
        </is>
      </c>
      <c r="D170" s="61" t="inlineStr">
        <is>
          <t>predicciones</t>
        </is>
      </c>
      <c r="E170" s="61" t="inlineStr">
        <is>
          <t>predicciones_h3.csv</t>
        </is>
      </c>
      <c r="F170" s="61" t="inlineStr">
        <is>
          <t>Experimentos/runs/E4_v1_clean_20260325_052051/predicciones_h3.csv</t>
        </is>
      </c>
      <c r="G170" s="61" t="inlineStr">
        <is>
          <t>Predicciones walk-forward para horizonte 3.</t>
        </is>
      </c>
    </row>
    <row r="171" ht="15" customHeight="1" s="27">
      <c r="A171" s="61" t="inlineStr">
        <is>
          <t>2026-03-25 05:21:02</t>
        </is>
      </c>
      <c r="B171" s="61" t="inlineStr">
        <is>
          <t>E4_v1_clean</t>
        </is>
      </c>
      <c r="C171" s="61" t="inlineStr">
        <is>
          <t>E4</t>
        </is>
      </c>
      <c r="D171" s="61" t="inlineStr">
        <is>
          <t>predicciones</t>
        </is>
      </c>
      <c r="E171" s="61" t="inlineStr">
        <is>
          <t>predicciones_h4.csv</t>
        </is>
      </c>
      <c r="F171" s="61" t="inlineStr">
        <is>
          <t>Experimentos/runs/E4_v1_clean_20260325_052051/predicciones_h4.csv</t>
        </is>
      </c>
      <c r="G171" s="61" t="inlineStr">
        <is>
          <t>Predicciones walk-forward para horizonte 4.</t>
        </is>
      </c>
    </row>
    <row r="172" ht="15" customHeight="1" s="27">
      <c r="A172" s="61" t="inlineStr">
        <is>
          <t>2026-03-25 05:21:02</t>
        </is>
      </c>
      <c r="B172" s="61" t="inlineStr">
        <is>
          <t>E4_v1_clean</t>
        </is>
      </c>
      <c r="C172" s="61" t="inlineStr">
        <is>
          <t>E4</t>
        </is>
      </c>
      <c r="D172" s="61" t="inlineStr">
        <is>
          <t>resumen</t>
        </is>
      </c>
      <c r="E172" s="61" t="inlineStr">
        <is>
          <t>resumen_modeling_horizontes.json</t>
        </is>
      </c>
      <c r="F172" s="61" t="inlineStr">
        <is>
          <t>Experimentos/runs/E4_v1_clean_20260325_052051/resumen_modeling_horizontes.json</t>
        </is>
      </c>
      <c r="G172" s="61" t="inlineStr">
        <is>
          <t>Resumen de tamanos y seleccion de features por horizonte.</t>
        </is>
      </c>
    </row>
    <row r="173" ht="15" customHeight="1" s="27">
      <c r="A173" s="61" t="inlineStr">
        <is>
          <t>2026-03-25 05:21:02</t>
        </is>
      </c>
      <c r="B173" s="61" t="inlineStr">
        <is>
          <t>E4_v1_clean</t>
        </is>
      </c>
      <c r="C173" s="61" t="inlineStr">
        <is>
          <t>E4</t>
        </is>
      </c>
      <c r="D173" s="61" t="inlineStr">
        <is>
          <t>comparacion</t>
        </is>
      </c>
      <c r="E173" s="61" t="inlineStr">
        <is>
          <t>comparacion_vs_E1_v5_clean.json</t>
        </is>
      </c>
      <c r="F173" s="61" t="inlineStr">
        <is>
          <t>Experimentos/runs/E4_v1_clean_20260325_052051/comparacion_vs_E1_v5_clean.json</t>
        </is>
      </c>
      <c r="G173" s="61" t="inlineStr">
        <is>
          <t>Comparacion de la corrida clean contra E1_v5_clean.</t>
        </is>
      </c>
    </row>
    <row r="174" ht="15" customHeight="1" s="27">
      <c r="A174" s="61" t="inlineStr">
        <is>
          <t>2026-03-25 05:21:02</t>
        </is>
      </c>
      <c r="B174" s="61" t="inlineStr">
        <is>
          <t>E4_v1_clean</t>
        </is>
      </c>
      <c r="C174" s="61" t="inlineStr">
        <is>
          <t>E4</t>
        </is>
      </c>
      <c r="D174" s="61" t="inlineStr">
        <is>
          <t>comparacion</t>
        </is>
      </c>
      <c r="E174" s="61" t="inlineStr">
        <is>
          <t>comparacion_vs_E1_v4_clean.json</t>
        </is>
      </c>
      <c r="F174" s="61" t="inlineStr">
        <is>
          <t>Experimentos/runs/E4_v1_clean_20260325_052051/comparacion_vs_E1_v4_clean.json</t>
        </is>
      </c>
      <c r="G174" s="61" t="inlineStr">
        <is>
          <t>Comparacion de la corrida clean contra E1_v4_clean.</t>
        </is>
      </c>
    </row>
    <row r="175" ht="15" customHeight="1" s="27">
      <c r="A175" s="61" t="inlineStr">
        <is>
          <t>2026-03-25 05:21:02</t>
        </is>
      </c>
      <c r="B175" s="61" t="inlineStr">
        <is>
          <t>E4_v1_clean</t>
        </is>
      </c>
      <c r="C175" s="61" t="inlineStr">
        <is>
          <t>E4</t>
        </is>
      </c>
      <c r="D175" s="61" t="inlineStr">
        <is>
          <t>comparacion</t>
        </is>
      </c>
      <c r="E175" s="61" t="inlineStr">
        <is>
          <t>comparacion_vs_E3_v2_clean.json</t>
        </is>
      </c>
      <c r="F175" s="61" t="inlineStr">
        <is>
          <t>Experimentos/runs/E4_v1_clean_20260325_052051/comparacion_vs_E3_v2_clean.json</t>
        </is>
      </c>
      <c r="G175" s="61" t="inlineStr">
        <is>
          <t>Comparacion de la corrida clean contra E3_v2_clean.</t>
        </is>
      </c>
    </row>
    <row r="176" ht="15" customHeight="1" s="27">
      <c r="A176" s="61" t="inlineStr">
        <is>
          <t>2026-03-25 05:21:02</t>
        </is>
      </c>
      <c r="B176" s="61" t="inlineStr">
        <is>
          <t>E4_v1_clean</t>
        </is>
      </c>
      <c r="C176" s="61" t="inlineStr">
        <is>
          <t>E4</t>
        </is>
      </c>
      <c r="D176" s="61" t="inlineStr">
        <is>
          <t>metricas</t>
        </is>
      </c>
      <c r="E176" s="61" t="inlineStr">
        <is>
          <t>metricas_horizonte.json</t>
        </is>
      </c>
      <c r="F176" s="61" t="inlineStr">
        <is>
          <t>Experimentos/runs/E4_v1_clean_20260325_052051/metricas_horizonte.json</t>
        </is>
      </c>
      <c r="G176" s="61" t="inlineStr">
        <is>
          <t>Resumen estructurado por horizonte.</t>
        </is>
      </c>
    </row>
    <row r="177" ht="15" customHeight="1" s="27">
      <c r="A177" s="61" t="inlineStr">
        <is>
          <t>2026-03-25 05:21:02</t>
        </is>
      </c>
      <c r="B177" s="61" t="inlineStr">
        <is>
          <t>E4_v1_clean</t>
        </is>
      </c>
      <c r="C177" s="61" t="inlineStr">
        <is>
          <t>E4</t>
        </is>
      </c>
      <c r="D177" s="61" t="inlineStr">
        <is>
          <t>metadata</t>
        </is>
      </c>
      <c r="E177" s="61" t="inlineStr">
        <is>
          <t>metadata_run.json</t>
        </is>
      </c>
      <c r="F177" s="61" t="inlineStr">
        <is>
          <t>Experimentos/runs/E4_v1_clean_20260325_052051/metadata_run.json</t>
        </is>
      </c>
      <c r="G177" s="61" t="inlineStr">
        <is>
          <t>Metadata base del run.</t>
        </is>
      </c>
    </row>
    <row r="178" ht="15" customHeight="1" s="27">
      <c r="A178" s="61" t="inlineStr">
        <is>
          <t>2026-03-25 05:51:25</t>
        </is>
      </c>
      <c r="B178" s="61" t="inlineStr">
        <is>
          <t>E4_v2_clean</t>
        </is>
      </c>
      <c r="C178" s="61" t="inlineStr">
        <is>
          <t>E4</t>
        </is>
      </c>
      <c r="D178" s="61" t="inlineStr">
        <is>
          <t>script_snapshot</t>
        </is>
      </c>
      <c r="E178" s="61" t="inlineStr">
        <is>
          <t>run_e4_xgboost.py</t>
        </is>
      </c>
      <c r="F178" s="61" t="inlineStr">
        <is>
          <t>Experimentos/runs/E4_v2_clean_20260325_055117/scripts/run_e4_xgboost.py</t>
        </is>
      </c>
      <c r="G178" s="61" t="inlineStr">
        <is>
          <t>Copia del script ejecutado para reproducibilidad.</t>
        </is>
      </c>
    </row>
    <row r="179" ht="15" customHeight="1" s="27">
      <c r="A179" s="61" t="inlineStr">
        <is>
          <t>2026-03-25 05:51:25</t>
        </is>
      </c>
      <c r="B179" s="61" t="inlineStr">
        <is>
          <t>E4_v2_clean</t>
        </is>
      </c>
      <c r="C179" s="61" t="inlineStr">
        <is>
          <t>E4</t>
        </is>
      </c>
      <c r="D179" s="61" t="inlineStr">
        <is>
          <t>parametros</t>
        </is>
      </c>
      <c r="E179" s="61" t="inlineStr">
        <is>
          <t>parametros_run.json</t>
        </is>
      </c>
      <c r="F179" s="61" t="inlineStr">
        <is>
          <t>Experimentos/runs/E4_v2_clean_20260325_055117/parametros_run.json</t>
        </is>
      </c>
      <c r="G179" s="61" t="inlineStr">
        <is>
          <t>Parametros del experimento.</t>
        </is>
      </c>
    </row>
    <row r="180" ht="15" customHeight="1" s="27">
      <c r="A180" s="61" t="inlineStr">
        <is>
          <t>2026-03-25 05:51:25</t>
        </is>
      </c>
      <c r="B180" s="61" t="inlineStr">
        <is>
          <t>E4_v2_clean</t>
        </is>
      </c>
      <c r="C180" s="61" t="inlineStr">
        <is>
          <t>E4</t>
        </is>
      </c>
      <c r="D180" s="61" t="inlineStr">
        <is>
          <t>seleccion_features</t>
        </is>
      </c>
      <c r="E180" s="61" t="inlineStr">
        <is>
          <t>features_seleccionadas_h1.csv</t>
        </is>
      </c>
      <c r="F180" s="61" t="inlineStr">
        <is>
          <t>Experimentos/runs/E4_v2_clean_20260325_055117/features_seleccionadas_h1.csv</t>
        </is>
      </c>
      <c r="G180" s="61" t="inlineStr">
        <is>
          <t>Resumen de combinaciones de features seleccionadas por fold externo. El filtro se calcula solo con el train de cada fold externo.</t>
        </is>
      </c>
    </row>
    <row r="181" ht="15" customHeight="1" s="27">
      <c r="A181" s="61" t="inlineStr">
        <is>
          <t>2026-03-25 05:51:25</t>
        </is>
      </c>
      <c r="B181" s="61" t="inlineStr">
        <is>
          <t>E4_v2_clean</t>
        </is>
      </c>
      <c r="C181" s="61" t="inlineStr">
        <is>
          <t>E4</t>
        </is>
      </c>
      <c r="D181" s="61" t="inlineStr">
        <is>
          <t>seleccion_features</t>
        </is>
      </c>
      <c r="E181" s="61" t="inlineStr">
        <is>
          <t>features_seleccionadas_h2.csv</t>
        </is>
      </c>
      <c r="F181" s="61" t="inlineStr">
        <is>
          <t>Experimentos/runs/E4_v2_clean_20260325_055117/features_seleccionadas_h2.csv</t>
        </is>
      </c>
      <c r="G181" s="61" t="inlineStr">
        <is>
          <t>Resumen de combinaciones de features seleccionadas por fold externo. El filtro se calcula solo con el train de cada fold externo.</t>
        </is>
      </c>
    </row>
    <row r="182" ht="15" customHeight="1" s="27">
      <c r="A182" s="61" t="inlineStr">
        <is>
          <t>2026-03-25 05:51:25</t>
        </is>
      </c>
      <c r="B182" s="61" t="inlineStr">
        <is>
          <t>E4_v2_clean</t>
        </is>
      </c>
      <c r="C182" s="61" t="inlineStr">
        <is>
          <t>E4</t>
        </is>
      </c>
      <c r="D182" s="61" t="inlineStr">
        <is>
          <t>seleccion_features</t>
        </is>
      </c>
      <c r="E182" s="61" t="inlineStr">
        <is>
          <t>features_seleccionadas_h3.csv</t>
        </is>
      </c>
      <c r="F182" s="61" t="inlineStr">
        <is>
          <t>Experimentos/runs/E4_v2_clean_20260325_055117/features_seleccionadas_h3.csv</t>
        </is>
      </c>
      <c r="G182" s="61" t="inlineStr">
        <is>
          <t>Resumen de combinaciones de features seleccionadas por fold externo. El filtro se calcula solo con el train de cada fold externo.</t>
        </is>
      </c>
    </row>
    <row r="183" ht="15" customHeight="1" s="27">
      <c r="A183" s="61" t="inlineStr">
        <is>
          <t>2026-03-25 05:51:25</t>
        </is>
      </c>
      <c r="B183" s="61" t="inlineStr">
        <is>
          <t>E4_v2_clean</t>
        </is>
      </c>
      <c r="C183" s="61" t="inlineStr">
        <is>
          <t>E4</t>
        </is>
      </c>
      <c r="D183" s="61" t="inlineStr">
        <is>
          <t>seleccion_features</t>
        </is>
      </c>
      <c r="E183" s="61" t="inlineStr">
        <is>
          <t>features_seleccionadas_h4.csv</t>
        </is>
      </c>
      <c r="F183" s="61" t="inlineStr">
        <is>
          <t>Experimentos/runs/E4_v2_clean_20260325_055117/features_seleccionadas_h4.csv</t>
        </is>
      </c>
      <c r="G183" s="61" t="inlineStr">
        <is>
          <t>Resumen de combinaciones de features seleccionadas por fold externo. El filtro se calcula solo con el train de cada fold externo.</t>
        </is>
      </c>
    </row>
    <row r="184" ht="15" customHeight="1" s="27">
      <c r="A184" s="61" t="inlineStr">
        <is>
          <t>2026-03-25 05:51:25</t>
        </is>
      </c>
      <c r="B184" s="61" t="inlineStr">
        <is>
          <t>E4_v2_clean</t>
        </is>
      </c>
      <c r="C184" s="61" t="inlineStr">
        <is>
          <t>E4</t>
        </is>
      </c>
      <c r="D184" s="61" t="inlineStr">
        <is>
          <t>predicciones</t>
        </is>
      </c>
      <c r="E184" s="61" t="inlineStr">
        <is>
          <t>predicciones_h1.csv</t>
        </is>
      </c>
      <c r="F184" s="61" t="inlineStr">
        <is>
          <t>Experimentos/runs/E4_v2_clean_20260325_055117/predicciones_h1.csv</t>
        </is>
      </c>
      <c r="G184" s="61" t="inlineStr">
        <is>
          <t>Predicciones walk-forward para horizonte 1.</t>
        </is>
      </c>
    </row>
    <row r="185" ht="15" customHeight="1" s="27">
      <c r="A185" s="61" t="inlineStr">
        <is>
          <t>2026-03-25 05:51:25</t>
        </is>
      </c>
      <c r="B185" s="61" t="inlineStr">
        <is>
          <t>E4_v2_clean</t>
        </is>
      </c>
      <c r="C185" s="61" t="inlineStr">
        <is>
          <t>E4</t>
        </is>
      </c>
      <c r="D185" s="61" t="inlineStr">
        <is>
          <t>predicciones</t>
        </is>
      </c>
      <c r="E185" s="61" t="inlineStr">
        <is>
          <t>predicciones_h2.csv</t>
        </is>
      </c>
      <c r="F185" s="61" t="inlineStr">
        <is>
          <t>Experimentos/runs/E4_v2_clean_20260325_055117/predicciones_h2.csv</t>
        </is>
      </c>
      <c r="G185" s="61" t="inlineStr">
        <is>
          <t>Predicciones walk-forward para horizonte 2.</t>
        </is>
      </c>
    </row>
    <row r="186" ht="15" customHeight="1" s="27">
      <c r="A186" s="61" t="inlineStr">
        <is>
          <t>2026-03-25 05:51:25</t>
        </is>
      </c>
      <c r="B186" s="61" t="inlineStr">
        <is>
          <t>E4_v2_clean</t>
        </is>
      </c>
      <c r="C186" s="61" t="inlineStr">
        <is>
          <t>E4</t>
        </is>
      </c>
      <c r="D186" s="61" t="inlineStr">
        <is>
          <t>predicciones</t>
        </is>
      </c>
      <c r="E186" s="61" t="inlineStr">
        <is>
          <t>predicciones_h3.csv</t>
        </is>
      </c>
      <c r="F186" s="61" t="inlineStr">
        <is>
          <t>Experimentos/runs/E4_v2_clean_20260325_055117/predicciones_h3.csv</t>
        </is>
      </c>
      <c r="G186" s="61" t="inlineStr">
        <is>
          <t>Predicciones walk-forward para horizonte 3.</t>
        </is>
      </c>
    </row>
    <row r="187" ht="15" customHeight="1" s="27">
      <c r="A187" s="61" t="inlineStr">
        <is>
          <t>2026-03-25 05:51:25</t>
        </is>
      </c>
      <c r="B187" s="61" t="inlineStr">
        <is>
          <t>E4_v2_clean</t>
        </is>
      </c>
      <c r="C187" s="61" t="inlineStr">
        <is>
          <t>E4</t>
        </is>
      </c>
      <c r="D187" s="61" t="inlineStr">
        <is>
          <t>predicciones</t>
        </is>
      </c>
      <c r="E187" s="61" t="inlineStr">
        <is>
          <t>predicciones_h4.csv</t>
        </is>
      </c>
      <c r="F187" s="61" t="inlineStr">
        <is>
          <t>Experimentos/runs/E4_v2_clean_20260325_055117/predicciones_h4.csv</t>
        </is>
      </c>
      <c r="G187" s="61" t="inlineStr">
        <is>
          <t>Predicciones walk-forward para horizonte 4.</t>
        </is>
      </c>
    </row>
    <row r="188" ht="15" customHeight="1" s="27">
      <c r="A188" s="61" t="inlineStr">
        <is>
          <t>2026-03-25 05:51:25</t>
        </is>
      </c>
      <c r="B188" s="61" t="inlineStr">
        <is>
          <t>E4_v2_clean</t>
        </is>
      </c>
      <c r="C188" s="61" t="inlineStr">
        <is>
          <t>E4</t>
        </is>
      </c>
      <c r="D188" s="61" t="inlineStr">
        <is>
          <t>resumen</t>
        </is>
      </c>
      <c r="E188" s="61" t="inlineStr">
        <is>
          <t>resumen_modeling_horizontes.json</t>
        </is>
      </c>
      <c r="F188" s="61" t="inlineStr">
        <is>
          <t>Experimentos/runs/E4_v2_clean_20260325_055117/resumen_modeling_horizontes.json</t>
        </is>
      </c>
      <c r="G188" s="61" t="inlineStr">
        <is>
          <t>Resumen de tamanos y seleccion de features por horizonte.</t>
        </is>
      </c>
    </row>
    <row r="189" ht="15" customHeight="1" s="27">
      <c r="A189" s="61" t="inlineStr">
        <is>
          <t>2026-03-25 05:51:25</t>
        </is>
      </c>
      <c r="B189" s="61" t="inlineStr">
        <is>
          <t>E4_v2_clean</t>
        </is>
      </c>
      <c r="C189" s="61" t="inlineStr">
        <is>
          <t>E4</t>
        </is>
      </c>
      <c r="D189" s="61" t="inlineStr">
        <is>
          <t>comparacion</t>
        </is>
      </c>
      <c r="E189" s="61" t="inlineStr">
        <is>
          <t>comparacion_vs_E1_v5_clean.json</t>
        </is>
      </c>
      <c r="F189" s="61" t="inlineStr">
        <is>
          <t>Experimentos/runs/E4_v2_clean_20260325_055117/comparacion_vs_E1_v5_clean.json</t>
        </is>
      </c>
      <c r="G189" s="61" t="inlineStr">
        <is>
          <t>Comparacion de la corrida clean contra E1_v5_clean.</t>
        </is>
      </c>
    </row>
    <row r="190" ht="15" customHeight="1" s="27">
      <c r="A190" s="61" t="inlineStr">
        <is>
          <t>2026-03-25 05:51:25</t>
        </is>
      </c>
      <c r="B190" s="61" t="inlineStr">
        <is>
          <t>E4_v2_clean</t>
        </is>
      </c>
      <c r="C190" s="61" t="inlineStr">
        <is>
          <t>E4</t>
        </is>
      </c>
      <c r="D190" s="61" t="inlineStr">
        <is>
          <t>comparacion</t>
        </is>
      </c>
      <c r="E190" s="61" t="inlineStr">
        <is>
          <t>comparacion_vs_E1_v4_clean.json</t>
        </is>
      </c>
      <c r="F190" s="61" t="inlineStr">
        <is>
          <t>Experimentos/runs/E4_v2_clean_20260325_055117/comparacion_vs_E1_v4_clean.json</t>
        </is>
      </c>
      <c r="G190" s="61" t="inlineStr">
        <is>
          <t>Comparacion de la corrida clean contra E1_v4_clean.</t>
        </is>
      </c>
    </row>
    <row r="191" ht="15" customHeight="1" s="27">
      <c r="A191" s="61" t="inlineStr">
        <is>
          <t>2026-03-25 05:51:25</t>
        </is>
      </c>
      <c r="B191" s="61" t="inlineStr">
        <is>
          <t>E4_v2_clean</t>
        </is>
      </c>
      <c r="C191" s="61" t="inlineStr">
        <is>
          <t>E4</t>
        </is>
      </c>
      <c r="D191" s="61" t="inlineStr">
        <is>
          <t>comparacion</t>
        </is>
      </c>
      <c r="E191" s="61" t="inlineStr">
        <is>
          <t>comparacion_vs_E3_v2_clean.json</t>
        </is>
      </c>
      <c r="F191" s="61" t="inlineStr">
        <is>
          <t>Experimentos/runs/E4_v2_clean_20260325_055117/comparacion_vs_E3_v2_clean.json</t>
        </is>
      </c>
      <c r="G191" s="61" t="inlineStr">
        <is>
          <t>Comparacion de la corrida clean contra E3_v2_clean.</t>
        </is>
      </c>
    </row>
    <row r="192" ht="15" customHeight="1" s="27">
      <c r="A192" s="61" t="inlineStr">
        <is>
          <t>2026-03-25 05:51:25</t>
        </is>
      </c>
      <c r="B192" s="61" t="inlineStr">
        <is>
          <t>E4_v2_clean</t>
        </is>
      </c>
      <c r="C192" s="61" t="inlineStr">
        <is>
          <t>E4</t>
        </is>
      </c>
      <c r="D192" s="61" t="inlineStr">
        <is>
          <t>comparacion</t>
        </is>
      </c>
      <c r="E192" s="61" t="inlineStr">
        <is>
          <t>comparacion_vs_E4_v1_clean.json</t>
        </is>
      </c>
      <c r="F192" s="61" t="inlineStr">
        <is>
          <t>Experimentos/runs/E4_v2_clean_20260325_055117/comparacion_vs_E4_v1_clean.json</t>
        </is>
      </c>
      <c r="G192" s="61" t="inlineStr">
        <is>
          <t>Comparacion de la corrida clean contra E4_v1_clean.</t>
        </is>
      </c>
    </row>
    <row r="193" ht="15" customHeight="1" s="27">
      <c r="A193" s="61" t="inlineStr">
        <is>
          <t>2026-03-25 05:51:25</t>
        </is>
      </c>
      <c r="B193" s="61" t="inlineStr">
        <is>
          <t>E4_v2_clean</t>
        </is>
      </c>
      <c r="C193" s="61" t="inlineStr">
        <is>
          <t>E4</t>
        </is>
      </c>
      <c r="D193" s="61" t="inlineStr">
        <is>
          <t>metricas</t>
        </is>
      </c>
      <c r="E193" s="61" t="inlineStr">
        <is>
          <t>metricas_horizonte.json</t>
        </is>
      </c>
      <c r="F193" s="61" t="inlineStr">
        <is>
          <t>Experimentos/runs/E4_v2_clean_20260325_055117/metricas_horizonte.json</t>
        </is>
      </c>
      <c r="G193" s="61" t="inlineStr">
        <is>
          <t>Resumen estructurado por horizonte.</t>
        </is>
      </c>
    </row>
    <row r="194" ht="15" customHeight="1" s="27">
      <c r="A194" s="61" t="inlineStr">
        <is>
          <t>2026-03-25 05:51:25</t>
        </is>
      </c>
      <c r="B194" s="61" t="inlineStr">
        <is>
          <t>E4_v2_clean</t>
        </is>
      </c>
      <c r="C194" s="61" t="inlineStr">
        <is>
          <t>E4</t>
        </is>
      </c>
      <c r="D194" s="61" t="inlineStr">
        <is>
          <t>metadata</t>
        </is>
      </c>
      <c r="E194" s="61" t="inlineStr">
        <is>
          <t>metadata_run.json</t>
        </is>
      </c>
      <c r="F194" s="61" t="inlineStr">
        <is>
          <t>Experimentos/runs/E4_v2_clean_20260325_055117/metadata_run.json</t>
        </is>
      </c>
      <c r="G194" s="61" t="inlineStr">
        <is>
          <t>Metadata base del run.</t>
        </is>
      </c>
    </row>
    <row r="195" ht="15" customHeight="1" s="27">
      <c r="A195" s="61" t="inlineStr">
        <is>
          <t>2026-03-25 05:51:44</t>
        </is>
      </c>
      <c r="B195" s="61" t="inlineStr">
        <is>
          <t>E4_v3_clean</t>
        </is>
      </c>
      <c r="C195" s="61" t="inlineStr">
        <is>
          <t>E4</t>
        </is>
      </c>
      <c r="D195" s="61" t="inlineStr">
        <is>
          <t>script_snapshot</t>
        </is>
      </c>
      <c r="E195" s="61" t="inlineStr">
        <is>
          <t>run_e4_xgboost.py</t>
        </is>
      </c>
      <c r="F195" s="61" t="inlineStr">
        <is>
          <t>Experimentos/runs/E4_v3_clean_20260325_055134/scripts/run_e4_xgboost.py</t>
        </is>
      </c>
      <c r="G195" s="61" t="inlineStr">
        <is>
          <t>Copia del script ejecutado para reproducibilidad.</t>
        </is>
      </c>
    </row>
    <row r="196" ht="15" customHeight="1" s="27">
      <c r="A196" s="61" t="inlineStr">
        <is>
          <t>2026-03-25 05:51:44</t>
        </is>
      </c>
      <c r="B196" s="61" t="inlineStr">
        <is>
          <t>E4_v3_clean</t>
        </is>
      </c>
      <c r="C196" s="61" t="inlineStr">
        <is>
          <t>E4</t>
        </is>
      </c>
      <c r="D196" s="61" t="inlineStr">
        <is>
          <t>parametros</t>
        </is>
      </c>
      <c r="E196" s="61" t="inlineStr">
        <is>
          <t>parametros_run.json</t>
        </is>
      </c>
      <c r="F196" s="61" t="inlineStr">
        <is>
          <t>Experimentos/runs/E4_v3_clean_20260325_055134/parametros_run.json</t>
        </is>
      </c>
      <c r="G196" s="61" t="inlineStr">
        <is>
          <t>Parametros del experimento.</t>
        </is>
      </c>
    </row>
    <row r="197" ht="15" customHeight="1" s="27">
      <c r="A197" s="61" t="inlineStr">
        <is>
          <t>2026-03-25 05:51:45</t>
        </is>
      </c>
      <c r="B197" s="61" t="inlineStr">
        <is>
          <t>E4_v3_clean</t>
        </is>
      </c>
      <c r="C197" s="61" t="inlineStr">
        <is>
          <t>E4</t>
        </is>
      </c>
      <c r="D197" s="61" t="inlineStr">
        <is>
          <t>predicciones</t>
        </is>
      </c>
      <c r="E197" s="61" t="inlineStr">
        <is>
          <t>predicciones_h1.csv</t>
        </is>
      </c>
      <c r="F197" s="61" t="inlineStr">
        <is>
          <t>Experimentos/runs/E4_v3_clean_20260325_055134/predicciones_h1.csv</t>
        </is>
      </c>
      <c r="G197" s="61" t="inlineStr">
        <is>
          <t>Predicciones walk-forward para horizonte 1.</t>
        </is>
      </c>
    </row>
    <row r="198" ht="15" customHeight="1" s="27">
      <c r="A198" s="61" t="inlineStr">
        <is>
          <t>2026-03-25 05:51:45</t>
        </is>
      </c>
      <c r="B198" s="61" t="inlineStr">
        <is>
          <t>E4_v3_clean</t>
        </is>
      </c>
      <c r="C198" s="61" t="inlineStr">
        <is>
          <t>E4</t>
        </is>
      </c>
      <c r="D198" s="61" t="inlineStr">
        <is>
          <t>predicciones</t>
        </is>
      </c>
      <c r="E198" s="61" t="inlineStr">
        <is>
          <t>predicciones_h2.csv</t>
        </is>
      </c>
      <c r="F198" s="61" t="inlineStr">
        <is>
          <t>Experimentos/runs/E4_v3_clean_20260325_055134/predicciones_h2.csv</t>
        </is>
      </c>
      <c r="G198" s="61" t="inlineStr">
        <is>
          <t>Predicciones walk-forward para horizonte 2.</t>
        </is>
      </c>
    </row>
    <row r="199" ht="15" customHeight="1" s="27">
      <c r="A199" s="61" t="inlineStr">
        <is>
          <t>2026-03-25 05:51:45</t>
        </is>
      </c>
      <c r="B199" s="61" t="inlineStr">
        <is>
          <t>E4_v3_clean</t>
        </is>
      </c>
      <c r="C199" s="61" t="inlineStr">
        <is>
          <t>E4</t>
        </is>
      </c>
      <c r="D199" s="61" t="inlineStr">
        <is>
          <t>predicciones</t>
        </is>
      </c>
      <c r="E199" s="61" t="inlineStr">
        <is>
          <t>predicciones_h3.csv</t>
        </is>
      </c>
      <c r="F199" s="61" t="inlineStr">
        <is>
          <t>Experimentos/runs/E4_v3_clean_20260325_055134/predicciones_h3.csv</t>
        </is>
      </c>
      <c r="G199" s="61" t="inlineStr">
        <is>
          <t>Predicciones walk-forward para horizonte 3.</t>
        </is>
      </c>
    </row>
    <row r="200" ht="15" customHeight="1" s="27">
      <c r="A200" s="61" t="inlineStr">
        <is>
          <t>2026-03-25 05:51:45</t>
        </is>
      </c>
      <c r="B200" s="61" t="inlineStr">
        <is>
          <t>E4_v3_clean</t>
        </is>
      </c>
      <c r="C200" s="61" t="inlineStr">
        <is>
          <t>E4</t>
        </is>
      </c>
      <c r="D200" s="61" t="inlineStr">
        <is>
          <t>predicciones</t>
        </is>
      </c>
      <c r="E200" s="61" t="inlineStr">
        <is>
          <t>predicciones_h4.csv</t>
        </is>
      </c>
      <c r="F200" s="61" t="inlineStr">
        <is>
          <t>Experimentos/runs/E4_v3_clean_20260325_055134/predicciones_h4.csv</t>
        </is>
      </c>
      <c r="G200" s="61" t="inlineStr">
        <is>
          <t>Predicciones walk-forward para horizonte 4.</t>
        </is>
      </c>
    </row>
    <row r="201" ht="15" customHeight="1" s="27">
      <c r="A201" s="61" t="inlineStr">
        <is>
          <t>2026-03-25 05:51:45</t>
        </is>
      </c>
      <c r="B201" s="61" t="inlineStr">
        <is>
          <t>E4_v3_clean</t>
        </is>
      </c>
      <c r="C201" s="61" t="inlineStr">
        <is>
          <t>E4</t>
        </is>
      </c>
      <c r="D201" s="61" t="inlineStr">
        <is>
          <t>resumen</t>
        </is>
      </c>
      <c r="E201" s="61" t="inlineStr">
        <is>
          <t>resumen_modeling_horizontes.json</t>
        </is>
      </c>
      <c r="F201" s="61" t="inlineStr">
        <is>
          <t>Experimentos/runs/E4_v3_clean_20260325_055134/resumen_modeling_horizontes.json</t>
        </is>
      </c>
      <c r="G201" s="61" t="inlineStr">
        <is>
          <t>Resumen de tamanos y seleccion de features por horizonte.</t>
        </is>
      </c>
    </row>
    <row r="202" ht="15" customHeight="1" s="27">
      <c r="A202" s="61" t="inlineStr">
        <is>
          <t>2026-03-25 05:51:45</t>
        </is>
      </c>
      <c r="B202" s="61" t="inlineStr">
        <is>
          <t>E4_v3_clean</t>
        </is>
      </c>
      <c r="C202" s="61" t="inlineStr">
        <is>
          <t>E4</t>
        </is>
      </c>
      <c r="D202" s="61" t="inlineStr">
        <is>
          <t>comparacion</t>
        </is>
      </c>
      <c r="E202" s="61" t="inlineStr">
        <is>
          <t>comparacion_vs_E1_v5_clean.json</t>
        </is>
      </c>
      <c r="F202" s="61" t="inlineStr">
        <is>
          <t>Experimentos/runs/E4_v3_clean_20260325_055134/comparacion_vs_E1_v5_clean.json</t>
        </is>
      </c>
      <c r="G202" s="61" t="inlineStr">
        <is>
          <t>Comparacion de la corrida clean contra E1_v5_clean.</t>
        </is>
      </c>
    </row>
    <row r="203" ht="15" customHeight="1" s="27">
      <c r="A203" s="61" t="inlineStr">
        <is>
          <t>2026-03-25 05:51:45</t>
        </is>
      </c>
      <c r="B203" s="61" t="inlineStr">
        <is>
          <t>E4_v3_clean</t>
        </is>
      </c>
      <c r="C203" s="61" t="inlineStr">
        <is>
          <t>E4</t>
        </is>
      </c>
      <c r="D203" s="61" t="inlineStr">
        <is>
          <t>comparacion</t>
        </is>
      </c>
      <c r="E203" s="61" t="inlineStr">
        <is>
          <t>comparacion_vs_E1_v4_clean.json</t>
        </is>
      </c>
      <c r="F203" s="61" t="inlineStr">
        <is>
          <t>Experimentos/runs/E4_v3_clean_20260325_055134/comparacion_vs_E1_v4_clean.json</t>
        </is>
      </c>
      <c r="G203" s="61" t="inlineStr">
        <is>
          <t>Comparacion de la corrida clean contra E1_v4_clean.</t>
        </is>
      </c>
    </row>
    <row r="204" ht="15" customHeight="1" s="27">
      <c r="A204" s="61" t="inlineStr">
        <is>
          <t>2026-03-25 05:51:45</t>
        </is>
      </c>
      <c r="B204" s="61" t="inlineStr">
        <is>
          <t>E4_v3_clean</t>
        </is>
      </c>
      <c r="C204" s="61" t="inlineStr">
        <is>
          <t>E4</t>
        </is>
      </c>
      <c r="D204" s="61" t="inlineStr">
        <is>
          <t>comparacion</t>
        </is>
      </c>
      <c r="E204" s="61" t="inlineStr">
        <is>
          <t>comparacion_vs_E3_v2_clean.json</t>
        </is>
      </c>
      <c r="F204" s="61" t="inlineStr">
        <is>
          <t>Experimentos/runs/E4_v3_clean_20260325_055134/comparacion_vs_E3_v2_clean.json</t>
        </is>
      </c>
      <c r="G204" s="61" t="inlineStr">
        <is>
          <t>Comparacion de la corrida clean contra E3_v2_clean.</t>
        </is>
      </c>
    </row>
    <row r="205" ht="15" customHeight="1" s="27">
      <c r="A205" s="61" t="inlineStr">
        <is>
          <t>2026-03-25 05:51:45</t>
        </is>
      </c>
      <c r="B205" s="61" t="inlineStr">
        <is>
          <t>E4_v3_clean</t>
        </is>
      </c>
      <c r="C205" s="61" t="inlineStr">
        <is>
          <t>E4</t>
        </is>
      </c>
      <c r="D205" s="61" t="inlineStr">
        <is>
          <t>comparacion</t>
        </is>
      </c>
      <c r="E205" s="61" t="inlineStr">
        <is>
          <t>comparacion_vs_E4_v1_clean.json</t>
        </is>
      </c>
      <c r="F205" s="61" t="inlineStr">
        <is>
          <t>Experimentos/runs/E4_v3_clean_20260325_055134/comparacion_vs_E4_v1_clean.json</t>
        </is>
      </c>
      <c r="G205" s="61" t="inlineStr">
        <is>
          <t>Comparacion de la corrida clean contra E4_v1_clean.</t>
        </is>
      </c>
    </row>
    <row r="206" ht="15" customHeight="1" s="27">
      <c r="A206" s="61" t="inlineStr">
        <is>
          <t>2026-03-25 05:51:45</t>
        </is>
      </c>
      <c r="B206" s="61" t="inlineStr">
        <is>
          <t>E4_v3_clean</t>
        </is>
      </c>
      <c r="C206" s="61" t="inlineStr">
        <is>
          <t>E4</t>
        </is>
      </c>
      <c r="D206" s="61" t="inlineStr">
        <is>
          <t>metricas</t>
        </is>
      </c>
      <c r="E206" s="61" t="inlineStr">
        <is>
          <t>metricas_horizonte.json</t>
        </is>
      </c>
      <c r="F206" s="61" t="inlineStr">
        <is>
          <t>Experimentos/runs/E4_v3_clean_20260325_055134/metricas_horizonte.json</t>
        </is>
      </c>
      <c r="G206" s="61" t="inlineStr">
        <is>
          <t>Resumen estructurado por horizonte.</t>
        </is>
      </c>
    </row>
    <row r="207" ht="15" customHeight="1" s="27">
      <c r="A207" s="61" t="inlineStr">
        <is>
          <t>2026-03-25 05:51:45</t>
        </is>
      </c>
      <c r="B207" s="61" t="inlineStr">
        <is>
          <t>E4_v3_clean</t>
        </is>
      </c>
      <c r="C207" s="61" t="inlineStr">
        <is>
          <t>E4</t>
        </is>
      </c>
      <c r="D207" s="61" t="inlineStr">
        <is>
          <t>metadata</t>
        </is>
      </c>
      <c r="E207" s="61" t="inlineStr">
        <is>
          <t>metadata_run.json</t>
        </is>
      </c>
      <c r="F207" s="61" t="inlineStr">
        <is>
          <t>Experimentos/runs/E4_v3_clean_20260325_055134/metadata_run.json</t>
        </is>
      </c>
      <c r="G207" s="61" t="inlineStr">
        <is>
          <t>Metadata base del run.</t>
        </is>
      </c>
    </row>
    <row r="208" ht="15" customHeight="1" s="27">
      <c r="A208" s="61" t="inlineStr">
        <is>
          <t>2026-03-30 06:10:48</t>
        </is>
      </c>
      <c r="B208" s="61" t="inlineStr">
        <is>
          <t>E5_v1_clean</t>
        </is>
      </c>
      <c r="C208" s="61" t="inlineStr">
        <is>
          <t>E5</t>
        </is>
      </c>
      <c r="D208" s="61" t="inlineStr">
        <is>
          <t>script_snapshot</t>
        </is>
      </c>
      <c r="E208" s="61" t="inlineStr">
        <is>
          <t>run_e5_catboost.py</t>
        </is>
      </c>
      <c r="F208" s="61" t="inlineStr">
        <is>
          <t>Experimentos/runs/E5_v1_clean_20260330_061014/scripts/run_e5_catboost.py</t>
        </is>
      </c>
      <c r="G208" s="61" t="inlineStr">
        <is>
          <t>Copia del script ejecutado para reproducibilidad.</t>
        </is>
      </c>
    </row>
    <row r="209" ht="15" customHeight="1" s="27">
      <c r="A209" s="61" t="inlineStr">
        <is>
          <t>2026-03-30 06:10:48</t>
        </is>
      </c>
      <c r="B209" s="61" t="inlineStr">
        <is>
          <t>E5_v1_clean</t>
        </is>
      </c>
      <c r="C209" s="61" t="inlineStr">
        <is>
          <t>E5</t>
        </is>
      </c>
      <c r="D209" s="61" t="inlineStr">
        <is>
          <t>parametros</t>
        </is>
      </c>
      <c r="E209" s="61" t="inlineStr">
        <is>
          <t>parametros_run.json</t>
        </is>
      </c>
      <c r="F209" s="61" t="inlineStr">
        <is>
          <t>Experimentos/runs/E5_v1_clean_20260330_061014/parametros_run.json</t>
        </is>
      </c>
      <c r="G209" s="61" t="inlineStr">
        <is>
          <t>Parametros del experimento.</t>
        </is>
      </c>
    </row>
    <row r="210" ht="15" customHeight="1" s="27">
      <c r="A210" s="61" t="inlineStr">
        <is>
          <t>2026-03-30 06:10:48</t>
        </is>
      </c>
      <c r="B210" s="61" t="inlineStr">
        <is>
          <t>E5_v1_clean</t>
        </is>
      </c>
      <c r="C210" s="61" t="inlineStr">
        <is>
          <t>E5</t>
        </is>
      </c>
      <c r="D210" s="61" t="inlineStr">
        <is>
          <t>predicciones</t>
        </is>
      </c>
      <c r="E210" s="61" t="inlineStr">
        <is>
          <t>predicciones_h1.csv</t>
        </is>
      </c>
      <c r="F210" s="61" t="inlineStr">
        <is>
          <t>Experimentos/runs/E5_v1_clean_20260330_061014/predicciones_h1.csv</t>
        </is>
      </c>
      <c r="G210" s="61" t="inlineStr">
        <is>
          <t>Predicciones walk-forward para horizonte 1.</t>
        </is>
      </c>
    </row>
    <row r="211" ht="15" customHeight="1" s="27">
      <c r="A211" s="61" t="inlineStr">
        <is>
          <t>2026-03-30 06:10:48</t>
        </is>
      </c>
      <c r="B211" s="61" t="inlineStr">
        <is>
          <t>E5_v1_clean</t>
        </is>
      </c>
      <c r="C211" s="61" t="inlineStr">
        <is>
          <t>E5</t>
        </is>
      </c>
      <c r="D211" s="61" t="inlineStr">
        <is>
          <t>predicciones</t>
        </is>
      </c>
      <c r="E211" s="61" t="inlineStr">
        <is>
          <t>predicciones_h2.csv</t>
        </is>
      </c>
      <c r="F211" s="61" t="inlineStr">
        <is>
          <t>Experimentos/runs/E5_v1_clean_20260330_061014/predicciones_h2.csv</t>
        </is>
      </c>
      <c r="G211" s="61" t="inlineStr">
        <is>
          <t>Predicciones walk-forward para horizonte 2.</t>
        </is>
      </c>
    </row>
    <row r="212" ht="15" customHeight="1" s="27">
      <c r="A212" s="61" t="inlineStr">
        <is>
          <t>2026-03-30 06:10:48</t>
        </is>
      </c>
      <c r="B212" s="61" t="inlineStr">
        <is>
          <t>E5_v1_clean</t>
        </is>
      </c>
      <c r="C212" s="61" t="inlineStr">
        <is>
          <t>E5</t>
        </is>
      </c>
      <c r="D212" s="61" t="inlineStr">
        <is>
          <t>predicciones</t>
        </is>
      </c>
      <c r="E212" s="61" t="inlineStr">
        <is>
          <t>predicciones_h3.csv</t>
        </is>
      </c>
      <c r="F212" s="61" t="inlineStr">
        <is>
          <t>Experimentos/runs/E5_v1_clean_20260330_061014/predicciones_h3.csv</t>
        </is>
      </c>
      <c r="G212" s="61" t="inlineStr">
        <is>
          <t>Predicciones walk-forward para horizonte 3.</t>
        </is>
      </c>
    </row>
    <row r="213" ht="15" customHeight="1" s="27">
      <c r="A213" s="61" t="inlineStr">
        <is>
          <t>2026-03-30 06:10:48</t>
        </is>
      </c>
      <c r="B213" s="61" t="inlineStr">
        <is>
          <t>E5_v1_clean</t>
        </is>
      </c>
      <c r="C213" s="61" t="inlineStr">
        <is>
          <t>E5</t>
        </is>
      </c>
      <c r="D213" s="61" t="inlineStr">
        <is>
          <t>predicciones</t>
        </is>
      </c>
      <c r="E213" s="61" t="inlineStr">
        <is>
          <t>predicciones_h4.csv</t>
        </is>
      </c>
      <c r="F213" s="61" t="inlineStr">
        <is>
          <t>Experimentos/runs/E5_v1_clean_20260330_061014/predicciones_h4.csv</t>
        </is>
      </c>
      <c r="G213" s="61" t="inlineStr">
        <is>
          <t>Predicciones walk-forward para horizonte 4.</t>
        </is>
      </c>
    </row>
    <row r="214" ht="15" customHeight="1" s="27">
      <c r="A214" s="61" t="inlineStr">
        <is>
          <t>2026-03-30 06:10:48</t>
        </is>
      </c>
      <c r="B214" s="61" t="inlineStr">
        <is>
          <t>E5_v1_clean</t>
        </is>
      </c>
      <c r="C214" s="61" t="inlineStr">
        <is>
          <t>E5</t>
        </is>
      </c>
      <c r="D214" s="61" t="inlineStr">
        <is>
          <t>resumen</t>
        </is>
      </c>
      <c r="E214" s="61" t="inlineStr">
        <is>
          <t>resumen_modeling_horizontes.json</t>
        </is>
      </c>
      <c r="F214" s="61" t="inlineStr">
        <is>
          <t>Experimentos/runs/E5_v1_clean_20260330_061014/resumen_modeling_horizontes.json</t>
        </is>
      </c>
      <c r="G214" s="61" t="inlineStr">
        <is>
          <t>Resumen de tamanos y seleccion de features por horizonte.</t>
        </is>
      </c>
    </row>
    <row r="215" ht="15" customHeight="1" s="27">
      <c r="A215" s="61" t="inlineStr">
        <is>
          <t>2026-03-30 06:10:48</t>
        </is>
      </c>
      <c r="B215" s="61" t="inlineStr">
        <is>
          <t>E5_v1_clean</t>
        </is>
      </c>
      <c r="C215" s="61" t="inlineStr">
        <is>
          <t>E5</t>
        </is>
      </c>
      <c r="D215" s="61" t="inlineStr">
        <is>
          <t>comparacion</t>
        </is>
      </c>
      <c r="E215" s="61" t="inlineStr">
        <is>
          <t>comparacion_vs_E1_v5_clean.json</t>
        </is>
      </c>
      <c r="F215" s="61" t="inlineStr">
        <is>
          <t>Experimentos/runs/E5_v1_clean_20260330_061014/comparacion_vs_E1_v5_clean.json</t>
        </is>
      </c>
      <c r="G215" s="61" t="inlineStr">
        <is>
          <t>Comparacion de la corrida clean contra E1_v5_clean.</t>
        </is>
      </c>
    </row>
    <row r="216" ht="15" customHeight="1" s="27">
      <c r="A216" s="61" t="inlineStr">
        <is>
          <t>2026-03-30 06:10:48</t>
        </is>
      </c>
      <c r="B216" s="61" t="inlineStr">
        <is>
          <t>E5_v1_clean</t>
        </is>
      </c>
      <c r="C216" s="61" t="inlineStr">
        <is>
          <t>E5</t>
        </is>
      </c>
      <c r="D216" s="61" t="inlineStr">
        <is>
          <t>comparacion</t>
        </is>
      </c>
      <c r="E216" s="61" t="inlineStr">
        <is>
          <t>comparacion_vs_E1_v4_clean.json</t>
        </is>
      </c>
      <c r="F216" s="61" t="inlineStr">
        <is>
          <t>Experimentos/runs/E5_v1_clean_20260330_061014/comparacion_vs_E1_v4_clean.json</t>
        </is>
      </c>
      <c r="G216" s="61" t="inlineStr">
        <is>
          <t>Comparacion de la corrida clean contra E1_v4_clean.</t>
        </is>
      </c>
    </row>
    <row r="217" ht="15" customHeight="1" s="27">
      <c r="A217" s="61" t="inlineStr">
        <is>
          <t>2026-03-30 06:10:48</t>
        </is>
      </c>
      <c r="B217" s="61" t="inlineStr">
        <is>
          <t>E5_v1_clean</t>
        </is>
      </c>
      <c r="C217" s="61" t="inlineStr">
        <is>
          <t>E5</t>
        </is>
      </c>
      <c r="D217" s="61" t="inlineStr">
        <is>
          <t>comparacion</t>
        </is>
      </c>
      <c r="E217" s="61" t="inlineStr">
        <is>
          <t>comparacion_vs_E2_v3_clean.json</t>
        </is>
      </c>
      <c r="F217" s="61" t="inlineStr">
        <is>
          <t>Experimentos/runs/E5_v1_clean_20260330_061014/comparacion_vs_E2_v3_clean.json</t>
        </is>
      </c>
      <c r="G217" s="61" t="inlineStr">
        <is>
          <t>Comparacion de la corrida clean contra E2_v3_clean.</t>
        </is>
      </c>
    </row>
    <row r="218" ht="15" customHeight="1" s="27">
      <c r="A218" s="61" t="inlineStr">
        <is>
          <t>2026-03-30 06:10:48</t>
        </is>
      </c>
      <c r="B218" s="61" t="inlineStr">
        <is>
          <t>E5_v1_clean</t>
        </is>
      </c>
      <c r="C218" s="61" t="inlineStr">
        <is>
          <t>E5</t>
        </is>
      </c>
      <c r="D218" s="61" t="inlineStr">
        <is>
          <t>comparacion</t>
        </is>
      </c>
      <c r="E218" s="61" t="inlineStr">
        <is>
          <t>comparacion_vs_E3_v2_clean.json</t>
        </is>
      </c>
      <c r="F218" s="61" t="inlineStr">
        <is>
          <t>Experimentos/runs/E5_v1_clean_20260330_061014/comparacion_vs_E3_v2_clean.json</t>
        </is>
      </c>
      <c r="G218" s="61" t="inlineStr">
        <is>
          <t>Comparacion de la corrida clean contra E3_v2_clean.</t>
        </is>
      </c>
    </row>
    <row r="219" ht="15" customHeight="1" s="27">
      <c r="A219" s="61" t="inlineStr">
        <is>
          <t>2026-03-30 06:10:48</t>
        </is>
      </c>
      <c r="B219" s="61" t="inlineStr">
        <is>
          <t>E5_v1_clean</t>
        </is>
      </c>
      <c r="C219" s="61" t="inlineStr">
        <is>
          <t>E5</t>
        </is>
      </c>
      <c r="D219" s="61" t="inlineStr">
        <is>
          <t>comparacion</t>
        </is>
      </c>
      <c r="E219" s="61" t="inlineStr">
        <is>
          <t>comparacion_vs_E4_v1_clean.json</t>
        </is>
      </c>
      <c r="F219" s="61" t="inlineStr">
        <is>
          <t>Experimentos/runs/E5_v1_clean_20260330_061014/comparacion_vs_E4_v1_clean.json</t>
        </is>
      </c>
      <c r="G219" s="61" t="inlineStr">
        <is>
          <t>Comparacion de la corrida clean contra E4_v1_clean.</t>
        </is>
      </c>
    </row>
    <row r="220" ht="15" customHeight="1" s="27">
      <c r="A220" s="61" t="inlineStr">
        <is>
          <t>2026-03-30 06:10:48</t>
        </is>
      </c>
      <c r="B220" s="61" t="inlineStr">
        <is>
          <t>E5_v1_clean</t>
        </is>
      </c>
      <c r="C220" s="61" t="inlineStr">
        <is>
          <t>E5</t>
        </is>
      </c>
      <c r="D220" s="61" t="inlineStr">
        <is>
          <t>metricas</t>
        </is>
      </c>
      <c r="E220" s="61" t="inlineStr">
        <is>
          <t>metricas_horizonte.json</t>
        </is>
      </c>
      <c r="F220" s="61" t="inlineStr">
        <is>
          <t>Experimentos/runs/E5_v1_clean_20260330_061014/metricas_horizonte.json</t>
        </is>
      </c>
      <c r="G220" s="61" t="inlineStr">
        <is>
          <t>Resumen estructurado por horizonte.</t>
        </is>
      </c>
    </row>
    <row r="221" ht="15" customHeight="1" s="27">
      <c r="A221" s="61" t="inlineStr">
        <is>
          <t>2026-03-30 06:10:48</t>
        </is>
      </c>
      <c r="B221" s="61" t="inlineStr">
        <is>
          <t>E5_v1_clean</t>
        </is>
      </c>
      <c r="C221" s="61" t="inlineStr">
        <is>
          <t>E5</t>
        </is>
      </c>
      <c r="D221" s="61" t="inlineStr">
        <is>
          <t>metadata</t>
        </is>
      </c>
      <c r="E221" s="61" t="inlineStr">
        <is>
          <t>metadata_run.json</t>
        </is>
      </c>
      <c r="F221" s="61" t="inlineStr">
        <is>
          <t>Experimentos/runs/E5_v1_clean_20260330_061014/metadata_run.json</t>
        </is>
      </c>
      <c r="G221" s="61" t="inlineStr">
        <is>
          <t>Metadata base del run.</t>
        </is>
      </c>
    </row>
    <row r="222" ht="15" customHeight="1" s="27">
      <c r="A222" s="61" t="inlineStr">
        <is>
          <t>2026-03-30 08:58:34</t>
        </is>
      </c>
      <c r="B222" s="61" t="inlineStr">
        <is>
          <t>C1_v1_clean</t>
        </is>
      </c>
      <c r="C222" s="61" t="inlineStr">
        <is>
          <t>C1</t>
        </is>
      </c>
      <c r="D222" s="61" t="inlineStr">
        <is>
          <t>script_snapshot</t>
        </is>
      </c>
      <c r="E222" s="61" t="inlineStr">
        <is>
          <t>run_c1_random_forest_classifier.py</t>
        </is>
      </c>
      <c r="F222" s="61" t="inlineStr">
        <is>
          <t>Experimentos/runs/C1_v1_clean_20260330_085747/scripts/run_c1_random_forest_classifier.py</t>
        </is>
      </c>
      <c r="G222" s="61" t="inlineStr">
        <is>
          <t>Copia del script ejecutado para reproducibilidad.</t>
        </is>
      </c>
    </row>
    <row r="223" ht="15" customHeight="1" s="27">
      <c r="A223" s="61" t="inlineStr">
        <is>
          <t>2026-03-30 08:58:34</t>
        </is>
      </c>
      <c r="B223" s="61" t="inlineStr">
        <is>
          <t>C1_v1_clean</t>
        </is>
      </c>
      <c r="C223" s="61" t="inlineStr">
        <is>
          <t>C1</t>
        </is>
      </c>
      <c r="D223" s="61" t="inlineStr">
        <is>
          <t>parametros</t>
        </is>
      </c>
      <c r="E223" s="61" t="inlineStr">
        <is>
          <t>parametros_run.json</t>
        </is>
      </c>
      <c r="F223" s="61" t="inlineStr">
        <is>
          <t>Experimentos/runs/C1_v1_clean_20260330_085747/parametros_run.json</t>
        </is>
      </c>
      <c r="G223" s="61" t="inlineStr">
        <is>
          <t>Parametros del experimento.</t>
        </is>
      </c>
    </row>
    <row r="224" ht="15" customHeight="1" s="27">
      <c r="A224" s="61" t="inlineStr">
        <is>
          <t>2026-03-30 08:58:34</t>
        </is>
      </c>
      <c r="B224" s="61" t="inlineStr">
        <is>
          <t>C1_v1_clean</t>
        </is>
      </c>
      <c r="C224" s="61" t="inlineStr">
        <is>
          <t>C1</t>
        </is>
      </c>
      <c r="D224" s="61" t="inlineStr">
        <is>
          <t>matriz_confusion</t>
        </is>
      </c>
      <c r="E224" s="61" t="inlineStr">
        <is>
          <t>matriz_confusion_h1.json</t>
        </is>
      </c>
      <c r="F224" s="61" t="inlineStr">
        <is>
          <t>Experimentos/runs/C1_v1_clean_20260330_085747/matriz_confusion_h1.json</t>
        </is>
      </c>
      <c r="G224" s="61" t="inlineStr">
        <is>
          <t>Matriz de confusion 5 clases para horizonte 1.</t>
        </is>
      </c>
    </row>
    <row r="225" ht="15" customHeight="1" s="27">
      <c r="A225" s="61" t="inlineStr">
        <is>
          <t>2026-03-30 08:58:34</t>
        </is>
      </c>
      <c r="B225" s="61" t="inlineStr">
        <is>
          <t>C1_v1_clean</t>
        </is>
      </c>
      <c r="C225" s="61" t="inlineStr">
        <is>
          <t>C1</t>
        </is>
      </c>
      <c r="D225" s="61" t="inlineStr">
        <is>
          <t>soporte_clases</t>
        </is>
      </c>
      <c r="E225" s="61" t="inlineStr">
        <is>
          <t>soporte_clases_h1.json</t>
        </is>
      </c>
      <c r="F225" s="61" t="inlineStr">
        <is>
          <t>Experimentos/runs/C1_v1_clean_20260330_085747/soporte_clases_h1.json</t>
        </is>
      </c>
      <c r="G225" s="61" t="inlineStr">
        <is>
          <t>Soporte por clase 5 clases para horizonte 1.</t>
        </is>
      </c>
    </row>
    <row r="226" ht="15" customHeight="1" s="27">
      <c r="A226" s="61" t="inlineStr">
        <is>
          <t>2026-03-30 08:58:34</t>
        </is>
      </c>
      <c r="B226" s="61" t="inlineStr">
        <is>
          <t>C1_v1_clean</t>
        </is>
      </c>
      <c r="C226" s="61" t="inlineStr">
        <is>
          <t>C1</t>
        </is>
      </c>
      <c r="D226" s="61" t="inlineStr">
        <is>
          <t>matriz_confusion</t>
        </is>
      </c>
      <c r="E226" s="61" t="inlineStr">
        <is>
          <t>matriz_confusion_h2.json</t>
        </is>
      </c>
      <c r="F226" s="61" t="inlineStr">
        <is>
          <t>Experimentos/runs/C1_v1_clean_20260330_085747/matriz_confusion_h2.json</t>
        </is>
      </c>
      <c r="G226" s="61" t="inlineStr">
        <is>
          <t>Matriz de confusion 5 clases para horizonte 2.</t>
        </is>
      </c>
    </row>
    <row r="227" ht="15" customHeight="1" s="27">
      <c r="A227" s="61" t="inlineStr">
        <is>
          <t>2026-03-30 08:58:34</t>
        </is>
      </c>
      <c r="B227" s="61" t="inlineStr">
        <is>
          <t>C1_v1_clean</t>
        </is>
      </c>
      <c r="C227" s="61" t="inlineStr">
        <is>
          <t>C1</t>
        </is>
      </c>
      <c r="D227" s="61" t="inlineStr">
        <is>
          <t>soporte_clases</t>
        </is>
      </c>
      <c r="E227" s="61" t="inlineStr">
        <is>
          <t>soporte_clases_h2.json</t>
        </is>
      </c>
      <c r="F227" s="61" t="inlineStr">
        <is>
          <t>Experimentos/runs/C1_v1_clean_20260330_085747/soporte_clases_h2.json</t>
        </is>
      </c>
      <c r="G227" s="61" t="inlineStr">
        <is>
          <t>Soporte por clase 5 clases para horizonte 2.</t>
        </is>
      </c>
    </row>
    <row r="228" ht="15" customHeight="1" s="27">
      <c r="A228" s="61" t="inlineStr">
        <is>
          <t>2026-03-30 08:58:34</t>
        </is>
      </c>
      <c r="B228" s="61" t="inlineStr">
        <is>
          <t>C1_v1_clean</t>
        </is>
      </c>
      <c r="C228" s="61" t="inlineStr">
        <is>
          <t>C1</t>
        </is>
      </c>
      <c r="D228" s="61" t="inlineStr">
        <is>
          <t>matriz_confusion</t>
        </is>
      </c>
      <c r="E228" s="61" t="inlineStr">
        <is>
          <t>matriz_confusion_h3.json</t>
        </is>
      </c>
      <c r="F228" s="61" t="inlineStr">
        <is>
          <t>Experimentos/runs/C1_v1_clean_20260330_085747/matriz_confusion_h3.json</t>
        </is>
      </c>
      <c r="G228" s="61" t="inlineStr">
        <is>
          <t>Matriz de confusion 5 clases para horizonte 3.</t>
        </is>
      </c>
    </row>
    <row r="229" ht="15" customHeight="1" s="27">
      <c r="A229" s="61" t="inlineStr">
        <is>
          <t>2026-03-30 08:58:34</t>
        </is>
      </c>
      <c r="B229" s="61" t="inlineStr">
        <is>
          <t>C1_v1_clean</t>
        </is>
      </c>
      <c r="C229" s="61" t="inlineStr">
        <is>
          <t>C1</t>
        </is>
      </c>
      <c r="D229" s="61" t="inlineStr">
        <is>
          <t>soporte_clases</t>
        </is>
      </c>
      <c r="E229" s="61" t="inlineStr">
        <is>
          <t>soporte_clases_h3.json</t>
        </is>
      </c>
      <c r="F229" s="61" t="inlineStr">
        <is>
          <t>Experimentos/runs/C1_v1_clean_20260330_085747/soporte_clases_h3.json</t>
        </is>
      </c>
      <c r="G229" s="61" t="inlineStr">
        <is>
          <t>Soporte por clase 5 clases para horizonte 3.</t>
        </is>
      </c>
    </row>
    <row r="230" ht="15" customHeight="1" s="27">
      <c r="A230" s="61" t="inlineStr">
        <is>
          <t>2026-03-30 08:58:34</t>
        </is>
      </c>
      <c r="B230" s="61" t="inlineStr">
        <is>
          <t>C1_v1_clean</t>
        </is>
      </c>
      <c r="C230" s="61" t="inlineStr">
        <is>
          <t>C1</t>
        </is>
      </c>
      <c r="D230" s="61" t="inlineStr">
        <is>
          <t>matriz_confusion</t>
        </is>
      </c>
      <c r="E230" s="61" t="inlineStr">
        <is>
          <t>matriz_confusion_h4.json</t>
        </is>
      </c>
      <c r="F230" s="61" t="inlineStr">
        <is>
          <t>Experimentos/runs/C1_v1_clean_20260330_085747/matriz_confusion_h4.json</t>
        </is>
      </c>
      <c r="G230" s="61" t="inlineStr">
        <is>
          <t>Matriz de confusion 5 clases para horizonte 4.</t>
        </is>
      </c>
    </row>
    <row r="231" ht="15" customHeight="1" s="27">
      <c r="A231" s="61" t="inlineStr">
        <is>
          <t>2026-03-30 08:58:34</t>
        </is>
      </c>
      <c r="B231" s="61" t="inlineStr">
        <is>
          <t>C1_v1_clean</t>
        </is>
      </c>
      <c r="C231" s="61" t="inlineStr">
        <is>
          <t>C1</t>
        </is>
      </c>
      <c r="D231" s="61" t="inlineStr">
        <is>
          <t>soporte_clases</t>
        </is>
      </c>
      <c r="E231" s="61" t="inlineStr">
        <is>
          <t>soporte_clases_h4.json</t>
        </is>
      </c>
      <c r="F231" s="61" t="inlineStr">
        <is>
          <t>Experimentos/runs/C1_v1_clean_20260330_085747/soporte_clases_h4.json</t>
        </is>
      </c>
      <c r="G231" s="61" t="inlineStr">
        <is>
          <t>Soporte por clase 5 clases para horizonte 4.</t>
        </is>
      </c>
    </row>
    <row r="232" ht="15" customHeight="1" s="27">
      <c r="A232" s="61" t="inlineStr">
        <is>
          <t>2026-03-30 08:58:34</t>
        </is>
      </c>
      <c r="B232" s="61" t="inlineStr">
        <is>
          <t>C1_v1_clean</t>
        </is>
      </c>
      <c r="C232" s="61" t="inlineStr">
        <is>
          <t>C1</t>
        </is>
      </c>
      <c r="D232" s="61" t="inlineStr">
        <is>
          <t>predicciones</t>
        </is>
      </c>
      <c r="E232" s="61" t="inlineStr">
        <is>
          <t>predicciones_h1.csv</t>
        </is>
      </c>
      <c r="F232" s="61" t="inlineStr">
        <is>
          <t>Experimentos/runs/C1_v1_clean_20260330_085747/predicciones_h1.csv</t>
        </is>
      </c>
      <c r="G232" s="61" t="inlineStr">
        <is>
          <t>Predicciones walk-forward de clasificacion para horizonte 1.</t>
        </is>
      </c>
    </row>
    <row r="233" ht="15" customHeight="1" s="27">
      <c r="A233" s="61" t="inlineStr">
        <is>
          <t>2026-03-30 08:58:34</t>
        </is>
      </c>
      <c r="B233" s="61" t="inlineStr">
        <is>
          <t>C1_v1_clean</t>
        </is>
      </c>
      <c r="C233" s="61" t="inlineStr">
        <is>
          <t>C1</t>
        </is>
      </c>
      <c r="D233" s="61" t="inlineStr">
        <is>
          <t>predicciones</t>
        </is>
      </c>
      <c r="E233" s="61" t="inlineStr">
        <is>
          <t>predicciones_h2.csv</t>
        </is>
      </c>
      <c r="F233" s="61" t="inlineStr">
        <is>
          <t>Experimentos/runs/C1_v1_clean_20260330_085747/predicciones_h2.csv</t>
        </is>
      </c>
      <c r="G233" s="61" t="inlineStr">
        <is>
          <t>Predicciones walk-forward de clasificacion para horizonte 2.</t>
        </is>
      </c>
    </row>
    <row r="234" ht="15" customHeight="1" s="27">
      <c r="A234" s="61" t="inlineStr">
        <is>
          <t>2026-03-30 08:58:34</t>
        </is>
      </c>
      <c r="B234" s="61" t="inlineStr">
        <is>
          <t>C1_v1_clean</t>
        </is>
      </c>
      <c r="C234" s="61" t="inlineStr">
        <is>
          <t>C1</t>
        </is>
      </c>
      <c r="D234" s="61" t="inlineStr">
        <is>
          <t>predicciones</t>
        </is>
      </c>
      <c r="E234" s="61" t="inlineStr">
        <is>
          <t>predicciones_h3.csv</t>
        </is>
      </c>
      <c r="F234" s="61" t="inlineStr">
        <is>
          <t>Experimentos/runs/C1_v1_clean_20260330_085747/predicciones_h3.csv</t>
        </is>
      </c>
      <c r="G234" s="61" t="inlineStr">
        <is>
          <t>Predicciones walk-forward de clasificacion para horizonte 3.</t>
        </is>
      </c>
    </row>
    <row r="235" ht="15" customHeight="1" s="27">
      <c r="A235" s="61" t="inlineStr">
        <is>
          <t>2026-03-30 08:58:34</t>
        </is>
      </c>
      <c r="B235" s="61" t="inlineStr">
        <is>
          <t>C1_v1_clean</t>
        </is>
      </c>
      <c r="C235" s="61" t="inlineStr">
        <is>
          <t>C1</t>
        </is>
      </c>
      <c r="D235" s="61" t="inlineStr">
        <is>
          <t>predicciones</t>
        </is>
      </c>
      <c r="E235" s="61" t="inlineStr">
        <is>
          <t>predicciones_h4.csv</t>
        </is>
      </c>
      <c r="F235" s="61" t="inlineStr">
        <is>
          <t>Experimentos/runs/C1_v1_clean_20260330_085747/predicciones_h4.csv</t>
        </is>
      </c>
      <c r="G235" s="61" t="inlineStr">
        <is>
          <t>Predicciones walk-forward de clasificacion para horizonte 4.</t>
        </is>
      </c>
    </row>
    <row r="236" ht="15" customHeight="1" s="27">
      <c r="A236" s="61" t="inlineStr">
        <is>
          <t>2026-03-30 08:58:34</t>
        </is>
      </c>
      <c r="B236" s="61" t="inlineStr">
        <is>
          <t>C1_v1_clean</t>
        </is>
      </c>
      <c r="C236" s="61" t="inlineStr">
        <is>
          <t>C1</t>
        </is>
      </c>
      <c r="D236" s="61" t="inlineStr">
        <is>
          <t>resumen</t>
        </is>
      </c>
      <c r="E236" s="61" t="inlineStr">
        <is>
          <t>resumen_modeling_horizontes.json</t>
        </is>
      </c>
      <c r="F236" s="61" t="inlineStr">
        <is>
          <t>Experimentos/runs/C1_v1_clean_20260330_085747/resumen_modeling_horizontes.json</t>
        </is>
      </c>
      <c r="G236" s="61" t="inlineStr">
        <is>
          <t>Resumen de tamanos, target de clasificacion y seleccion de features por horizonte.</t>
        </is>
      </c>
    </row>
    <row r="237" ht="15" customHeight="1" s="27">
      <c r="A237" s="61" t="inlineStr">
        <is>
          <t>2026-03-30 08:58:34</t>
        </is>
      </c>
      <c r="B237" s="61" t="inlineStr">
        <is>
          <t>C1_v1_clean</t>
        </is>
      </c>
      <c r="C237" s="61" t="inlineStr">
        <is>
          <t>C1</t>
        </is>
      </c>
      <c r="D237" s="61" t="inlineStr">
        <is>
          <t>metricas</t>
        </is>
      </c>
      <c r="E237" s="61" t="inlineStr">
        <is>
          <t>metricas_horizonte.json</t>
        </is>
      </c>
      <c r="F237" s="61" t="inlineStr">
        <is>
          <t>Experimentos/runs/C1_v1_clean_20260330_085747/metricas_horizonte.json</t>
        </is>
      </c>
      <c r="G237" s="61" t="inlineStr">
        <is>
          <t>Resumen estructurado por horizonte.</t>
        </is>
      </c>
    </row>
    <row r="238" ht="15" customHeight="1" s="27">
      <c r="A238" s="61" t="inlineStr">
        <is>
          <t>2026-03-30 08:58:34</t>
        </is>
      </c>
      <c r="B238" s="61" t="inlineStr">
        <is>
          <t>C1_v1_clean</t>
        </is>
      </c>
      <c r="C238" s="61" t="inlineStr">
        <is>
          <t>C1</t>
        </is>
      </c>
      <c r="D238" s="61" t="inlineStr">
        <is>
          <t>metadata</t>
        </is>
      </c>
      <c r="E238" s="61" t="inlineStr">
        <is>
          <t>metadata_run.json</t>
        </is>
      </c>
      <c r="F238" s="61" t="inlineStr">
        <is>
          <t>Experimentos/runs/C1_v1_clean_20260330_085747/metadata_run.json</t>
        </is>
      </c>
      <c r="G238" s="61" t="inlineStr">
        <is>
          <t>Metadata base del run.</t>
        </is>
      </c>
    </row>
    <row r="239" ht="15" customHeight="1" s="27">
      <c r="A239" s="61" t="inlineStr">
        <is>
          <t>2026-03-30 08:59:54</t>
        </is>
      </c>
      <c r="B239" s="61" t="inlineStr">
        <is>
          <t>C1_v2_clean</t>
        </is>
      </c>
      <c r="C239" s="61" t="inlineStr">
        <is>
          <t>C1</t>
        </is>
      </c>
      <c r="D239" s="61" t="inlineStr">
        <is>
          <t>script_snapshot</t>
        </is>
      </c>
      <c r="E239" s="61" t="inlineStr">
        <is>
          <t>run_c1_random_forest_classifier.py</t>
        </is>
      </c>
      <c r="F239" s="61" t="inlineStr">
        <is>
          <t>Experimentos/runs/C1_v2_clean_20260330_085846/scripts/run_c1_random_forest_classifier.py</t>
        </is>
      </c>
      <c r="G239" s="61" t="inlineStr">
        <is>
          <t>Copia del script ejecutado para reproducibilidad.</t>
        </is>
      </c>
    </row>
    <row r="240" ht="15" customHeight="1" s="27">
      <c r="A240" s="61" t="inlineStr">
        <is>
          <t>2026-03-30 08:59:54</t>
        </is>
      </c>
      <c r="B240" s="61" t="inlineStr">
        <is>
          <t>C1_v2_clean</t>
        </is>
      </c>
      <c r="C240" s="61" t="inlineStr">
        <is>
          <t>C1</t>
        </is>
      </c>
      <c r="D240" s="61" t="inlineStr">
        <is>
          <t>parametros</t>
        </is>
      </c>
      <c r="E240" s="61" t="inlineStr">
        <is>
          <t>parametros_run.json</t>
        </is>
      </c>
      <c r="F240" s="61" t="inlineStr">
        <is>
          <t>Experimentos/runs/C1_v2_clean_20260330_085846/parametros_run.json</t>
        </is>
      </c>
      <c r="G240" s="61" t="inlineStr">
        <is>
          <t>Parametros del experimento.</t>
        </is>
      </c>
    </row>
    <row r="241" ht="15" customHeight="1" s="27">
      <c r="A241" s="61" t="inlineStr">
        <is>
          <t>2026-03-30 08:59:54</t>
        </is>
      </c>
      <c r="B241" s="61" t="inlineStr">
        <is>
          <t>C1_v2_clean</t>
        </is>
      </c>
      <c r="C241" s="61" t="inlineStr">
        <is>
          <t>C1</t>
        </is>
      </c>
      <c r="D241" s="61" t="inlineStr">
        <is>
          <t>matriz_confusion</t>
        </is>
      </c>
      <c r="E241" s="61" t="inlineStr">
        <is>
          <t>matriz_confusion_h1.json</t>
        </is>
      </c>
      <c r="F241" s="61" t="inlineStr">
        <is>
          <t>Experimentos/runs/C1_v2_clean_20260330_085846/matriz_confusion_h1.json</t>
        </is>
      </c>
      <c r="G241" s="61" t="inlineStr">
        <is>
          <t>Matriz de confusion 5 clases para horizonte 1.</t>
        </is>
      </c>
    </row>
    <row r="242" ht="15" customHeight="1" s="27">
      <c r="A242" s="61" t="inlineStr">
        <is>
          <t>2026-03-30 08:59:54</t>
        </is>
      </c>
      <c r="B242" s="61" t="inlineStr">
        <is>
          <t>C1_v2_clean</t>
        </is>
      </c>
      <c r="C242" s="61" t="inlineStr">
        <is>
          <t>C1</t>
        </is>
      </c>
      <c r="D242" s="61" t="inlineStr">
        <is>
          <t>soporte_clases</t>
        </is>
      </c>
      <c r="E242" s="61" t="inlineStr">
        <is>
          <t>soporte_clases_h1.json</t>
        </is>
      </c>
      <c r="F242" s="61" t="inlineStr">
        <is>
          <t>Experimentos/runs/C1_v2_clean_20260330_085846/soporte_clases_h1.json</t>
        </is>
      </c>
      <c r="G242" s="61" t="inlineStr">
        <is>
          <t>Soporte por clase 5 clases para horizonte 1.</t>
        </is>
      </c>
    </row>
    <row r="243" ht="15" customHeight="1" s="27">
      <c r="A243" s="61" t="inlineStr">
        <is>
          <t>2026-03-30 08:59:54</t>
        </is>
      </c>
      <c r="B243" s="61" t="inlineStr">
        <is>
          <t>C1_v2_clean</t>
        </is>
      </c>
      <c r="C243" s="61" t="inlineStr">
        <is>
          <t>C1</t>
        </is>
      </c>
      <c r="D243" s="61" t="inlineStr">
        <is>
          <t>matriz_confusion</t>
        </is>
      </c>
      <c r="E243" s="61" t="inlineStr">
        <is>
          <t>matriz_confusion_h2.json</t>
        </is>
      </c>
      <c r="F243" s="61" t="inlineStr">
        <is>
          <t>Experimentos/runs/C1_v2_clean_20260330_085846/matriz_confusion_h2.json</t>
        </is>
      </c>
      <c r="G243" s="61" t="inlineStr">
        <is>
          <t>Matriz de confusion 5 clases para horizonte 2.</t>
        </is>
      </c>
    </row>
    <row r="244" ht="15" customHeight="1" s="27">
      <c r="A244" s="61" t="inlineStr">
        <is>
          <t>2026-03-30 08:59:54</t>
        </is>
      </c>
      <c r="B244" s="61" t="inlineStr">
        <is>
          <t>C1_v2_clean</t>
        </is>
      </c>
      <c r="C244" s="61" t="inlineStr">
        <is>
          <t>C1</t>
        </is>
      </c>
      <c r="D244" s="61" t="inlineStr">
        <is>
          <t>soporte_clases</t>
        </is>
      </c>
      <c r="E244" s="61" t="inlineStr">
        <is>
          <t>soporte_clases_h2.json</t>
        </is>
      </c>
      <c r="F244" s="61" t="inlineStr">
        <is>
          <t>Experimentos/runs/C1_v2_clean_20260330_085846/soporte_clases_h2.json</t>
        </is>
      </c>
      <c r="G244" s="61" t="inlineStr">
        <is>
          <t>Soporte por clase 5 clases para horizonte 2.</t>
        </is>
      </c>
    </row>
    <row r="245" ht="15" customHeight="1" s="27">
      <c r="A245" s="61" t="inlineStr">
        <is>
          <t>2026-03-30 08:59:54</t>
        </is>
      </c>
      <c r="B245" s="61" t="inlineStr">
        <is>
          <t>C1_v2_clean</t>
        </is>
      </c>
      <c r="C245" s="61" t="inlineStr">
        <is>
          <t>C1</t>
        </is>
      </c>
      <c r="D245" s="61" t="inlineStr">
        <is>
          <t>matriz_confusion</t>
        </is>
      </c>
      <c r="E245" s="61" t="inlineStr">
        <is>
          <t>matriz_confusion_h3.json</t>
        </is>
      </c>
      <c r="F245" s="61" t="inlineStr">
        <is>
          <t>Experimentos/runs/C1_v2_clean_20260330_085846/matriz_confusion_h3.json</t>
        </is>
      </c>
      <c r="G245" s="61" t="inlineStr">
        <is>
          <t>Matriz de confusion 5 clases para horizonte 3.</t>
        </is>
      </c>
    </row>
    <row r="246" ht="15" customHeight="1" s="27">
      <c r="A246" s="61" t="inlineStr">
        <is>
          <t>2026-03-30 08:59:54</t>
        </is>
      </c>
      <c r="B246" s="61" t="inlineStr">
        <is>
          <t>C1_v2_clean</t>
        </is>
      </c>
      <c r="C246" s="61" t="inlineStr">
        <is>
          <t>C1</t>
        </is>
      </c>
      <c r="D246" s="61" t="inlineStr">
        <is>
          <t>soporte_clases</t>
        </is>
      </c>
      <c r="E246" s="61" t="inlineStr">
        <is>
          <t>soporte_clases_h3.json</t>
        </is>
      </c>
      <c r="F246" s="61" t="inlineStr">
        <is>
          <t>Experimentos/runs/C1_v2_clean_20260330_085846/soporte_clases_h3.json</t>
        </is>
      </c>
      <c r="G246" s="61" t="inlineStr">
        <is>
          <t>Soporte por clase 5 clases para horizonte 3.</t>
        </is>
      </c>
    </row>
    <row r="247" ht="15" customHeight="1" s="27">
      <c r="A247" s="61" t="inlineStr">
        <is>
          <t>2026-03-30 08:59:54</t>
        </is>
      </c>
      <c r="B247" s="61" t="inlineStr">
        <is>
          <t>C1_v2_clean</t>
        </is>
      </c>
      <c r="C247" s="61" t="inlineStr">
        <is>
          <t>C1</t>
        </is>
      </c>
      <c r="D247" s="61" t="inlineStr">
        <is>
          <t>matriz_confusion</t>
        </is>
      </c>
      <c r="E247" s="61" t="inlineStr">
        <is>
          <t>matriz_confusion_h4.json</t>
        </is>
      </c>
      <c r="F247" s="61" t="inlineStr">
        <is>
          <t>Experimentos/runs/C1_v2_clean_20260330_085846/matriz_confusion_h4.json</t>
        </is>
      </c>
      <c r="G247" s="61" t="inlineStr">
        <is>
          <t>Matriz de confusion 5 clases para horizonte 4.</t>
        </is>
      </c>
    </row>
    <row r="248" ht="15" customHeight="1" s="27">
      <c r="A248" s="61" t="inlineStr">
        <is>
          <t>2026-03-30 08:59:54</t>
        </is>
      </c>
      <c r="B248" s="61" t="inlineStr">
        <is>
          <t>C1_v2_clean</t>
        </is>
      </c>
      <c r="C248" s="61" t="inlineStr">
        <is>
          <t>C1</t>
        </is>
      </c>
      <c r="D248" s="61" t="inlineStr">
        <is>
          <t>soporte_clases</t>
        </is>
      </c>
      <c r="E248" s="61" t="inlineStr">
        <is>
          <t>soporte_clases_h4.json</t>
        </is>
      </c>
      <c r="F248" s="61" t="inlineStr">
        <is>
          <t>Experimentos/runs/C1_v2_clean_20260330_085846/soporte_clases_h4.json</t>
        </is>
      </c>
      <c r="G248" s="61" t="inlineStr">
        <is>
          <t>Soporte por clase 5 clases para horizonte 4.</t>
        </is>
      </c>
    </row>
    <row r="249" ht="15" customHeight="1" s="27">
      <c r="A249" s="61" t="inlineStr">
        <is>
          <t>2026-03-30 08:59:54</t>
        </is>
      </c>
      <c r="B249" s="61" t="inlineStr">
        <is>
          <t>C1_v2_clean</t>
        </is>
      </c>
      <c r="C249" s="61" t="inlineStr">
        <is>
          <t>C1</t>
        </is>
      </c>
      <c r="D249" s="61" t="inlineStr">
        <is>
          <t>predicciones</t>
        </is>
      </c>
      <c r="E249" s="61" t="inlineStr">
        <is>
          <t>predicciones_h1.csv</t>
        </is>
      </c>
      <c r="F249" s="61" t="inlineStr">
        <is>
          <t>Experimentos/runs/C1_v2_clean_20260330_085846/predicciones_h1.csv</t>
        </is>
      </c>
      <c r="G249" s="61" t="inlineStr">
        <is>
          <t>Predicciones walk-forward de clasificacion para horizonte 1.</t>
        </is>
      </c>
    </row>
    <row r="250" ht="15" customHeight="1" s="27">
      <c r="A250" s="61" t="inlineStr">
        <is>
          <t>2026-03-30 08:59:54</t>
        </is>
      </c>
      <c r="B250" s="61" t="inlineStr">
        <is>
          <t>C1_v2_clean</t>
        </is>
      </c>
      <c r="C250" s="61" t="inlineStr">
        <is>
          <t>C1</t>
        </is>
      </c>
      <c r="D250" s="61" t="inlineStr">
        <is>
          <t>predicciones</t>
        </is>
      </c>
      <c r="E250" s="61" t="inlineStr">
        <is>
          <t>predicciones_h2.csv</t>
        </is>
      </c>
      <c r="F250" s="61" t="inlineStr">
        <is>
          <t>Experimentos/runs/C1_v2_clean_20260330_085846/predicciones_h2.csv</t>
        </is>
      </c>
      <c r="G250" s="61" t="inlineStr">
        <is>
          <t>Predicciones walk-forward de clasificacion para horizonte 2.</t>
        </is>
      </c>
    </row>
    <row r="251" ht="15" customHeight="1" s="27">
      <c r="A251" s="61" t="inlineStr">
        <is>
          <t>2026-03-30 08:59:54</t>
        </is>
      </c>
      <c r="B251" s="61" t="inlineStr">
        <is>
          <t>C1_v2_clean</t>
        </is>
      </c>
      <c r="C251" s="61" t="inlineStr">
        <is>
          <t>C1</t>
        </is>
      </c>
      <c r="D251" s="61" t="inlineStr">
        <is>
          <t>predicciones</t>
        </is>
      </c>
      <c r="E251" s="61" t="inlineStr">
        <is>
          <t>predicciones_h3.csv</t>
        </is>
      </c>
      <c r="F251" s="61" t="inlineStr">
        <is>
          <t>Experimentos/runs/C1_v2_clean_20260330_085846/predicciones_h3.csv</t>
        </is>
      </c>
      <c r="G251" s="61" t="inlineStr">
        <is>
          <t>Predicciones walk-forward de clasificacion para horizonte 3.</t>
        </is>
      </c>
    </row>
    <row r="252" ht="15" customHeight="1" s="27">
      <c r="A252" s="61" t="inlineStr">
        <is>
          <t>2026-03-30 08:59:54</t>
        </is>
      </c>
      <c r="B252" s="61" t="inlineStr">
        <is>
          <t>C1_v2_clean</t>
        </is>
      </c>
      <c r="C252" s="61" t="inlineStr">
        <is>
          <t>C1</t>
        </is>
      </c>
      <c r="D252" s="61" t="inlineStr">
        <is>
          <t>predicciones</t>
        </is>
      </c>
      <c r="E252" s="61" t="inlineStr">
        <is>
          <t>predicciones_h4.csv</t>
        </is>
      </c>
      <c r="F252" s="61" t="inlineStr">
        <is>
          <t>Experimentos/runs/C1_v2_clean_20260330_085846/predicciones_h4.csv</t>
        </is>
      </c>
      <c r="G252" s="61" t="inlineStr">
        <is>
          <t>Predicciones walk-forward de clasificacion para horizonte 4.</t>
        </is>
      </c>
    </row>
    <row r="253" ht="15" customHeight="1" s="27">
      <c r="A253" s="61" t="inlineStr">
        <is>
          <t>2026-03-30 08:59:54</t>
        </is>
      </c>
      <c r="B253" s="61" t="inlineStr">
        <is>
          <t>C1_v2_clean</t>
        </is>
      </c>
      <c r="C253" s="61" t="inlineStr">
        <is>
          <t>C1</t>
        </is>
      </c>
      <c r="D253" s="61" t="inlineStr">
        <is>
          <t>resumen</t>
        </is>
      </c>
      <c r="E253" s="61" t="inlineStr">
        <is>
          <t>resumen_modeling_horizontes.json</t>
        </is>
      </c>
      <c r="F253" s="61" t="inlineStr">
        <is>
          <t>Experimentos/runs/C1_v2_clean_20260330_085846/resumen_modeling_horizontes.json</t>
        </is>
      </c>
      <c r="G253" s="61" t="inlineStr">
        <is>
          <t>Resumen de tamanos, target de clasificacion y seleccion de features por horizonte.</t>
        </is>
      </c>
    </row>
    <row r="254" ht="15" customHeight="1" s="27">
      <c r="A254" s="61" t="inlineStr">
        <is>
          <t>2026-03-30 08:59:54</t>
        </is>
      </c>
      <c r="B254" s="61" t="inlineStr">
        <is>
          <t>C1_v2_clean</t>
        </is>
      </c>
      <c r="C254" s="61" t="inlineStr">
        <is>
          <t>C1</t>
        </is>
      </c>
      <c r="D254" s="61" t="inlineStr">
        <is>
          <t>metricas</t>
        </is>
      </c>
      <c r="E254" s="61" t="inlineStr">
        <is>
          <t>metricas_horizonte.json</t>
        </is>
      </c>
      <c r="F254" s="61" t="inlineStr">
        <is>
          <t>Experimentos/runs/C1_v2_clean_20260330_085846/metricas_horizonte.json</t>
        </is>
      </c>
      <c r="G254" s="61" t="inlineStr">
        <is>
          <t>Resumen estructurado por horizonte.</t>
        </is>
      </c>
    </row>
    <row r="255" ht="15" customHeight="1" s="27">
      <c r="A255" s="61" t="inlineStr">
        <is>
          <t>2026-03-30 08:59:54</t>
        </is>
      </c>
      <c r="B255" s="61" t="inlineStr">
        <is>
          <t>C1_v2_clean</t>
        </is>
      </c>
      <c r="C255" s="61" t="inlineStr">
        <is>
          <t>C1</t>
        </is>
      </c>
      <c r="D255" s="61" t="inlineStr">
        <is>
          <t>metadata</t>
        </is>
      </c>
      <c r="E255" s="61" t="inlineStr">
        <is>
          <t>metadata_run.json</t>
        </is>
      </c>
      <c r="F255" s="61" t="inlineStr">
        <is>
          <t>Experimentos/runs/C1_v2_clean_20260330_085846/metadata_run.json</t>
        </is>
      </c>
      <c r="G255" s="61" t="inlineStr">
        <is>
          <t>Metadata base del run.</t>
        </is>
      </c>
    </row>
    <row r="256" ht="15" customHeight="1" s="27">
      <c r="A256" s="61" t="inlineStr">
        <is>
          <t>2026-03-30 09:00:16</t>
        </is>
      </c>
      <c r="B256" s="61" t="inlineStr">
        <is>
          <t>C1_v3_clean</t>
        </is>
      </c>
      <c r="C256" s="61" t="inlineStr">
        <is>
          <t>C1</t>
        </is>
      </c>
      <c r="D256" s="61" t="inlineStr">
        <is>
          <t>script_snapshot</t>
        </is>
      </c>
      <c r="E256" s="61" t="inlineStr">
        <is>
          <t>run_c1_random_forest_classifier.py</t>
        </is>
      </c>
      <c r="F256" s="61" t="inlineStr">
        <is>
          <t>Experimentos/runs/C1_v3_clean_20260330_085854/scripts/run_c1_random_forest_classifier.py</t>
        </is>
      </c>
      <c r="G256" s="61" t="inlineStr">
        <is>
          <t>Copia del script ejecutado para reproducibilidad.</t>
        </is>
      </c>
    </row>
    <row r="257" ht="15" customHeight="1" s="27">
      <c r="A257" s="61" t="inlineStr">
        <is>
          <t>2026-03-30 09:00:16</t>
        </is>
      </c>
      <c r="B257" s="61" t="inlineStr">
        <is>
          <t>C1_v3_clean</t>
        </is>
      </c>
      <c r="C257" s="61" t="inlineStr">
        <is>
          <t>C1</t>
        </is>
      </c>
      <c r="D257" s="61" t="inlineStr">
        <is>
          <t>parametros</t>
        </is>
      </c>
      <c r="E257" s="61" t="inlineStr">
        <is>
          <t>parametros_run.json</t>
        </is>
      </c>
      <c r="F257" s="61" t="inlineStr">
        <is>
          <t>Experimentos/runs/C1_v3_clean_20260330_085854/parametros_run.json</t>
        </is>
      </c>
      <c r="G257" s="61" t="inlineStr">
        <is>
          <t>Parametros del experimento.</t>
        </is>
      </c>
    </row>
    <row r="258" ht="15" customHeight="1" s="27">
      <c r="A258" s="61" t="inlineStr">
        <is>
          <t>2026-03-30 09:00:16</t>
        </is>
      </c>
      <c r="B258" s="61" t="inlineStr">
        <is>
          <t>C1_v3_clean</t>
        </is>
      </c>
      <c r="C258" s="61" t="inlineStr">
        <is>
          <t>C1</t>
        </is>
      </c>
      <c r="D258" s="61" t="inlineStr">
        <is>
          <t>matriz_confusion</t>
        </is>
      </c>
      <c r="E258" s="61" t="inlineStr">
        <is>
          <t>matriz_confusion_h1.json</t>
        </is>
      </c>
      <c r="F258" s="61" t="inlineStr">
        <is>
          <t>Experimentos/runs/C1_v3_clean_20260330_085854/matriz_confusion_h1.json</t>
        </is>
      </c>
      <c r="G258" s="61" t="inlineStr">
        <is>
          <t>Matriz de confusion 5 clases para horizonte 1.</t>
        </is>
      </c>
    </row>
    <row r="259" ht="15" customHeight="1" s="27">
      <c r="A259" s="61" t="inlineStr">
        <is>
          <t>2026-03-30 09:00:16</t>
        </is>
      </c>
      <c r="B259" s="61" t="inlineStr">
        <is>
          <t>C1_v3_clean</t>
        </is>
      </c>
      <c r="C259" s="61" t="inlineStr">
        <is>
          <t>C1</t>
        </is>
      </c>
      <c r="D259" s="61" t="inlineStr">
        <is>
          <t>soporte_clases</t>
        </is>
      </c>
      <c r="E259" s="61" t="inlineStr">
        <is>
          <t>soporte_clases_h1.json</t>
        </is>
      </c>
      <c r="F259" s="61" t="inlineStr">
        <is>
          <t>Experimentos/runs/C1_v3_clean_20260330_085854/soporte_clases_h1.json</t>
        </is>
      </c>
      <c r="G259" s="61" t="inlineStr">
        <is>
          <t>Soporte por clase 5 clases para horizonte 1.</t>
        </is>
      </c>
    </row>
    <row r="260" ht="15" customHeight="1" s="27">
      <c r="A260" s="61" t="inlineStr">
        <is>
          <t>2026-03-30 09:00:16</t>
        </is>
      </c>
      <c r="B260" s="61" t="inlineStr">
        <is>
          <t>C1_v3_clean</t>
        </is>
      </c>
      <c r="C260" s="61" t="inlineStr">
        <is>
          <t>C1</t>
        </is>
      </c>
      <c r="D260" s="61" t="inlineStr">
        <is>
          <t>matriz_confusion</t>
        </is>
      </c>
      <c r="E260" s="61" t="inlineStr">
        <is>
          <t>matriz_confusion_h2.json</t>
        </is>
      </c>
      <c r="F260" s="61" t="inlineStr">
        <is>
          <t>Experimentos/runs/C1_v3_clean_20260330_085854/matriz_confusion_h2.json</t>
        </is>
      </c>
      <c r="G260" s="61" t="inlineStr">
        <is>
          <t>Matriz de confusion 5 clases para horizonte 2.</t>
        </is>
      </c>
    </row>
    <row r="261" ht="15" customHeight="1" s="27">
      <c r="A261" s="61" t="inlineStr">
        <is>
          <t>2026-03-30 09:00:16</t>
        </is>
      </c>
      <c r="B261" s="61" t="inlineStr">
        <is>
          <t>C1_v3_clean</t>
        </is>
      </c>
      <c r="C261" s="61" t="inlineStr">
        <is>
          <t>C1</t>
        </is>
      </c>
      <c r="D261" s="61" t="inlineStr">
        <is>
          <t>soporte_clases</t>
        </is>
      </c>
      <c r="E261" s="61" t="inlineStr">
        <is>
          <t>soporte_clases_h2.json</t>
        </is>
      </c>
      <c r="F261" s="61" t="inlineStr">
        <is>
          <t>Experimentos/runs/C1_v3_clean_20260330_085854/soporte_clases_h2.json</t>
        </is>
      </c>
      <c r="G261" s="61" t="inlineStr">
        <is>
          <t>Soporte por clase 5 clases para horizonte 2.</t>
        </is>
      </c>
    </row>
    <row r="262" ht="15" customHeight="1" s="27">
      <c r="A262" s="61" t="inlineStr">
        <is>
          <t>2026-03-30 09:00:16</t>
        </is>
      </c>
      <c r="B262" s="61" t="inlineStr">
        <is>
          <t>C1_v3_clean</t>
        </is>
      </c>
      <c r="C262" s="61" t="inlineStr">
        <is>
          <t>C1</t>
        </is>
      </c>
      <c r="D262" s="61" t="inlineStr">
        <is>
          <t>matriz_confusion</t>
        </is>
      </c>
      <c r="E262" s="61" t="inlineStr">
        <is>
          <t>matriz_confusion_h3.json</t>
        </is>
      </c>
      <c r="F262" s="61" t="inlineStr">
        <is>
          <t>Experimentos/runs/C1_v3_clean_20260330_085854/matriz_confusion_h3.json</t>
        </is>
      </c>
      <c r="G262" s="61" t="inlineStr">
        <is>
          <t>Matriz de confusion 5 clases para horizonte 3.</t>
        </is>
      </c>
    </row>
    <row r="263" ht="15" customHeight="1" s="27">
      <c r="A263" s="61" t="inlineStr">
        <is>
          <t>2026-03-30 09:00:16</t>
        </is>
      </c>
      <c r="B263" s="61" t="inlineStr">
        <is>
          <t>C1_v3_clean</t>
        </is>
      </c>
      <c r="C263" s="61" t="inlineStr">
        <is>
          <t>C1</t>
        </is>
      </c>
      <c r="D263" s="61" t="inlineStr">
        <is>
          <t>soporte_clases</t>
        </is>
      </c>
      <c r="E263" s="61" t="inlineStr">
        <is>
          <t>soporte_clases_h3.json</t>
        </is>
      </c>
      <c r="F263" s="61" t="inlineStr">
        <is>
          <t>Experimentos/runs/C1_v3_clean_20260330_085854/soporte_clases_h3.json</t>
        </is>
      </c>
      <c r="G263" s="61" t="inlineStr">
        <is>
          <t>Soporte por clase 5 clases para horizonte 3.</t>
        </is>
      </c>
    </row>
    <row r="264" ht="15" customHeight="1" s="27">
      <c r="A264" s="61" t="inlineStr">
        <is>
          <t>2026-03-30 09:00:16</t>
        </is>
      </c>
      <c r="B264" s="61" t="inlineStr">
        <is>
          <t>C1_v3_clean</t>
        </is>
      </c>
      <c r="C264" s="61" t="inlineStr">
        <is>
          <t>C1</t>
        </is>
      </c>
      <c r="D264" s="61" t="inlineStr">
        <is>
          <t>matriz_confusion</t>
        </is>
      </c>
      <c r="E264" s="61" t="inlineStr">
        <is>
          <t>matriz_confusion_h4.json</t>
        </is>
      </c>
      <c r="F264" s="61" t="inlineStr">
        <is>
          <t>Experimentos/runs/C1_v3_clean_20260330_085854/matriz_confusion_h4.json</t>
        </is>
      </c>
      <c r="G264" s="61" t="inlineStr">
        <is>
          <t>Matriz de confusion 5 clases para horizonte 4.</t>
        </is>
      </c>
    </row>
    <row r="265" ht="15" customHeight="1" s="27">
      <c r="A265" s="61" t="inlineStr">
        <is>
          <t>2026-03-30 09:00:16</t>
        </is>
      </c>
      <c r="B265" s="61" t="inlineStr">
        <is>
          <t>C1_v3_clean</t>
        </is>
      </c>
      <c r="C265" s="61" t="inlineStr">
        <is>
          <t>C1</t>
        </is>
      </c>
      <c r="D265" s="61" t="inlineStr">
        <is>
          <t>soporte_clases</t>
        </is>
      </c>
      <c r="E265" s="61" t="inlineStr">
        <is>
          <t>soporte_clases_h4.json</t>
        </is>
      </c>
      <c r="F265" s="61" t="inlineStr">
        <is>
          <t>Experimentos/runs/C1_v3_clean_20260330_085854/soporte_clases_h4.json</t>
        </is>
      </c>
      <c r="G265" s="61" t="inlineStr">
        <is>
          <t>Soporte por clase 5 clases para horizonte 4.</t>
        </is>
      </c>
    </row>
    <row r="266" ht="15" customHeight="1" s="27">
      <c r="A266" s="61" t="inlineStr">
        <is>
          <t>2026-03-30 09:00:16</t>
        </is>
      </c>
      <c r="B266" s="61" t="inlineStr">
        <is>
          <t>C1_v3_clean</t>
        </is>
      </c>
      <c r="C266" s="61" t="inlineStr">
        <is>
          <t>C1</t>
        </is>
      </c>
      <c r="D266" s="61" t="inlineStr">
        <is>
          <t>predicciones</t>
        </is>
      </c>
      <c r="E266" s="61" t="inlineStr">
        <is>
          <t>predicciones_h1.csv</t>
        </is>
      </c>
      <c r="F266" s="61" t="inlineStr">
        <is>
          <t>Experimentos/runs/C1_v3_clean_20260330_085854/predicciones_h1.csv</t>
        </is>
      </c>
      <c r="G266" s="61" t="inlineStr">
        <is>
          <t>Predicciones walk-forward de clasificacion para horizonte 1.</t>
        </is>
      </c>
    </row>
    <row r="267" ht="15" customHeight="1" s="27">
      <c r="A267" s="61" t="inlineStr">
        <is>
          <t>2026-03-30 09:00:16</t>
        </is>
      </c>
      <c r="B267" s="61" t="inlineStr">
        <is>
          <t>C1_v3_clean</t>
        </is>
      </c>
      <c r="C267" s="61" t="inlineStr">
        <is>
          <t>C1</t>
        </is>
      </c>
      <c r="D267" s="61" t="inlineStr">
        <is>
          <t>predicciones</t>
        </is>
      </c>
      <c r="E267" s="61" t="inlineStr">
        <is>
          <t>predicciones_h2.csv</t>
        </is>
      </c>
      <c r="F267" s="61" t="inlineStr">
        <is>
          <t>Experimentos/runs/C1_v3_clean_20260330_085854/predicciones_h2.csv</t>
        </is>
      </c>
      <c r="G267" s="61" t="inlineStr">
        <is>
          <t>Predicciones walk-forward de clasificacion para horizonte 2.</t>
        </is>
      </c>
    </row>
    <row r="268" ht="15" customHeight="1" s="27">
      <c r="A268" s="61" t="inlineStr">
        <is>
          <t>2026-03-30 09:00:16</t>
        </is>
      </c>
      <c r="B268" s="61" t="inlineStr">
        <is>
          <t>C1_v3_clean</t>
        </is>
      </c>
      <c r="C268" s="61" t="inlineStr">
        <is>
          <t>C1</t>
        </is>
      </c>
      <c r="D268" s="61" t="inlineStr">
        <is>
          <t>predicciones</t>
        </is>
      </c>
      <c r="E268" s="61" t="inlineStr">
        <is>
          <t>predicciones_h3.csv</t>
        </is>
      </c>
      <c r="F268" s="61" t="inlineStr">
        <is>
          <t>Experimentos/runs/C1_v3_clean_20260330_085854/predicciones_h3.csv</t>
        </is>
      </c>
      <c r="G268" s="61" t="inlineStr">
        <is>
          <t>Predicciones walk-forward de clasificacion para horizonte 3.</t>
        </is>
      </c>
    </row>
    <row r="269" ht="15" customHeight="1" s="27">
      <c r="A269" s="61" t="inlineStr">
        <is>
          <t>2026-03-30 09:00:16</t>
        </is>
      </c>
      <c r="B269" s="61" t="inlineStr">
        <is>
          <t>C1_v3_clean</t>
        </is>
      </c>
      <c r="C269" s="61" t="inlineStr">
        <is>
          <t>C1</t>
        </is>
      </c>
      <c r="D269" s="61" t="inlineStr">
        <is>
          <t>predicciones</t>
        </is>
      </c>
      <c r="E269" s="61" t="inlineStr">
        <is>
          <t>predicciones_h4.csv</t>
        </is>
      </c>
      <c r="F269" s="61" t="inlineStr">
        <is>
          <t>Experimentos/runs/C1_v3_clean_20260330_085854/predicciones_h4.csv</t>
        </is>
      </c>
      <c r="G269" s="61" t="inlineStr">
        <is>
          <t>Predicciones walk-forward de clasificacion para horizonte 4.</t>
        </is>
      </c>
    </row>
    <row r="270" ht="15" customHeight="1" s="27">
      <c r="A270" s="61" t="inlineStr">
        <is>
          <t>2026-03-30 09:00:16</t>
        </is>
      </c>
      <c r="B270" s="61" t="inlineStr">
        <is>
          <t>C1_v3_clean</t>
        </is>
      </c>
      <c r="C270" s="61" t="inlineStr">
        <is>
          <t>C1</t>
        </is>
      </c>
      <c r="D270" s="61" t="inlineStr">
        <is>
          <t>resumen</t>
        </is>
      </c>
      <c r="E270" s="61" t="inlineStr">
        <is>
          <t>resumen_modeling_horizontes.json</t>
        </is>
      </c>
      <c r="F270" s="61" t="inlineStr">
        <is>
          <t>Experimentos/runs/C1_v3_clean_20260330_085854/resumen_modeling_horizontes.json</t>
        </is>
      </c>
      <c r="G270" s="61" t="inlineStr">
        <is>
          <t>Resumen de tamanos, target de clasificacion y seleccion de features por horizonte.</t>
        </is>
      </c>
    </row>
    <row r="271" ht="15" customHeight="1" s="27">
      <c r="A271" s="61" t="inlineStr">
        <is>
          <t>2026-03-30 09:00:16</t>
        </is>
      </c>
      <c r="B271" s="61" t="inlineStr">
        <is>
          <t>C1_v3_clean</t>
        </is>
      </c>
      <c r="C271" s="61" t="inlineStr">
        <is>
          <t>C1</t>
        </is>
      </c>
      <c r="D271" s="61" t="inlineStr">
        <is>
          <t>metricas</t>
        </is>
      </c>
      <c r="E271" s="61" t="inlineStr">
        <is>
          <t>metricas_horizonte.json</t>
        </is>
      </c>
      <c r="F271" s="61" t="inlineStr">
        <is>
          <t>Experimentos/runs/C1_v3_clean_20260330_085854/metricas_horizonte.json</t>
        </is>
      </c>
      <c r="G271" s="61" t="inlineStr">
        <is>
          <t>Resumen estructurado por horizonte.</t>
        </is>
      </c>
    </row>
    <row r="272" ht="15" customHeight="1" s="27">
      <c r="A272" s="61" t="inlineStr">
        <is>
          <t>2026-03-30 09:00:16</t>
        </is>
      </c>
      <c r="B272" s="61" t="inlineStr">
        <is>
          <t>C1_v3_clean</t>
        </is>
      </c>
      <c r="C272" s="61" t="inlineStr">
        <is>
          <t>C1</t>
        </is>
      </c>
      <c r="D272" s="61" t="inlineStr">
        <is>
          <t>metadata</t>
        </is>
      </c>
      <c r="E272" s="61" t="inlineStr">
        <is>
          <t>metadata_run.json</t>
        </is>
      </c>
      <c r="F272" s="61" t="inlineStr">
        <is>
          <t>Experimentos/runs/C1_v3_clean_20260330_085854/metadata_run.json</t>
        </is>
      </c>
      <c r="G272" s="61" t="inlineStr">
        <is>
          <t>Metadata base del run.</t>
        </is>
      </c>
    </row>
    <row r="273" ht="15" customHeight="1" s="27">
      <c r="A273" s="61" t="inlineStr">
        <is>
          <t>2026-03-30 09:04:57</t>
        </is>
      </c>
      <c r="B273" s="61" t="inlineStr">
        <is>
          <t>E5_v2_clean</t>
        </is>
      </c>
      <c r="C273" s="61" t="inlineStr">
        <is>
          <t>E5</t>
        </is>
      </c>
      <c r="D273" s="61" t="inlineStr">
        <is>
          <t>script_snapshot</t>
        </is>
      </c>
      <c r="E273" s="61" t="inlineStr">
        <is>
          <t>run_e5_catboost.py</t>
        </is>
      </c>
      <c r="F273" s="61" t="inlineStr">
        <is>
          <t>Experimentos/runs/E5_v2_clean_20260330_090443/scripts/run_e5_catboost.py</t>
        </is>
      </c>
      <c r="G273" s="61" t="inlineStr">
        <is>
          <t>Copia del script ejecutado para reproducibilidad.</t>
        </is>
      </c>
    </row>
    <row r="274" ht="15" customHeight="1" s="27">
      <c r="A274" s="61" t="inlineStr">
        <is>
          <t>2026-03-30 09:04:57</t>
        </is>
      </c>
      <c r="B274" s="61" t="inlineStr">
        <is>
          <t>E5_v2_clean</t>
        </is>
      </c>
      <c r="C274" s="61" t="inlineStr">
        <is>
          <t>E5</t>
        </is>
      </c>
      <c r="D274" s="61" t="inlineStr">
        <is>
          <t>parametros</t>
        </is>
      </c>
      <c r="E274" s="61" t="inlineStr">
        <is>
          <t>parametros_run.json</t>
        </is>
      </c>
      <c r="F274" s="61" t="inlineStr">
        <is>
          <t>Experimentos/runs/E5_v2_clean_20260330_090443/parametros_run.json</t>
        </is>
      </c>
      <c r="G274" s="61" t="inlineStr">
        <is>
          <t>Parametros del experimento.</t>
        </is>
      </c>
    </row>
    <row r="275" ht="15" customHeight="1" s="27">
      <c r="A275" s="61" t="inlineStr">
        <is>
          <t>2026-03-30 09:04:57</t>
        </is>
      </c>
      <c r="B275" s="61" t="inlineStr">
        <is>
          <t>E5_v2_clean</t>
        </is>
      </c>
      <c r="C275" s="61" t="inlineStr">
        <is>
          <t>E5</t>
        </is>
      </c>
      <c r="D275" s="61" t="inlineStr">
        <is>
          <t>seleccion_features</t>
        </is>
      </c>
      <c r="E275" s="61" t="inlineStr">
        <is>
          <t>features_seleccionadas_h1.csv</t>
        </is>
      </c>
      <c r="F275" s="61" t="inlineStr">
        <is>
          <t>Experimentos/runs/E5_v2_clean_20260330_090443/features_seleccionadas_h1.csv</t>
        </is>
      </c>
      <c r="G275" s="61" t="inlineStr">
        <is>
          <t>Resumen de combinaciones de features seleccionadas por fold externo. El filtro se calcula solo con el train de cada fold externo.</t>
        </is>
      </c>
    </row>
    <row r="276" ht="15" customHeight="1" s="27">
      <c r="A276" s="61" t="inlineStr">
        <is>
          <t>2026-03-30 09:04:57</t>
        </is>
      </c>
      <c r="B276" s="61" t="inlineStr">
        <is>
          <t>E5_v2_clean</t>
        </is>
      </c>
      <c r="C276" s="61" t="inlineStr">
        <is>
          <t>E5</t>
        </is>
      </c>
      <c r="D276" s="61" t="inlineStr">
        <is>
          <t>seleccion_features</t>
        </is>
      </c>
      <c r="E276" s="61" t="inlineStr">
        <is>
          <t>features_seleccionadas_h2.csv</t>
        </is>
      </c>
      <c r="F276" s="61" t="inlineStr">
        <is>
          <t>Experimentos/runs/E5_v2_clean_20260330_090443/features_seleccionadas_h2.csv</t>
        </is>
      </c>
      <c r="G276" s="61" t="inlineStr">
        <is>
          <t>Resumen de combinaciones de features seleccionadas por fold externo. El filtro se calcula solo con el train de cada fold externo.</t>
        </is>
      </c>
    </row>
    <row r="277" ht="15" customHeight="1" s="27">
      <c r="A277" s="61" t="inlineStr">
        <is>
          <t>2026-03-30 09:04:57</t>
        </is>
      </c>
      <c r="B277" s="61" t="inlineStr">
        <is>
          <t>E5_v2_clean</t>
        </is>
      </c>
      <c r="C277" s="61" t="inlineStr">
        <is>
          <t>E5</t>
        </is>
      </c>
      <c r="D277" s="61" t="inlineStr">
        <is>
          <t>seleccion_features</t>
        </is>
      </c>
      <c r="E277" s="61" t="inlineStr">
        <is>
          <t>features_seleccionadas_h3.csv</t>
        </is>
      </c>
      <c r="F277" s="61" t="inlineStr">
        <is>
          <t>Experimentos/runs/E5_v2_clean_20260330_090443/features_seleccionadas_h3.csv</t>
        </is>
      </c>
      <c r="G277" s="61" t="inlineStr">
        <is>
          <t>Resumen de combinaciones de features seleccionadas por fold externo. El filtro se calcula solo con el train de cada fold externo.</t>
        </is>
      </c>
    </row>
    <row r="278" ht="15" customHeight="1" s="27">
      <c r="A278" s="61" t="inlineStr">
        <is>
          <t>2026-03-30 09:04:57</t>
        </is>
      </c>
      <c r="B278" s="61" t="inlineStr">
        <is>
          <t>E5_v2_clean</t>
        </is>
      </c>
      <c r="C278" s="61" t="inlineStr">
        <is>
          <t>E5</t>
        </is>
      </c>
      <c r="D278" s="61" t="inlineStr">
        <is>
          <t>seleccion_features</t>
        </is>
      </c>
      <c r="E278" s="61" t="inlineStr">
        <is>
          <t>features_seleccionadas_h4.csv</t>
        </is>
      </c>
      <c r="F278" s="61" t="inlineStr">
        <is>
          <t>Experimentos/runs/E5_v2_clean_20260330_090443/features_seleccionadas_h4.csv</t>
        </is>
      </c>
      <c r="G278" s="61" t="inlineStr">
        <is>
          <t>Resumen de combinaciones de features seleccionadas por fold externo. El filtro se calcula solo con el train de cada fold externo.</t>
        </is>
      </c>
    </row>
    <row r="279" ht="15" customHeight="1" s="27">
      <c r="A279" s="61" t="inlineStr">
        <is>
          <t>2026-03-30 09:04:57</t>
        </is>
      </c>
      <c r="B279" s="61" t="inlineStr">
        <is>
          <t>E5_v2_clean</t>
        </is>
      </c>
      <c r="C279" s="61" t="inlineStr">
        <is>
          <t>E5</t>
        </is>
      </c>
      <c r="D279" s="61" t="inlineStr">
        <is>
          <t>predicciones</t>
        </is>
      </c>
      <c r="E279" s="61" t="inlineStr">
        <is>
          <t>predicciones_h1.csv</t>
        </is>
      </c>
      <c r="F279" s="61" t="inlineStr">
        <is>
          <t>Experimentos/runs/E5_v2_clean_20260330_090443/predicciones_h1.csv</t>
        </is>
      </c>
      <c r="G279" s="61" t="inlineStr">
        <is>
          <t>Predicciones walk-forward para horizonte 1.</t>
        </is>
      </c>
    </row>
    <row r="280" ht="15" customHeight="1" s="27">
      <c r="A280" s="61" t="inlineStr">
        <is>
          <t>2026-03-30 09:04:57</t>
        </is>
      </c>
      <c r="B280" s="61" t="inlineStr">
        <is>
          <t>E5_v2_clean</t>
        </is>
      </c>
      <c r="C280" s="61" t="inlineStr">
        <is>
          <t>E5</t>
        </is>
      </c>
      <c r="D280" s="61" t="inlineStr">
        <is>
          <t>predicciones</t>
        </is>
      </c>
      <c r="E280" s="61" t="inlineStr">
        <is>
          <t>predicciones_h2.csv</t>
        </is>
      </c>
      <c r="F280" s="61" t="inlineStr">
        <is>
          <t>Experimentos/runs/E5_v2_clean_20260330_090443/predicciones_h2.csv</t>
        </is>
      </c>
      <c r="G280" s="61" t="inlineStr">
        <is>
          <t>Predicciones walk-forward para horizonte 2.</t>
        </is>
      </c>
    </row>
    <row r="281" ht="15" customHeight="1" s="27">
      <c r="A281" s="61" t="inlineStr">
        <is>
          <t>2026-03-30 09:04:57</t>
        </is>
      </c>
      <c r="B281" s="61" t="inlineStr">
        <is>
          <t>E5_v2_clean</t>
        </is>
      </c>
      <c r="C281" s="61" t="inlineStr">
        <is>
          <t>E5</t>
        </is>
      </c>
      <c r="D281" s="61" t="inlineStr">
        <is>
          <t>predicciones</t>
        </is>
      </c>
      <c r="E281" s="61" t="inlineStr">
        <is>
          <t>predicciones_h3.csv</t>
        </is>
      </c>
      <c r="F281" s="61" t="inlineStr">
        <is>
          <t>Experimentos/runs/E5_v2_clean_20260330_090443/predicciones_h3.csv</t>
        </is>
      </c>
      <c r="G281" s="61" t="inlineStr">
        <is>
          <t>Predicciones walk-forward para horizonte 3.</t>
        </is>
      </c>
    </row>
    <row r="282" ht="15" customHeight="1" s="27">
      <c r="A282" s="61" t="inlineStr">
        <is>
          <t>2026-03-30 09:04:57</t>
        </is>
      </c>
      <c r="B282" s="61" t="inlineStr">
        <is>
          <t>E5_v2_clean</t>
        </is>
      </c>
      <c r="C282" s="61" t="inlineStr">
        <is>
          <t>E5</t>
        </is>
      </c>
      <c r="D282" s="61" t="inlineStr">
        <is>
          <t>predicciones</t>
        </is>
      </c>
      <c r="E282" s="61" t="inlineStr">
        <is>
          <t>predicciones_h4.csv</t>
        </is>
      </c>
      <c r="F282" s="61" t="inlineStr">
        <is>
          <t>Experimentos/runs/E5_v2_clean_20260330_090443/predicciones_h4.csv</t>
        </is>
      </c>
      <c r="G282" s="61" t="inlineStr">
        <is>
          <t>Predicciones walk-forward para horizonte 4.</t>
        </is>
      </c>
    </row>
    <row r="283" ht="15" customHeight="1" s="27">
      <c r="A283" s="61" t="inlineStr">
        <is>
          <t>2026-03-30 09:04:57</t>
        </is>
      </c>
      <c r="B283" s="61" t="inlineStr">
        <is>
          <t>E5_v2_clean</t>
        </is>
      </c>
      <c r="C283" s="61" t="inlineStr">
        <is>
          <t>E5</t>
        </is>
      </c>
      <c r="D283" s="61" t="inlineStr">
        <is>
          <t>resumen</t>
        </is>
      </c>
      <c r="E283" s="61" t="inlineStr">
        <is>
          <t>resumen_modeling_horizontes.json</t>
        </is>
      </c>
      <c r="F283" s="61" t="inlineStr">
        <is>
          <t>Experimentos/runs/E5_v2_clean_20260330_090443/resumen_modeling_horizontes.json</t>
        </is>
      </c>
      <c r="G283" s="61" t="inlineStr">
        <is>
          <t>Resumen de tamanos y seleccion de features por horizonte.</t>
        </is>
      </c>
    </row>
    <row r="284" ht="15" customHeight="1" s="27">
      <c r="A284" s="61" t="inlineStr">
        <is>
          <t>2026-03-30 09:04:57</t>
        </is>
      </c>
      <c r="B284" s="61" t="inlineStr">
        <is>
          <t>E5_v2_clean</t>
        </is>
      </c>
      <c r="C284" s="61" t="inlineStr">
        <is>
          <t>E5</t>
        </is>
      </c>
      <c r="D284" s="61" t="inlineStr">
        <is>
          <t>comparacion</t>
        </is>
      </c>
      <c r="E284" s="61" t="inlineStr">
        <is>
          <t>comparacion_vs_E1_v5_clean.json</t>
        </is>
      </c>
      <c r="F284" s="61" t="inlineStr">
        <is>
          <t>Experimentos/runs/E5_v2_clean_20260330_090443/comparacion_vs_E1_v5_clean.json</t>
        </is>
      </c>
      <c r="G284" s="61" t="inlineStr">
        <is>
          <t>Comparacion de la corrida clean contra E1_v5_clean.</t>
        </is>
      </c>
    </row>
    <row r="285" ht="15" customHeight="1" s="27">
      <c r="A285" s="61" t="inlineStr">
        <is>
          <t>2026-03-30 09:04:57</t>
        </is>
      </c>
      <c r="B285" s="61" t="inlineStr">
        <is>
          <t>E5_v2_clean</t>
        </is>
      </c>
      <c r="C285" s="61" t="inlineStr">
        <is>
          <t>E5</t>
        </is>
      </c>
      <c r="D285" s="61" t="inlineStr">
        <is>
          <t>comparacion</t>
        </is>
      </c>
      <c r="E285" s="61" t="inlineStr">
        <is>
          <t>comparacion_vs_E1_v4_clean.json</t>
        </is>
      </c>
      <c r="F285" s="61" t="inlineStr">
        <is>
          <t>Experimentos/runs/E5_v2_clean_20260330_090443/comparacion_vs_E1_v4_clean.json</t>
        </is>
      </c>
      <c r="G285" s="61" t="inlineStr">
        <is>
          <t>Comparacion de la corrida clean contra E1_v4_clean.</t>
        </is>
      </c>
    </row>
    <row r="286" ht="15" customHeight="1" s="27">
      <c r="A286" s="61" t="inlineStr">
        <is>
          <t>2026-03-30 09:04:57</t>
        </is>
      </c>
      <c r="B286" s="61" t="inlineStr">
        <is>
          <t>E5_v2_clean</t>
        </is>
      </c>
      <c r="C286" s="61" t="inlineStr">
        <is>
          <t>E5</t>
        </is>
      </c>
      <c r="D286" s="61" t="inlineStr">
        <is>
          <t>comparacion</t>
        </is>
      </c>
      <c r="E286" s="61" t="inlineStr">
        <is>
          <t>comparacion_vs_E2_v3_clean.json</t>
        </is>
      </c>
      <c r="F286" s="61" t="inlineStr">
        <is>
          <t>Experimentos/runs/E5_v2_clean_20260330_090443/comparacion_vs_E2_v3_clean.json</t>
        </is>
      </c>
      <c r="G286" s="61" t="inlineStr">
        <is>
          <t>Comparacion de la corrida clean contra E2_v3_clean.</t>
        </is>
      </c>
    </row>
    <row r="287" ht="15" customHeight="1" s="27">
      <c r="A287" s="61" t="inlineStr">
        <is>
          <t>2026-03-30 09:04:57</t>
        </is>
      </c>
      <c r="B287" s="61" t="inlineStr">
        <is>
          <t>E5_v2_clean</t>
        </is>
      </c>
      <c r="C287" s="61" t="inlineStr">
        <is>
          <t>E5</t>
        </is>
      </c>
      <c r="D287" s="61" t="inlineStr">
        <is>
          <t>comparacion</t>
        </is>
      </c>
      <c r="E287" s="61" t="inlineStr">
        <is>
          <t>comparacion_vs_E3_v2_clean.json</t>
        </is>
      </c>
      <c r="F287" s="61" t="inlineStr">
        <is>
          <t>Experimentos/runs/E5_v2_clean_20260330_090443/comparacion_vs_E3_v2_clean.json</t>
        </is>
      </c>
      <c r="G287" s="61" t="inlineStr">
        <is>
          <t>Comparacion de la corrida clean contra E3_v2_clean.</t>
        </is>
      </c>
    </row>
    <row r="288" ht="15" customHeight="1" s="27">
      <c r="A288" s="61" t="inlineStr">
        <is>
          <t>2026-03-30 09:04:57</t>
        </is>
      </c>
      <c r="B288" s="61" t="inlineStr">
        <is>
          <t>E5_v2_clean</t>
        </is>
      </c>
      <c r="C288" s="61" t="inlineStr">
        <is>
          <t>E5</t>
        </is>
      </c>
      <c r="D288" s="61" t="inlineStr">
        <is>
          <t>comparacion</t>
        </is>
      </c>
      <c r="E288" s="61" t="inlineStr">
        <is>
          <t>comparacion_vs_E4_v1_clean.json</t>
        </is>
      </c>
      <c r="F288" s="61" t="inlineStr">
        <is>
          <t>Experimentos/runs/E5_v2_clean_20260330_090443/comparacion_vs_E4_v1_clean.json</t>
        </is>
      </c>
      <c r="G288" s="61" t="inlineStr">
        <is>
          <t>Comparacion de la corrida clean contra E4_v1_clean.</t>
        </is>
      </c>
    </row>
    <row r="289" ht="15" customHeight="1" s="27">
      <c r="A289" s="61" t="inlineStr">
        <is>
          <t>2026-03-30 09:04:57</t>
        </is>
      </c>
      <c r="B289" s="61" t="inlineStr">
        <is>
          <t>E5_v2_clean</t>
        </is>
      </c>
      <c r="C289" s="61" t="inlineStr">
        <is>
          <t>E5</t>
        </is>
      </c>
      <c r="D289" s="61" t="inlineStr">
        <is>
          <t>comparacion</t>
        </is>
      </c>
      <c r="E289" s="61" t="inlineStr">
        <is>
          <t>comparacion_vs_E5_v1_clean.json</t>
        </is>
      </c>
      <c r="F289" s="61" t="inlineStr">
        <is>
          <t>Experimentos/runs/E5_v2_clean_20260330_090443/comparacion_vs_E5_v1_clean.json</t>
        </is>
      </c>
      <c r="G289" s="61" t="inlineStr">
        <is>
          <t>Comparacion de la corrida clean contra E5_v1_clean.</t>
        </is>
      </c>
    </row>
    <row r="290" ht="15" customHeight="1" s="27">
      <c r="A290" s="61" t="inlineStr">
        <is>
          <t>2026-03-30 09:04:57</t>
        </is>
      </c>
      <c r="B290" s="61" t="inlineStr">
        <is>
          <t>E5_v2_clean</t>
        </is>
      </c>
      <c r="C290" s="61" t="inlineStr">
        <is>
          <t>E5</t>
        </is>
      </c>
      <c r="D290" s="61" t="inlineStr">
        <is>
          <t>metricas</t>
        </is>
      </c>
      <c r="E290" s="61" t="inlineStr">
        <is>
          <t>metricas_horizonte.json</t>
        </is>
      </c>
      <c r="F290" s="61" t="inlineStr">
        <is>
          <t>Experimentos/runs/E5_v2_clean_20260330_090443/metricas_horizonte.json</t>
        </is>
      </c>
      <c r="G290" s="61" t="inlineStr">
        <is>
          <t>Resumen estructurado por horizonte.</t>
        </is>
      </c>
    </row>
    <row r="291" ht="15" customHeight="1" s="27">
      <c r="A291" s="61" t="inlineStr">
        <is>
          <t>2026-03-30 09:04:57</t>
        </is>
      </c>
      <c r="B291" s="61" t="inlineStr">
        <is>
          <t>E5_v2_clean</t>
        </is>
      </c>
      <c r="C291" s="61" t="inlineStr">
        <is>
          <t>E5</t>
        </is>
      </c>
      <c r="D291" s="61" t="inlineStr">
        <is>
          <t>metadata</t>
        </is>
      </c>
      <c r="E291" s="61" t="inlineStr">
        <is>
          <t>metadata_run.json</t>
        </is>
      </c>
      <c r="F291" s="61" t="inlineStr">
        <is>
          <t>Experimentos/runs/E5_v2_clean_20260330_090443/metadata_run.json</t>
        </is>
      </c>
      <c r="G291" s="61" t="inlineStr">
        <is>
          <t>Metadata base del run.</t>
        </is>
      </c>
    </row>
    <row r="292" ht="15" customHeight="1" s="27">
      <c r="A292" s="61" t="inlineStr">
        <is>
          <t>2026-03-30 09:08:21</t>
        </is>
      </c>
      <c r="B292" s="61" t="inlineStr">
        <is>
          <t>E5_v3_clean</t>
        </is>
      </c>
      <c r="C292" s="61" t="inlineStr">
        <is>
          <t>E5</t>
        </is>
      </c>
      <c r="D292" s="61" t="inlineStr">
        <is>
          <t>script_snapshot</t>
        </is>
      </c>
      <c r="E292" s="61" t="inlineStr">
        <is>
          <t>run_e5_catboost.py</t>
        </is>
      </c>
      <c r="F292" s="61" t="inlineStr">
        <is>
          <t>Experimentos/runs/E5_v3_clean_20260330_090800/scripts/run_e5_catboost.py</t>
        </is>
      </c>
      <c r="G292" s="61" t="inlineStr">
        <is>
          <t>Copia del script ejecutado para reproducibilidad.</t>
        </is>
      </c>
    </row>
    <row r="293" ht="15" customHeight="1" s="27">
      <c r="A293" s="61" t="inlineStr">
        <is>
          <t>2026-03-30 09:08:21</t>
        </is>
      </c>
      <c r="B293" s="61" t="inlineStr">
        <is>
          <t>E5_v3_clean</t>
        </is>
      </c>
      <c r="C293" s="61" t="inlineStr">
        <is>
          <t>E5</t>
        </is>
      </c>
      <c r="D293" s="61" t="inlineStr">
        <is>
          <t>parametros</t>
        </is>
      </c>
      <c r="E293" s="61" t="inlineStr">
        <is>
          <t>parametros_run.json</t>
        </is>
      </c>
      <c r="F293" s="61" t="inlineStr">
        <is>
          <t>Experimentos/runs/E5_v3_clean_20260330_090800/parametros_run.json</t>
        </is>
      </c>
      <c r="G293" s="61" t="inlineStr">
        <is>
          <t>Parametros del experimento.</t>
        </is>
      </c>
    </row>
    <row r="294" ht="15" customHeight="1" s="27">
      <c r="A294" s="61" t="inlineStr">
        <is>
          <t>2026-03-30 09:08:21</t>
        </is>
      </c>
      <c r="B294" s="61" t="inlineStr">
        <is>
          <t>E5_v3_clean</t>
        </is>
      </c>
      <c r="C294" s="61" t="inlineStr">
        <is>
          <t>E5</t>
        </is>
      </c>
      <c r="D294" s="61" t="inlineStr">
        <is>
          <t>predicciones</t>
        </is>
      </c>
      <c r="E294" s="61" t="inlineStr">
        <is>
          <t>predicciones_h1.csv</t>
        </is>
      </c>
      <c r="F294" s="61" t="inlineStr">
        <is>
          <t>Experimentos/runs/E5_v3_clean_20260330_090800/predicciones_h1.csv</t>
        </is>
      </c>
      <c r="G294" s="61" t="inlineStr">
        <is>
          <t>Predicciones walk-forward para horizonte 1.</t>
        </is>
      </c>
    </row>
    <row r="295" ht="15" customHeight="1" s="27">
      <c r="A295" s="61" t="inlineStr">
        <is>
          <t>2026-03-30 09:08:21</t>
        </is>
      </c>
      <c r="B295" s="61" t="inlineStr">
        <is>
          <t>E5_v3_clean</t>
        </is>
      </c>
      <c r="C295" s="61" t="inlineStr">
        <is>
          <t>E5</t>
        </is>
      </c>
      <c r="D295" s="61" t="inlineStr">
        <is>
          <t>predicciones</t>
        </is>
      </c>
      <c r="E295" s="61" t="inlineStr">
        <is>
          <t>predicciones_h2.csv</t>
        </is>
      </c>
      <c r="F295" s="61" t="inlineStr">
        <is>
          <t>Experimentos/runs/E5_v3_clean_20260330_090800/predicciones_h2.csv</t>
        </is>
      </c>
      <c r="G295" s="61" t="inlineStr">
        <is>
          <t>Predicciones walk-forward para horizonte 2.</t>
        </is>
      </c>
    </row>
    <row r="296" ht="15" customHeight="1" s="27">
      <c r="A296" s="61" t="inlineStr">
        <is>
          <t>2026-03-30 09:08:21</t>
        </is>
      </c>
      <c r="B296" s="61" t="inlineStr">
        <is>
          <t>E5_v3_clean</t>
        </is>
      </c>
      <c r="C296" s="61" t="inlineStr">
        <is>
          <t>E5</t>
        </is>
      </c>
      <c r="D296" s="61" t="inlineStr">
        <is>
          <t>predicciones</t>
        </is>
      </c>
      <c r="E296" s="61" t="inlineStr">
        <is>
          <t>predicciones_h3.csv</t>
        </is>
      </c>
      <c r="F296" s="61" t="inlineStr">
        <is>
          <t>Experimentos/runs/E5_v3_clean_20260330_090800/predicciones_h3.csv</t>
        </is>
      </c>
      <c r="G296" s="61" t="inlineStr">
        <is>
          <t>Predicciones walk-forward para horizonte 3.</t>
        </is>
      </c>
    </row>
    <row r="297" ht="15" customHeight="1" s="27">
      <c r="A297" s="61" t="inlineStr">
        <is>
          <t>2026-03-30 09:08:21</t>
        </is>
      </c>
      <c r="B297" s="61" t="inlineStr">
        <is>
          <t>E5_v3_clean</t>
        </is>
      </c>
      <c r="C297" s="61" t="inlineStr">
        <is>
          <t>E5</t>
        </is>
      </c>
      <c r="D297" s="61" t="inlineStr">
        <is>
          <t>predicciones</t>
        </is>
      </c>
      <c r="E297" s="61" t="inlineStr">
        <is>
          <t>predicciones_h4.csv</t>
        </is>
      </c>
      <c r="F297" s="61" t="inlineStr">
        <is>
          <t>Experimentos/runs/E5_v3_clean_20260330_090800/predicciones_h4.csv</t>
        </is>
      </c>
      <c r="G297" s="61" t="inlineStr">
        <is>
          <t>Predicciones walk-forward para horizonte 4.</t>
        </is>
      </c>
    </row>
    <row r="298" ht="15" customHeight="1" s="27">
      <c r="A298" s="61" t="inlineStr">
        <is>
          <t>2026-03-30 09:08:21</t>
        </is>
      </c>
      <c r="B298" s="61" t="inlineStr">
        <is>
          <t>E5_v3_clean</t>
        </is>
      </c>
      <c r="C298" s="61" t="inlineStr">
        <is>
          <t>E5</t>
        </is>
      </c>
      <c r="D298" s="61" t="inlineStr">
        <is>
          <t>resumen</t>
        </is>
      </c>
      <c r="E298" s="61" t="inlineStr">
        <is>
          <t>resumen_modeling_horizontes.json</t>
        </is>
      </c>
      <c r="F298" s="61" t="inlineStr">
        <is>
          <t>Experimentos/runs/E5_v3_clean_20260330_090800/resumen_modeling_horizontes.json</t>
        </is>
      </c>
      <c r="G298" s="61" t="inlineStr">
        <is>
          <t>Resumen de tamanos y seleccion de features por horizonte.</t>
        </is>
      </c>
    </row>
    <row r="299" ht="15" customHeight="1" s="27">
      <c r="A299" s="61" t="inlineStr">
        <is>
          <t>2026-03-30 09:08:21</t>
        </is>
      </c>
      <c r="B299" s="61" t="inlineStr">
        <is>
          <t>E5_v3_clean</t>
        </is>
      </c>
      <c r="C299" s="61" t="inlineStr">
        <is>
          <t>E5</t>
        </is>
      </c>
      <c r="D299" s="61" t="inlineStr">
        <is>
          <t>comparacion</t>
        </is>
      </c>
      <c r="E299" s="61" t="inlineStr">
        <is>
          <t>comparacion_vs_E1_v5_clean.json</t>
        </is>
      </c>
      <c r="F299" s="61" t="inlineStr">
        <is>
          <t>Experimentos/runs/E5_v3_clean_20260330_090800/comparacion_vs_E1_v5_clean.json</t>
        </is>
      </c>
      <c r="G299" s="61" t="inlineStr">
        <is>
          <t>Comparacion de la corrida clean contra E1_v5_clean.</t>
        </is>
      </c>
    </row>
    <row r="300" ht="15" customHeight="1" s="27">
      <c r="A300" s="61" t="inlineStr">
        <is>
          <t>2026-03-30 09:08:21</t>
        </is>
      </c>
      <c r="B300" s="61" t="inlineStr">
        <is>
          <t>E5_v3_clean</t>
        </is>
      </c>
      <c r="C300" s="61" t="inlineStr">
        <is>
          <t>E5</t>
        </is>
      </c>
      <c r="D300" s="61" t="inlineStr">
        <is>
          <t>comparacion</t>
        </is>
      </c>
      <c r="E300" s="61" t="inlineStr">
        <is>
          <t>comparacion_vs_E1_v4_clean.json</t>
        </is>
      </c>
      <c r="F300" s="61" t="inlineStr">
        <is>
          <t>Experimentos/runs/E5_v3_clean_20260330_090800/comparacion_vs_E1_v4_clean.json</t>
        </is>
      </c>
      <c r="G300" s="61" t="inlineStr">
        <is>
          <t>Comparacion de la corrida clean contra E1_v4_clean.</t>
        </is>
      </c>
    </row>
    <row r="301" ht="15" customHeight="1" s="27">
      <c r="A301" s="61" t="inlineStr">
        <is>
          <t>2026-03-30 09:08:21</t>
        </is>
      </c>
      <c r="B301" s="61" t="inlineStr">
        <is>
          <t>E5_v3_clean</t>
        </is>
      </c>
      <c r="C301" s="61" t="inlineStr">
        <is>
          <t>E5</t>
        </is>
      </c>
      <c r="D301" s="61" t="inlineStr">
        <is>
          <t>comparacion</t>
        </is>
      </c>
      <c r="E301" s="61" t="inlineStr">
        <is>
          <t>comparacion_vs_E2_v3_clean.json</t>
        </is>
      </c>
      <c r="F301" s="61" t="inlineStr">
        <is>
          <t>Experimentos/runs/E5_v3_clean_20260330_090800/comparacion_vs_E2_v3_clean.json</t>
        </is>
      </c>
      <c r="G301" s="61" t="inlineStr">
        <is>
          <t>Comparacion de la corrida clean contra E2_v3_clean.</t>
        </is>
      </c>
    </row>
    <row r="302" ht="15" customHeight="1" s="27">
      <c r="A302" s="61" t="inlineStr">
        <is>
          <t>2026-03-30 09:08:21</t>
        </is>
      </c>
      <c r="B302" s="61" t="inlineStr">
        <is>
          <t>E5_v3_clean</t>
        </is>
      </c>
      <c r="C302" s="61" t="inlineStr">
        <is>
          <t>E5</t>
        </is>
      </c>
      <c r="D302" s="61" t="inlineStr">
        <is>
          <t>comparacion</t>
        </is>
      </c>
      <c r="E302" s="61" t="inlineStr">
        <is>
          <t>comparacion_vs_E3_v2_clean.json</t>
        </is>
      </c>
      <c r="F302" s="61" t="inlineStr">
        <is>
          <t>Experimentos/runs/E5_v3_clean_20260330_090800/comparacion_vs_E3_v2_clean.json</t>
        </is>
      </c>
      <c r="G302" s="61" t="inlineStr">
        <is>
          <t>Comparacion de la corrida clean contra E3_v2_clean.</t>
        </is>
      </c>
    </row>
    <row r="303" ht="15" customHeight="1" s="27">
      <c r="A303" s="61" t="inlineStr">
        <is>
          <t>2026-03-30 09:08:21</t>
        </is>
      </c>
      <c r="B303" s="61" t="inlineStr">
        <is>
          <t>E5_v3_clean</t>
        </is>
      </c>
      <c r="C303" s="61" t="inlineStr">
        <is>
          <t>E5</t>
        </is>
      </c>
      <c r="D303" s="61" t="inlineStr">
        <is>
          <t>comparacion</t>
        </is>
      </c>
      <c r="E303" s="61" t="inlineStr">
        <is>
          <t>comparacion_vs_E4_v1_clean.json</t>
        </is>
      </c>
      <c r="F303" s="61" t="inlineStr">
        <is>
          <t>Experimentos/runs/E5_v3_clean_20260330_090800/comparacion_vs_E4_v1_clean.json</t>
        </is>
      </c>
      <c r="G303" s="61" t="inlineStr">
        <is>
          <t>Comparacion de la corrida clean contra E4_v1_clean.</t>
        </is>
      </c>
    </row>
    <row r="304" ht="15" customHeight="1" s="27">
      <c r="A304" s="61" t="inlineStr">
        <is>
          <t>2026-03-30 09:08:21</t>
        </is>
      </c>
      <c r="B304" s="61" t="inlineStr">
        <is>
          <t>E5_v3_clean</t>
        </is>
      </c>
      <c r="C304" s="61" t="inlineStr">
        <is>
          <t>E5</t>
        </is>
      </c>
      <c r="D304" s="61" t="inlineStr">
        <is>
          <t>comparacion</t>
        </is>
      </c>
      <c r="E304" s="61" t="inlineStr">
        <is>
          <t>comparacion_vs_E5_v1_clean.json</t>
        </is>
      </c>
      <c r="F304" s="61" t="inlineStr">
        <is>
          <t>Experimentos/runs/E5_v3_clean_20260330_090800/comparacion_vs_E5_v1_clean.json</t>
        </is>
      </c>
      <c r="G304" s="61" t="inlineStr">
        <is>
          <t>Comparacion de la corrida clean contra E5_v1_clean.</t>
        </is>
      </c>
    </row>
    <row r="305" ht="15" customHeight="1" s="27">
      <c r="A305" s="61" t="inlineStr">
        <is>
          <t>2026-03-30 09:08:21</t>
        </is>
      </c>
      <c r="B305" s="61" t="inlineStr">
        <is>
          <t>E5_v3_clean</t>
        </is>
      </c>
      <c r="C305" s="61" t="inlineStr">
        <is>
          <t>E5</t>
        </is>
      </c>
      <c r="D305" s="61" t="inlineStr">
        <is>
          <t>comparacion</t>
        </is>
      </c>
      <c r="E305" s="61" t="inlineStr">
        <is>
          <t>comparacion_vs_E5_v2_clean.json</t>
        </is>
      </c>
      <c r="F305" s="61" t="inlineStr">
        <is>
          <t>Experimentos/runs/E5_v3_clean_20260330_090800/comparacion_vs_E5_v2_clean.json</t>
        </is>
      </c>
      <c r="G305" s="61" t="inlineStr">
        <is>
          <t>Comparacion de la corrida clean contra E5_v2_clean.</t>
        </is>
      </c>
    </row>
    <row r="306" ht="15" customHeight="1" s="27">
      <c r="A306" s="61" t="inlineStr">
        <is>
          <t>2026-03-30 09:08:21</t>
        </is>
      </c>
      <c r="B306" s="61" t="inlineStr">
        <is>
          <t>E5_v3_clean</t>
        </is>
      </c>
      <c r="C306" s="61" t="inlineStr">
        <is>
          <t>E5</t>
        </is>
      </c>
      <c r="D306" s="61" t="inlineStr">
        <is>
          <t>metricas</t>
        </is>
      </c>
      <c r="E306" s="61" t="inlineStr">
        <is>
          <t>metricas_horizonte.json</t>
        </is>
      </c>
      <c r="F306" s="61" t="inlineStr">
        <is>
          <t>Experimentos/runs/E5_v3_clean_20260330_090800/metricas_horizonte.json</t>
        </is>
      </c>
      <c r="G306" s="61" t="inlineStr">
        <is>
          <t>Resumen estructurado por horizonte.</t>
        </is>
      </c>
    </row>
    <row r="307" ht="15" customHeight="1" s="27">
      <c r="A307" s="61" t="inlineStr">
        <is>
          <t>2026-03-30 09:08:21</t>
        </is>
      </c>
      <c r="B307" s="61" t="inlineStr">
        <is>
          <t>E5_v3_clean</t>
        </is>
      </c>
      <c r="C307" s="61" t="inlineStr">
        <is>
          <t>E5</t>
        </is>
      </c>
      <c r="D307" s="61" t="inlineStr">
        <is>
          <t>metadata</t>
        </is>
      </c>
      <c r="E307" s="61" t="inlineStr">
        <is>
          <t>metadata_run.json</t>
        </is>
      </c>
      <c r="F307" s="61" t="inlineStr">
        <is>
          <t>Experimentos/runs/E5_v3_clean_20260330_090800/metadata_run.json</t>
        </is>
      </c>
      <c r="G307" s="61" t="inlineStr">
        <is>
          <t>Metadata base del run.</t>
        </is>
      </c>
    </row>
    <row r="308" ht="15" customHeight="1" s="27">
      <c r="A308" s="61" t="inlineStr">
        <is>
          <t>2026-03-30 09:24:16</t>
        </is>
      </c>
      <c r="B308" s="61" t="inlineStr">
        <is>
          <t>E5_v4_clean</t>
        </is>
      </c>
      <c r="C308" s="61" t="inlineStr">
        <is>
          <t>E5</t>
        </is>
      </c>
      <c r="D308" s="61" t="inlineStr">
        <is>
          <t>script_snapshot</t>
        </is>
      </c>
      <c r="E308" s="61" t="inlineStr">
        <is>
          <t>run_e5_catboost.py</t>
        </is>
      </c>
      <c r="F308" s="61" t="inlineStr">
        <is>
          <t>Experimentos/runs/E5_v4_clean_20260330_091736/scripts/run_e5_catboost.py</t>
        </is>
      </c>
      <c r="G308" s="61" t="inlineStr">
        <is>
          <t>Copia del script ejecutado para reproducibilidad.</t>
        </is>
      </c>
    </row>
    <row r="309" ht="15" customHeight="1" s="27">
      <c r="A309" s="61" t="inlineStr">
        <is>
          <t>2026-03-30 09:24:16</t>
        </is>
      </c>
      <c r="B309" s="61" t="inlineStr">
        <is>
          <t>E5_v4_clean</t>
        </is>
      </c>
      <c r="C309" s="61" t="inlineStr">
        <is>
          <t>E5</t>
        </is>
      </c>
      <c r="D309" s="61" t="inlineStr">
        <is>
          <t>parametros</t>
        </is>
      </c>
      <c r="E309" s="61" t="inlineStr">
        <is>
          <t>parametros_run.json</t>
        </is>
      </c>
      <c r="F309" s="61" t="inlineStr">
        <is>
          <t>Experimentos/runs/E5_v4_clean_20260330_091736/parametros_run.json</t>
        </is>
      </c>
      <c r="G309" s="61" t="inlineStr">
        <is>
          <t>Parametros del experimento.</t>
        </is>
      </c>
    </row>
    <row r="310" ht="15" customHeight="1" s="27">
      <c r="A310" s="61" t="inlineStr">
        <is>
          <t>2026-03-30 09:24:16</t>
        </is>
      </c>
      <c r="B310" s="61" t="inlineStr">
        <is>
          <t>E5_v4_clean</t>
        </is>
      </c>
      <c r="C310" s="61" t="inlineStr">
        <is>
          <t>E5</t>
        </is>
      </c>
      <c r="D310" s="61" t="inlineStr">
        <is>
          <t>predicciones</t>
        </is>
      </c>
      <c r="E310" s="61" t="inlineStr">
        <is>
          <t>predicciones_h1.csv</t>
        </is>
      </c>
      <c r="F310" s="61" t="inlineStr">
        <is>
          <t>Experimentos/runs/E5_v4_clean_20260330_091736/predicciones_h1.csv</t>
        </is>
      </c>
      <c r="G310" s="61" t="inlineStr">
        <is>
          <t>Predicciones walk-forward para horizonte 1.</t>
        </is>
      </c>
    </row>
    <row r="311" ht="15" customHeight="1" s="27">
      <c r="A311" s="61" t="inlineStr">
        <is>
          <t>2026-03-30 09:24:16</t>
        </is>
      </c>
      <c r="B311" s="61" t="inlineStr">
        <is>
          <t>E5_v4_clean</t>
        </is>
      </c>
      <c r="C311" s="61" t="inlineStr">
        <is>
          <t>E5</t>
        </is>
      </c>
      <c r="D311" s="61" t="inlineStr">
        <is>
          <t>predicciones</t>
        </is>
      </c>
      <c r="E311" s="61" t="inlineStr">
        <is>
          <t>predicciones_h2.csv</t>
        </is>
      </c>
      <c r="F311" s="61" t="inlineStr">
        <is>
          <t>Experimentos/runs/E5_v4_clean_20260330_091736/predicciones_h2.csv</t>
        </is>
      </c>
      <c r="G311" s="61" t="inlineStr">
        <is>
          <t>Predicciones walk-forward para horizonte 2.</t>
        </is>
      </c>
    </row>
    <row r="312" ht="15" customHeight="1" s="27">
      <c r="A312" s="61" t="inlineStr">
        <is>
          <t>2026-03-30 09:24:16</t>
        </is>
      </c>
      <c r="B312" s="61" t="inlineStr">
        <is>
          <t>E5_v4_clean</t>
        </is>
      </c>
      <c r="C312" s="61" t="inlineStr">
        <is>
          <t>E5</t>
        </is>
      </c>
      <c r="D312" s="61" t="inlineStr">
        <is>
          <t>predicciones</t>
        </is>
      </c>
      <c r="E312" s="61" t="inlineStr">
        <is>
          <t>predicciones_h3.csv</t>
        </is>
      </c>
      <c r="F312" s="61" t="inlineStr">
        <is>
          <t>Experimentos/runs/E5_v4_clean_20260330_091736/predicciones_h3.csv</t>
        </is>
      </c>
      <c r="G312" s="61" t="inlineStr">
        <is>
          <t>Predicciones walk-forward para horizonte 3.</t>
        </is>
      </c>
    </row>
    <row r="313" ht="15" customHeight="1" s="27">
      <c r="A313" s="61" t="inlineStr">
        <is>
          <t>2026-03-30 09:24:16</t>
        </is>
      </c>
      <c r="B313" s="61" t="inlineStr">
        <is>
          <t>E5_v4_clean</t>
        </is>
      </c>
      <c r="C313" s="61" t="inlineStr">
        <is>
          <t>E5</t>
        </is>
      </c>
      <c r="D313" s="61" t="inlineStr">
        <is>
          <t>predicciones</t>
        </is>
      </c>
      <c r="E313" s="61" t="inlineStr">
        <is>
          <t>predicciones_h4.csv</t>
        </is>
      </c>
      <c r="F313" s="61" t="inlineStr">
        <is>
          <t>Experimentos/runs/E5_v4_clean_20260330_091736/predicciones_h4.csv</t>
        </is>
      </c>
      <c r="G313" s="61" t="inlineStr">
        <is>
          <t>Predicciones walk-forward para horizonte 4.</t>
        </is>
      </c>
    </row>
    <row r="314" ht="15" customHeight="1" s="27">
      <c r="A314" s="61" t="inlineStr">
        <is>
          <t>2026-03-30 09:24:16</t>
        </is>
      </c>
      <c r="B314" s="61" t="inlineStr">
        <is>
          <t>E5_v4_clean</t>
        </is>
      </c>
      <c r="C314" s="61" t="inlineStr">
        <is>
          <t>E5</t>
        </is>
      </c>
      <c r="D314" s="61" t="inlineStr">
        <is>
          <t>resumen</t>
        </is>
      </c>
      <c r="E314" s="61" t="inlineStr">
        <is>
          <t>resumen_modeling_horizontes.json</t>
        </is>
      </c>
      <c r="F314" s="61" t="inlineStr">
        <is>
          <t>Experimentos/runs/E5_v4_clean_20260330_091736/resumen_modeling_horizontes.json</t>
        </is>
      </c>
      <c r="G314" s="61" t="inlineStr">
        <is>
          <t>Resumen de tamanos y seleccion de features por horizonte.</t>
        </is>
      </c>
    </row>
    <row r="315" ht="15" customHeight="1" s="27">
      <c r="A315" s="61" t="inlineStr">
        <is>
          <t>2026-03-30 09:24:16</t>
        </is>
      </c>
      <c r="B315" s="61" t="inlineStr">
        <is>
          <t>E5_v4_clean</t>
        </is>
      </c>
      <c r="C315" s="61" t="inlineStr">
        <is>
          <t>E5</t>
        </is>
      </c>
      <c r="D315" s="61" t="inlineStr">
        <is>
          <t>tuning</t>
        </is>
      </c>
      <c r="E315" s="61" t="inlineStr">
        <is>
          <t>catboost_tuning_horizontes.json</t>
        </is>
      </c>
      <c r="F315" s="61" t="inlineStr">
        <is>
          <t>Experimentos/runs/E5_v4_clean_20260330_091736/catboost_tuning_horizontes.json</t>
        </is>
      </c>
      <c r="G315" s="61" t="inlineStr">
        <is>
          <t>Mejores hiperparametros CatBoost por fold externo y resumen por horizonte.</t>
        </is>
      </c>
    </row>
    <row r="316" ht="15" customHeight="1" s="27">
      <c r="A316" s="61" t="inlineStr">
        <is>
          <t>2026-03-30 09:24:16</t>
        </is>
      </c>
      <c r="B316" s="61" t="inlineStr">
        <is>
          <t>E5_v4_clean</t>
        </is>
      </c>
      <c r="C316" s="61" t="inlineStr">
        <is>
          <t>E5</t>
        </is>
      </c>
      <c r="D316" s="61" t="inlineStr">
        <is>
          <t>comparacion</t>
        </is>
      </c>
      <c r="E316" s="61" t="inlineStr">
        <is>
          <t>comparacion_vs_E1_v5_clean.json</t>
        </is>
      </c>
      <c r="F316" s="61" t="inlineStr">
        <is>
          <t>Experimentos/runs/E5_v4_clean_20260330_091736/comparacion_vs_E1_v5_clean.json</t>
        </is>
      </c>
      <c r="G316" s="61" t="inlineStr">
        <is>
          <t>Comparacion de la corrida clean contra E1_v5_clean.</t>
        </is>
      </c>
    </row>
    <row r="317" ht="15" customHeight="1" s="27">
      <c r="A317" s="61" t="inlineStr">
        <is>
          <t>2026-03-30 09:24:16</t>
        </is>
      </c>
      <c r="B317" s="61" t="inlineStr">
        <is>
          <t>E5_v4_clean</t>
        </is>
      </c>
      <c r="C317" s="61" t="inlineStr">
        <is>
          <t>E5</t>
        </is>
      </c>
      <c r="D317" s="61" t="inlineStr">
        <is>
          <t>comparacion</t>
        </is>
      </c>
      <c r="E317" s="61" t="inlineStr">
        <is>
          <t>comparacion_vs_E1_v4_clean.json</t>
        </is>
      </c>
      <c r="F317" s="61" t="inlineStr">
        <is>
          <t>Experimentos/runs/E5_v4_clean_20260330_091736/comparacion_vs_E1_v4_clean.json</t>
        </is>
      </c>
      <c r="G317" s="61" t="inlineStr">
        <is>
          <t>Comparacion de la corrida clean contra E1_v4_clean.</t>
        </is>
      </c>
    </row>
    <row r="318" ht="15" customHeight="1" s="27">
      <c r="A318" s="61" t="inlineStr">
        <is>
          <t>2026-03-30 09:24:16</t>
        </is>
      </c>
      <c r="B318" s="61" t="inlineStr">
        <is>
          <t>E5_v4_clean</t>
        </is>
      </c>
      <c r="C318" s="61" t="inlineStr">
        <is>
          <t>E5</t>
        </is>
      </c>
      <c r="D318" s="61" t="inlineStr">
        <is>
          <t>comparacion</t>
        </is>
      </c>
      <c r="E318" s="61" t="inlineStr">
        <is>
          <t>comparacion_vs_E2_v3_clean.json</t>
        </is>
      </c>
      <c r="F318" s="61" t="inlineStr">
        <is>
          <t>Experimentos/runs/E5_v4_clean_20260330_091736/comparacion_vs_E2_v3_clean.json</t>
        </is>
      </c>
      <c r="G318" s="61" t="inlineStr">
        <is>
          <t>Comparacion de la corrida clean contra E2_v3_clean.</t>
        </is>
      </c>
    </row>
    <row r="319" ht="15" customHeight="1" s="27">
      <c r="A319" s="61" t="inlineStr">
        <is>
          <t>2026-03-30 09:24:16</t>
        </is>
      </c>
      <c r="B319" s="61" t="inlineStr">
        <is>
          <t>E5_v4_clean</t>
        </is>
      </c>
      <c r="C319" s="61" t="inlineStr">
        <is>
          <t>E5</t>
        </is>
      </c>
      <c r="D319" s="61" t="inlineStr">
        <is>
          <t>comparacion</t>
        </is>
      </c>
      <c r="E319" s="61" t="inlineStr">
        <is>
          <t>comparacion_vs_E3_v2_clean.json</t>
        </is>
      </c>
      <c r="F319" s="61" t="inlineStr">
        <is>
          <t>Experimentos/runs/E5_v4_clean_20260330_091736/comparacion_vs_E3_v2_clean.json</t>
        </is>
      </c>
      <c r="G319" s="61" t="inlineStr">
        <is>
          <t>Comparacion de la corrida clean contra E3_v2_clean.</t>
        </is>
      </c>
    </row>
    <row r="320" ht="15" customHeight="1" s="27">
      <c r="A320" s="61" t="inlineStr">
        <is>
          <t>2026-03-30 09:24:16</t>
        </is>
      </c>
      <c r="B320" s="61" t="inlineStr">
        <is>
          <t>E5_v4_clean</t>
        </is>
      </c>
      <c r="C320" s="61" t="inlineStr">
        <is>
          <t>E5</t>
        </is>
      </c>
      <c r="D320" s="61" t="inlineStr">
        <is>
          <t>comparacion</t>
        </is>
      </c>
      <c r="E320" s="61" t="inlineStr">
        <is>
          <t>comparacion_vs_E4_v1_clean.json</t>
        </is>
      </c>
      <c r="F320" s="61" t="inlineStr">
        <is>
          <t>Experimentos/runs/E5_v4_clean_20260330_091736/comparacion_vs_E4_v1_clean.json</t>
        </is>
      </c>
      <c r="G320" s="61" t="inlineStr">
        <is>
          <t>Comparacion de la corrida clean contra E4_v1_clean.</t>
        </is>
      </c>
    </row>
    <row r="321" ht="15" customHeight="1" s="27">
      <c r="A321" s="61" t="inlineStr">
        <is>
          <t>2026-03-30 09:24:16</t>
        </is>
      </c>
      <c r="B321" s="61" t="inlineStr">
        <is>
          <t>E5_v4_clean</t>
        </is>
      </c>
      <c r="C321" s="61" t="inlineStr">
        <is>
          <t>E5</t>
        </is>
      </c>
      <c r="D321" s="61" t="inlineStr">
        <is>
          <t>comparacion</t>
        </is>
      </c>
      <c r="E321" s="61" t="inlineStr">
        <is>
          <t>comparacion_vs_E5_v1_clean.json</t>
        </is>
      </c>
      <c r="F321" s="61" t="inlineStr">
        <is>
          <t>Experimentos/runs/E5_v4_clean_20260330_091736/comparacion_vs_E5_v1_clean.json</t>
        </is>
      </c>
      <c r="G321" s="61" t="inlineStr">
        <is>
          <t>Comparacion de la corrida clean contra E5_v1_clean.</t>
        </is>
      </c>
    </row>
    <row r="322" ht="15" customHeight="1" s="27">
      <c r="A322" s="61" t="inlineStr">
        <is>
          <t>2026-03-30 09:24:16</t>
        </is>
      </c>
      <c r="B322" s="61" t="inlineStr">
        <is>
          <t>E5_v4_clean</t>
        </is>
      </c>
      <c r="C322" s="61" t="inlineStr">
        <is>
          <t>E5</t>
        </is>
      </c>
      <c r="D322" s="61" t="inlineStr">
        <is>
          <t>comparacion</t>
        </is>
      </c>
      <c r="E322" s="61" t="inlineStr">
        <is>
          <t>comparacion_vs_E5_v2_clean.json</t>
        </is>
      </c>
      <c r="F322" s="61" t="inlineStr">
        <is>
          <t>Experimentos/runs/E5_v4_clean_20260330_091736/comparacion_vs_E5_v2_clean.json</t>
        </is>
      </c>
      <c r="G322" s="61" t="inlineStr">
        <is>
          <t>Comparacion de la corrida clean contra E5_v2_clean.</t>
        </is>
      </c>
    </row>
    <row r="323" ht="15" customHeight="1" s="27">
      <c r="A323" s="61" t="inlineStr">
        <is>
          <t>2026-03-30 09:24:16</t>
        </is>
      </c>
      <c r="B323" s="61" t="inlineStr">
        <is>
          <t>E5_v4_clean</t>
        </is>
      </c>
      <c r="C323" s="61" t="inlineStr">
        <is>
          <t>E5</t>
        </is>
      </c>
      <c r="D323" s="61" t="inlineStr">
        <is>
          <t>comparacion</t>
        </is>
      </c>
      <c r="E323" s="61" t="inlineStr">
        <is>
          <t>comparacion_vs_E5_v3_clean.json</t>
        </is>
      </c>
      <c r="F323" s="61" t="inlineStr">
        <is>
          <t>Experimentos/runs/E5_v4_clean_20260330_091736/comparacion_vs_E5_v3_clean.json</t>
        </is>
      </c>
      <c r="G323" s="61" t="inlineStr">
        <is>
          <t>Comparacion de la corrida clean contra E5_v3_clean.</t>
        </is>
      </c>
    </row>
    <row r="324" ht="15" customHeight="1" s="27">
      <c r="A324" s="61" t="inlineStr">
        <is>
          <t>2026-03-30 09:24:16</t>
        </is>
      </c>
      <c r="B324" s="61" t="inlineStr">
        <is>
          <t>E5_v4_clean</t>
        </is>
      </c>
      <c r="C324" s="61" t="inlineStr">
        <is>
          <t>E5</t>
        </is>
      </c>
      <c r="D324" s="61" t="inlineStr">
        <is>
          <t>metricas</t>
        </is>
      </c>
      <c r="E324" s="61" t="inlineStr">
        <is>
          <t>metricas_horizonte.json</t>
        </is>
      </c>
      <c r="F324" s="61" t="inlineStr">
        <is>
          <t>Experimentos/runs/E5_v4_clean_20260330_091736/metricas_horizonte.json</t>
        </is>
      </c>
      <c r="G324" s="61" t="inlineStr">
        <is>
          <t>Resumen estructurado por horizonte.</t>
        </is>
      </c>
    </row>
    <row r="325" ht="15" customHeight="1" s="27">
      <c r="A325" s="61" t="inlineStr">
        <is>
          <t>2026-03-30 09:24:16</t>
        </is>
      </c>
      <c r="B325" s="61" t="inlineStr">
        <is>
          <t>E5_v4_clean</t>
        </is>
      </c>
      <c r="C325" s="61" t="inlineStr">
        <is>
          <t>E5</t>
        </is>
      </c>
      <c r="D325" s="61" t="inlineStr">
        <is>
          <t>metadata</t>
        </is>
      </c>
      <c r="E325" s="61" t="inlineStr">
        <is>
          <t>metadata_run.json</t>
        </is>
      </c>
      <c r="F325" s="61" t="inlineStr">
        <is>
          <t>Experimentos/runs/E5_v4_clean_20260330_091736/metadata_run.json</t>
        </is>
      </c>
      <c r="G325" s="61" t="inlineStr">
        <is>
          <t>Metadata base del run.</t>
        </is>
      </c>
    </row>
    <row r="326" ht="15" customHeight="1" s="27">
      <c r="A326" s="61" t="inlineStr">
        <is>
          <t>2026-03-30 09:38:11</t>
        </is>
      </c>
      <c r="B326" s="61" t="inlineStr">
        <is>
          <t>E5_v5_clean</t>
        </is>
      </c>
      <c r="C326" s="61" t="inlineStr">
        <is>
          <t>E5</t>
        </is>
      </c>
      <c r="D326" s="61" t="inlineStr">
        <is>
          <t>script_snapshot</t>
        </is>
      </c>
      <c r="E326" s="61" t="inlineStr">
        <is>
          <t>run_e5_catboost.py</t>
        </is>
      </c>
      <c r="F326" s="61" t="inlineStr">
        <is>
          <t>Experimentos/runs/E5_v5_clean_20260330_092959/scripts/run_e5_catboost.py</t>
        </is>
      </c>
      <c r="G326" s="61" t="inlineStr">
        <is>
          <t>Copia del script ejecutado para reproducibilidad.</t>
        </is>
      </c>
    </row>
    <row r="327" ht="15" customHeight="1" s="27">
      <c r="A327" s="61" t="inlineStr">
        <is>
          <t>2026-03-30 09:38:11</t>
        </is>
      </c>
      <c r="B327" s="61" t="inlineStr">
        <is>
          <t>E5_v5_clean</t>
        </is>
      </c>
      <c r="C327" s="61" t="inlineStr">
        <is>
          <t>E5</t>
        </is>
      </c>
      <c r="D327" s="61" t="inlineStr">
        <is>
          <t>parametros</t>
        </is>
      </c>
      <c r="E327" s="61" t="inlineStr">
        <is>
          <t>parametros_run.json</t>
        </is>
      </c>
      <c r="F327" s="61" t="inlineStr">
        <is>
          <t>Experimentos/runs/E5_v5_clean_20260330_092959/parametros_run.json</t>
        </is>
      </c>
      <c r="G327" s="61" t="inlineStr">
        <is>
          <t>Parametros del experimento.</t>
        </is>
      </c>
    </row>
    <row r="328" ht="15" customHeight="1" s="27">
      <c r="A328" s="61" t="inlineStr">
        <is>
          <t>2026-03-30 09:38:11</t>
        </is>
      </c>
      <c r="B328" s="61" t="inlineStr">
        <is>
          <t>E5_v5_clean</t>
        </is>
      </c>
      <c r="C328" s="61" t="inlineStr">
        <is>
          <t>E5</t>
        </is>
      </c>
      <c r="D328" s="61" t="inlineStr">
        <is>
          <t>predicciones</t>
        </is>
      </c>
      <c r="E328" s="61" t="inlineStr">
        <is>
          <t>predicciones_h1.csv</t>
        </is>
      </c>
      <c r="F328" s="61" t="inlineStr">
        <is>
          <t>Experimentos/runs/E5_v5_clean_20260330_092959/predicciones_h1.csv</t>
        </is>
      </c>
      <c r="G328" s="61" t="inlineStr">
        <is>
          <t>Predicciones walk-forward para horizonte 1.</t>
        </is>
      </c>
    </row>
    <row r="329" ht="15" customHeight="1" s="27">
      <c r="A329" s="61" t="inlineStr">
        <is>
          <t>2026-03-30 09:38:11</t>
        </is>
      </c>
      <c r="B329" s="61" t="inlineStr">
        <is>
          <t>E5_v5_clean</t>
        </is>
      </c>
      <c r="C329" s="61" t="inlineStr">
        <is>
          <t>E5</t>
        </is>
      </c>
      <c r="D329" s="61" t="inlineStr">
        <is>
          <t>predicciones</t>
        </is>
      </c>
      <c r="E329" s="61" t="inlineStr">
        <is>
          <t>predicciones_h2.csv</t>
        </is>
      </c>
      <c r="F329" s="61" t="inlineStr">
        <is>
          <t>Experimentos/runs/E5_v5_clean_20260330_092959/predicciones_h2.csv</t>
        </is>
      </c>
      <c r="G329" s="61" t="inlineStr">
        <is>
          <t>Predicciones walk-forward para horizonte 2.</t>
        </is>
      </c>
    </row>
    <row r="330" ht="15" customHeight="1" s="27">
      <c r="A330" s="61" t="inlineStr">
        <is>
          <t>2026-03-30 09:38:11</t>
        </is>
      </c>
      <c r="B330" s="61" t="inlineStr">
        <is>
          <t>E5_v5_clean</t>
        </is>
      </c>
      <c r="C330" s="61" t="inlineStr">
        <is>
          <t>E5</t>
        </is>
      </c>
      <c r="D330" s="61" t="inlineStr">
        <is>
          <t>predicciones</t>
        </is>
      </c>
      <c r="E330" s="61" t="inlineStr">
        <is>
          <t>predicciones_h3.csv</t>
        </is>
      </c>
      <c r="F330" s="61" t="inlineStr">
        <is>
          <t>Experimentos/runs/E5_v5_clean_20260330_092959/predicciones_h3.csv</t>
        </is>
      </c>
      <c r="G330" s="61" t="inlineStr">
        <is>
          <t>Predicciones walk-forward para horizonte 3.</t>
        </is>
      </c>
    </row>
    <row r="331" ht="15" customHeight="1" s="27">
      <c r="A331" s="61" t="inlineStr">
        <is>
          <t>2026-03-30 09:38:11</t>
        </is>
      </c>
      <c r="B331" s="61" t="inlineStr">
        <is>
          <t>E5_v5_clean</t>
        </is>
      </c>
      <c r="C331" s="61" t="inlineStr">
        <is>
          <t>E5</t>
        </is>
      </c>
      <c r="D331" s="61" t="inlineStr">
        <is>
          <t>predicciones</t>
        </is>
      </c>
      <c r="E331" s="61" t="inlineStr">
        <is>
          <t>predicciones_h4.csv</t>
        </is>
      </c>
      <c r="F331" s="61" t="inlineStr">
        <is>
          <t>Experimentos/runs/E5_v5_clean_20260330_092959/predicciones_h4.csv</t>
        </is>
      </c>
      <c r="G331" s="61" t="inlineStr">
        <is>
          <t>Predicciones walk-forward para horizonte 4.</t>
        </is>
      </c>
    </row>
    <row r="332" ht="15" customHeight="1" s="27">
      <c r="A332" s="61" t="inlineStr">
        <is>
          <t>2026-03-30 09:38:11</t>
        </is>
      </c>
      <c r="B332" s="61" t="inlineStr">
        <is>
          <t>E5_v5_clean</t>
        </is>
      </c>
      <c r="C332" s="61" t="inlineStr">
        <is>
          <t>E5</t>
        </is>
      </c>
      <c r="D332" s="61" t="inlineStr">
        <is>
          <t>resumen</t>
        </is>
      </c>
      <c r="E332" s="61" t="inlineStr">
        <is>
          <t>resumen_modeling_horizontes.json</t>
        </is>
      </c>
      <c r="F332" s="61" t="inlineStr">
        <is>
          <t>Experimentos/runs/E5_v5_clean_20260330_092959/resumen_modeling_horizontes.json</t>
        </is>
      </c>
      <c r="G332" s="61" t="inlineStr">
        <is>
          <t>Resumen de tamanos y seleccion de features por horizonte.</t>
        </is>
      </c>
    </row>
    <row r="333" ht="15" customHeight="1" s="27">
      <c r="A333" s="61" t="inlineStr">
        <is>
          <t>2026-03-30 09:38:11</t>
        </is>
      </c>
      <c r="B333" s="61" t="inlineStr">
        <is>
          <t>E5_v5_clean</t>
        </is>
      </c>
      <c r="C333" s="61" t="inlineStr">
        <is>
          <t>E5</t>
        </is>
      </c>
      <c r="D333" s="61" t="inlineStr">
        <is>
          <t>tuning</t>
        </is>
      </c>
      <c r="E333" s="61" t="inlineStr">
        <is>
          <t>catboost_tuning_horizontes.json</t>
        </is>
      </c>
      <c r="F333" s="61" t="inlineStr">
        <is>
          <t>Experimentos/runs/E5_v5_clean_20260330_092959/catboost_tuning_horizontes.json</t>
        </is>
      </c>
      <c r="G333" s="61" t="inlineStr">
        <is>
          <t>Mejores hiperparametros CatBoost por fold externo y resumen por horizonte.</t>
        </is>
      </c>
    </row>
    <row r="334" ht="15" customHeight="1" s="27">
      <c r="A334" s="61" t="inlineStr">
        <is>
          <t>2026-03-30 09:38:11</t>
        </is>
      </c>
      <c r="B334" s="61" t="inlineStr">
        <is>
          <t>E5_v5_clean</t>
        </is>
      </c>
      <c r="C334" s="61" t="inlineStr">
        <is>
          <t>E5</t>
        </is>
      </c>
      <c r="D334" s="61" t="inlineStr">
        <is>
          <t>comparacion</t>
        </is>
      </c>
      <c r="E334" s="61" t="inlineStr">
        <is>
          <t>comparacion_vs_E1_v5_clean.json</t>
        </is>
      </c>
      <c r="F334" s="61" t="inlineStr">
        <is>
          <t>Experimentos/runs/E5_v5_clean_20260330_092959/comparacion_vs_E1_v5_clean.json</t>
        </is>
      </c>
      <c r="G334" s="61" t="inlineStr">
        <is>
          <t>Comparacion de la corrida clean contra E1_v5_clean.</t>
        </is>
      </c>
    </row>
    <row r="335" ht="15" customHeight="1" s="27">
      <c r="A335" s="61" t="inlineStr">
        <is>
          <t>2026-03-30 09:38:11</t>
        </is>
      </c>
      <c r="B335" s="61" t="inlineStr">
        <is>
          <t>E5_v5_clean</t>
        </is>
      </c>
      <c r="C335" s="61" t="inlineStr">
        <is>
          <t>E5</t>
        </is>
      </c>
      <c r="D335" s="61" t="inlineStr">
        <is>
          <t>comparacion</t>
        </is>
      </c>
      <c r="E335" s="61" t="inlineStr">
        <is>
          <t>comparacion_vs_E1_v4_clean.json</t>
        </is>
      </c>
      <c r="F335" s="61" t="inlineStr">
        <is>
          <t>Experimentos/runs/E5_v5_clean_20260330_092959/comparacion_vs_E1_v4_clean.json</t>
        </is>
      </c>
      <c r="G335" s="61" t="inlineStr">
        <is>
          <t>Comparacion de la corrida clean contra E1_v4_clean.</t>
        </is>
      </c>
    </row>
    <row r="336" ht="15" customHeight="1" s="27">
      <c r="A336" s="61" t="inlineStr">
        <is>
          <t>2026-03-30 09:38:11</t>
        </is>
      </c>
      <c r="B336" s="61" t="inlineStr">
        <is>
          <t>E5_v5_clean</t>
        </is>
      </c>
      <c r="C336" s="61" t="inlineStr">
        <is>
          <t>E5</t>
        </is>
      </c>
      <c r="D336" s="61" t="inlineStr">
        <is>
          <t>comparacion</t>
        </is>
      </c>
      <c r="E336" s="61" t="inlineStr">
        <is>
          <t>comparacion_vs_E2_v3_clean.json</t>
        </is>
      </c>
      <c r="F336" s="61" t="inlineStr">
        <is>
          <t>Experimentos/runs/E5_v5_clean_20260330_092959/comparacion_vs_E2_v3_clean.json</t>
        </is>
      </c>
      <c r="G336" s="61" t="inlineStr">
        <is>
          <t>Comparacion de la corrida clean contra E2_v3_clean.</t>
        </is>
      </c>
    </row>
    <row r="337" ht="15" customHeight="1" s="27">
      <c r="A337" s="61" t="inlineStr">
        <is>
          <t>2026-03-30 09:38:11</t>
        </is>
      </c>
      <c r="B337" s="61" t="inlineStr">
        <is>
          <t>E5_v5_clean</t>
        </is>
      </c>
      <c r="C337" s="61" t="inlineStr">
        <is>
          <t>E5</t>
        </is>
      </c>
      <c r="D337" s="61" t="inlineStr">
        <is>
          <t>comparacion</t>
        </is>
      </c>
      <c r="E337" s="61" t="inlineStr">
        <is>
          <t>comparacion_vs_E3_v2_clean.json</t>
        </is>
      </c>
      <c r="F337" s="61" t="inlineStr">
        <is>
          <t>Experimentos/runs/E5_v5_clean_20260330_092959/comparacion_vs_E3_v2_clean.json</t>
        </is>
      </c>
      <c r="G337" s="61" t="inlineStr">
        <is>
          <t>Comparacion de la corrida clean contra E3_v2_clean.</t>
        </is>
      </c>
    </row>
    <row r="338" ht="15" customHeight="1" s="27">
      <c r="A338" s="61" t="inlineStr">
        <is>
          <t>2026-03-30 09:38:11</t>
        </is>
      </c>
      <c r="B338" s="61" t="inlineStr">
        <is>
          <t>E5_v5_clean</t>
        </is>
      </c>
      <c r="C338" s="61" t="inlineStr">
        <is>
          <t>E5</t>
        </is>
      </c>
      <c r="D338" s="61" t="inlineStr">
        <is>
          <t>comparacion</t>
        </is>
      </c>
      <c r="E338" s="61" t="inlineStr">
        <is>
          <t>comparacion_vs_E4_v1_clean.json</t>
        </is>
      </c>
      <c r="F338" s="61" t="inlineStr">
        <is>
          <t>Experimentos/runs/E5_v5_clean_20260330_092959/comparacion_vs_E4_v1_clean.json</t>
        </is>
      </c>
      <c r="G338" s="61" t="inlineStr">
        <is>
          <t>Comparacion de la corrida clean contra E4_v1_clean.</t>
        </is>
      </c>
    </row>
    <row r="339" ht="15" customHeight="1" s="27">
      <c r="A339" s="61" t="inlineStr">
        <is>
          <t>2026-03-30 09:38:11</t>
        </is>
      </c>
      <c r="B339" s="61" t="inlineStr">
        <is>
          <t>E5_v5_clean</t>
        </is>
      </c>
      <c r="C339" s="61" t="inlineStr">
        <is>
          <t>E5</t>
        </is>
      </c>
      <c r="D339" s="61" t="inlineStr">
        <is>
          <t>comparacion</t>
        </is>
      </c>
      <c r="E339" s="61" t="inlineStr">
        <is>
          <t>comparacion_vs_E5_v1_clean.json</t>
        </is>
      </c>
      <c r="F339" s="61" t="inlineStr">
        <is>
          <t>Experimentos/runs/E5_v5_clean_20260330_092959/comparacion_vs_E5_v1_clean.json</t>
        </is>
      </c>
      <c r="G339" s="61" t="inlineStr">
        <is>
          <t>Comparacion de la corrida clean contra E5_v1_clean.</t>
        </is>
      </c>
    </row>
    <row r="340" ht="15" customHeight="1" s="27">
      <c r="A340" s="61" t="inlineStr">
        <is>
          <t>2026-03-30 09:38:11</t>
        </is>
      </c>
      <c r="B340" s="61" t="inlineStr">
        <is>
          <t>E5_v5_clean</t>
        </is>
      </c>
      <c r="C340" s="61" t="inlineStr">
        <is>
          <t>E5</t>
        </is>
      </c>
      <c r="D340" s="61" t="inlineStr">
        <is>
          <t>comparacion</t>
        </is>
      </c>
      <c r="E340" s="61" t="inlineStr">
        <is>
          <t>comparacion_vs_E5_v2_clean.json</t>
        </is>
      </c>
      <c r="F340" s="61" t="inlineStr">
        <is>
          <t>Experimentos/runs/E5_v5_clean_20260330_092959/comparacion_vs_E5_v2_clean.json</t>
        </is>
      </c>
      <c r="G340" s="61" t="inlineStr">
        <is>
          <t>Comparacion de la corrida clean contra E5_v2_clean.</t>
        </is>
      </c>
    </row>
    <row r="341" ht="15" customHeight="1" s="27">
      <c r="A341" s="61" t="inlineStr">
        <is>
          <t>2026-03-30 09:38:11</t>
        </is>
      </c>
      <c r="B341" s="61" t="inlineStr">
        <is>
          <t>E5_v5_clean</t>
        </is>
      </c>
      <c r="C341" s="61" t="inlineStr">
        <is>
          <t>E5</t>
        </is>
      </c>
      <c r="D341" s="61" t="inlineStr">
        <is>
          <t>comparacion</t>
        </is>
      </c>
      <c r="E341" s="61" t="inlineStr">
        <is>
          <t>comparacion_vs_E5_v3_clean.json</t>
        </is>
      </c>
      <c r="F341" s="61" t="inlineStr">
        <is>
          <t>Experimentos/runs/E5_v5_clean_20260330_092959/comparacion_vs_E5_v3_clean.json</t>
        </is>
      </c>
      <c r="G341" s="61" t="inlineStr">
        <is>
          <t>Comparacion de la corrida clean contra E5_v3_clean.</t>
        </is>
      </c>
    </row>
    <row r="342" ht="15" customHeight="1" s="27">
      <c r="A342" s="61" t="inlineStr">
        <is>
          <t>2026-03-30 09:38:11</t>
        </is>
      </c>
      <c r="B342" s="61" t="inlineStr">
        <is>
          <t>E5_v5_clean</t>
        </is>
      </c>
      <c r="C342" s="61" t="inlineStr">
        <is>
          <t>E5</t>
        </is>
      </c>
      <c r="D342" s="61" t="inlineStr">
        <is>
          <t>comparacion</t>
        </is>
      </c>
      <c r="E342" s="61" t="inlineStr">
        <is>
          <t>comparacion_vs_E5_v4_clean.json</t>
        </is>
      </c>
      <c r="F342" s="61" t="inlineStr">
        <is>
          <t>Experimentos/runs/E5_v5_clean_20260330_092959/comparacion_vs_E5_v4_clean.json</t>
        </is>
      </c>
      <c r="G342" s="61" t="inlineStr">
        <is>
          <t>Comparacion de la corrida clean contra E5_v4_clean.</t>
        </is>
      </c>
    </row>
    <row r="343" ht="15" customHeight="1" s="27">
      <c r="A343" s="61" t="inlineStr">
        <is>
          <t>2026-03-30 09:38:11</t>
        </is>
      </c>
      <c r="B343" s="61" t="inlineStr">
        <is>
          <t>E5_v5_clean</t>
        </is>
      </c>
      <c r="C343" s="61" t="inlineStr">
        <is>
          <t>E5</t>
        </is>
      </c>
      <c r="D343" s="61" t="inlineStr">
        <is>
          <t>metricas</t>
        </is>
      </c>
      <c r="E343" s="61" t="inlineStr">
        <is>
          <t>metricas_horizonte.json</t>
        </is>
      </c>
      <c r="F343" s="61" t="inlineStr">
        <is>
          <t>Experimentos/runs/E5_v5_clean_20260330_092959/metricas_horizonte.json</t>
        </is>
      </c>
      <c r="G343" s="61" t="inlineStr">
        <is>
          <t>Resumen estructurado por horizonte.</t>
        </is>
      </c>
    </row>
    <row r="344" ht="15" customHeight="1" s="27">
      <c r="A344" s="61" t="inlineStr">
        <is>
          <t>2026-03-30 09:38:11</t>
        </is>
      </c>
      <c r="B344" s="61" t="inlineStr">
        <is>
          <t>E5_v5_clean</t>
        </is>
      </c>
      <c r="C344" s="61" t="inlineStr">
        <is>
          <t>E5</t>
        </is>
      </c>
      <c r="D344" s="61" t="inlineStr">
        <is>
          <t>metadata</t>
        </is>
      </c>
      <c r="E344" s="61" t="inlineStr">
        <is>
          <t>metadata_run.json</t>
        </is>
      </c>
      <c r="F344" s="61" t="inlineStr">
        <is>
          <t>Experimentos/runs/E5_v5_clean_20260330_092959/metadata_run.json</t>
        </is>
      </c>
      <c r="G344" s="61" t="inlineStr">
        <is>
          <t>Metadata base del run.</t>
        </is>
      </c>
    </row>
    <row r="345" ht="15" customHeight="1" s="27">
      <c r="A345" s="61" t="inlineStr">
        <is>
          <t>2026-03-30 09:59:27</t>
        </is>
      </c>
      <c r="B345" s="61" t="inlineStr">
        <is>
          <t>E6_v1_clean</t>
        </is>
      </c>
      <c r="C345" s="61" t="inlineStr">
        <is>
          <t>E6</t>
        </is>
      </c>
      <c r="D345" s="61" t="inlineStr">
        <is>
          <t>script_snapshot</t>
        </is>
      </c>
      <c r="E345" s="61" t="inlineStr">
        <is>
          <t>run_e6_arimax.py</t>
        </is>
      </c>
      <c r="F345" s="61" t="inlineStr">
        <is>
          <t>Experimentos/runs/E6_v1_clean_20260330_095626/scripts/run_e6_arimax.py</t>
        </is>
      </c>
      <c r="G345" s="61" t="inlineStr">
        <is>
          <t>Copia del script ejecutado para reproducibilidad.</t>
        </is>
      </c>
    </row>
    <row r="346" ht="15" customHeight="1" s="27">
      <c r="A346" s="61" t="inlineStr">
        <is>
          <t>2026-03-30 09:59:27</t>
        </is>
      </c>
      <c r="B346" s="61" t="inlineStr">
        <is>
          <t>E6_v1_clean</t>
        </is>
      </c>
      <c r="C346" s="61" t="inlineStr">
        <is>
          <t>E6</t>
        </is>
      </c>
      <c r="D346" s="61" t="inlineStr">
        <is>
          <t>parametros</t>
        </is>
      </c>
      <c r="E346" s="61" t="inlineStr">
        <is>
          <t>parametros_run.json</t>
        </is>
      </c>
      <c r="F346" s="61" t="inlineStr">
        <is>
          <t>Experimentos/runs/E6_v1_clean_20260330_095626/parametros_run.json</t>
        </is>
      </c>
      <c r="G346" s="61" t="inlineStr">
        <is>
          <t>Parametros del experimento.</t>
        </is>
      </c>
    </row>
    <row r="347" ht="15" customHeight="1" s="27">
      <c r="A347" s="61" t="inlineStr">
        <is>
          <t>2026-03-30 09:59:27</t>
        </is>
      </c>
      <c r="B347" s="61" t="inlineStr">
        <is>
          <t>E6_v1_clean</t>
        </is>
      </c>
      <c r="C347" s="61" t="inlineStr">
        <is>
          <t>E6</t>
        </is>
      </c>
      <c r="D347" s="61" t="inlineStr">
        <is>
          <t>seleccion_features</t>
        </is>
      </c>
      <c r="E347" s="61" t="inlineStr">
        <is>
          <t>features_seleccionadas_h1.csv</t>
        </is>
      </c>
      <c r="F347" s="61" t="inlineStr">
        <is>
          <t>Experimentos/runs/E6_v1_clean_20260330_095626/features_seleccionadas_h1.csv</t>
        </is>
      </c>
      <c r="G347" s="61" t="inlineStr">
        <is>
          <t>Resumen de combinaciones de features seleccionadas por fold externo. El filtro se calcula solo con el train de cada fold externo.</t>
        </is>
      </c>
    </row>
    <row r="348" ht="15" customHeight="1" s="27">
      <c r="A348" s="61" t="inlineStr">
        <is>
          <t>2026-03-30 09:59:27</t>
        </is>
      </c>
      <c r="B348" s="61" t="inlineStr">
        <is>
          <t>E6_v1_clean</t>
        </is>
      </c>
      <c r="C348" s="61" t="inlineStr">
        <is>
          <t>E6</t>
        </is>
      </c>
      <c r="D348" s="61" t="inlineStr">
        <is>
          <t>seleccion_features</t>
        </is>
      </c>
      <c r="E348" s="61" t="inlineStr">
        <is>
          <t>features_seleccionadas_h2.csv</t>
        </is>
      </c>
      <c r="F348" s="61" t="inlineStr">
        <is>
          <t>Experimentos/runs/E6_v1_clean_20260330_095626/features_seleccionadas_h2.csv</t>
        </is>
      </c>
      <c r="G348" s="61" t="inlineStr">
        <is>
          <t>Resumen de combinaciones de features seleccionadas por fold externo. El filtro se calcula solo con el train de cada fold externo.</t>
        </is>
      </c>
    </row>
    <row r="349" ht="15" customHeight="1" s="27">
      <c r="A349" s="61" t="inlineStr">
        <is>
          <t>2026-03-30 09:59:27</t>
        </is>
      </c>
      <c r="B349" s="61" t="inlineStr">
        <is>
          <t>E6_v1_clean</t>
        </is>
      </c>
      <c r="C349" s="61" t="inlineStr">
        <is>
          <t>E6</t>
        </is>
      </c>
      <c r="D349" s="61" t="inlineStr">
        <is>
          <t>seleccion_features</t>
        </is>
      </c>
      <c r="E349" s="61" t="inlineStr">
        <is>
          <t>features_seleccionadas_h3.csv</t>
        </is>
      </c>
      <c r="F349" s="61" t="inlineStr">
        <is>
          <t>Experimentos/runs/E6_v1_clean_20260330_095626/features_seleccionadas_h3.csv</t>
        </is>
      </c>
      <c r="G349" s="61" t="inlineStr">
        <is>
          <t>Resumen de combinaciones de features seleccionadas por fold externo. El filtro se calcula solo con el train de cada fold externo.</t>
        </is>
      </c>
    </row>
    <row r="350" ht="15" customHeight="1" s="27">
      <c r="A350" s="61" t="inlineStr">
        <is>
          <t>2026-03-30 09:59:27</t>
        </is>
      </c>
      <c r="B350" s="61" t="inlineStr">
        <is>
          <t>E6_v1_clean</t>
        </is>
      </c>
      <c r="C350" s="61" t="inlineStr">
        <is>
          <t>E6</t>
        </is>
      </c>
      <c r="D350" s="61" t="inlineStr">
        <is>
          <t>seleccion_features</t>
        </is>
      </c>
      <c r="E350" s="61" t="inlineStr">
        <is>
          <t>features_seleccionadas_h4.csv</t>
        </is>
      </c>
      <c r="F350" s="61" t="inlineStr">
        <is>
          <t>Experimentos/runs/E6_v1_clean_20260330_095626/features_seleccionadas_h4.csv</t>
        </is>
      </c>
      <c r="G350" s="61" t="inlineStr">
        <is>
          <t>Resumen de combinaciones de features seleccionadas por fold externo. El filtro se calcula solo con el train de cada fold externo.</t>
        </is>
      </c>
    </row>
    <row r="351" ht="15" customHeight="1" s="27">
      <c r="A351" s="61" t="inlineStr">
        <is>
          <t>2026-03-30 09:59:27</t>
        </is>
      </c>
      <c r="B351" s="61" t="inlineStr">
        <is>
          <t>E6_v1_clean</t>
        </is>
      </c>
      <c r="C351" s="61" t="inlineStr">
        <is>
          <t>E6</t>
        </is>
      </c>
      <c r="D351" s="61" t="inlineStr">
        <is>
          <t>predicciones</t>
        </is>
      </c>
      <c r="E351" s="61" t="inlineStr">
        <is>
          <t>predicciones_h1.csv</t>
        </is>
      </c>
      <c r="F351" s="61" t="inlineStr">
        <is>
          <t>Experimentos/runs/E6_v1_clean_20260330_095626/predicciones_h1.csv</t>
        </is>
      </c>
      <c r="G351" s="61" t="inlineStr">
        <is>
          <t>Predicciones walk-forward para horizonte 1.</t>
        </is>
      </c>
    </row>
    <row r="352" ht="15" customHeight="1" s="27">
      <c r="A352" s="61" t="inlineStr">
        <is>
          <t>2026-03-30 09:59:27</t>
        </is>
      </c>
      <c r="B352" s="61" t="inlineStr">
        <is>
          <t>E6_v1_clean</t>
        </is>
      </c>
      <c r="C352" s="61" t="inlineStr">
        <is>
          <t>E6</t>
        </is>
      </c>
      <c r="D352" s="61" t="inlineStr">
        <is>
          <t>predicciones</t>
        </is>
      </c>
      <c r="E352" s="61" t="inlineStr">
        <is>
          <t>predicciones_h2.csv</t>
        </is>
      </c>
      <c r="F352" s="61" t="inlineStr">
        <is>
          <t>Experimentos/runs/E6_v1_clean_20260330_095626/predicciones_h2.csv</t>
        </is>
      </c>
      <c r="G352" s="61" t="inlineStr">
        <is>
          <t>Predicciones walk-forward para horizonte 2.</t>
        </is>
      </c>
    </row>
    <row r="353" ht="15" customHeight="1" s="27">
      <c r="A353" s="61" t="inlineStr">
        <is>
          <t>2026-03-30 09:59:27</t>
        </is>
      </c>
      <c r="B353" s="61" t="inlineStr">
        <is>
          <t>E6_v1_clean</t>
        </is>
      </c>
      <c r="C353" s="61" t="inlineStr">
        <is>
          <t>E6</t>
        </is>
      </c>
      <c r="D353" s="61" t="inlineStr">
        <is>
          <t>predicciones</t>
        </is>
      </c>
      <c r="E353" s="61" t="inlineStr">
        <is>
          <t>predicciones_h3.csv</t>
        </is>
      </c>
      <c r="F353" s="61" t="inlineStr">
        <is>
          <t>Experimentos/runs/E6_v1_clean_20260330_095626/predicciones_h3.csv</t>
        </is>
      </c>
      <c r="G353" s="61" t="inlineStr">
        <is>
          <t>Predicciones walk-forward para horizonte 3.</t>
        </is>
      </c>
    </row>
    <row r="354" ht="15" customHeight="1" s="27">
      <c r="A354" s="61" t="inlineStr">
        <is>
          <t>2026-03-30 09:59:27</t>
        </is>
      </c>
      <c r="B354" s="61" t="inlineStr">
        <is>
          <t>E6_v1_clean</t>
        </is>
      </c>
      <c r="C354" s="61" t="inlineStr">
        <is>
          <t>E6</t>
        </is>
      </c>
      <c r="D354" s="61" t="inlineStr">
        <is>
          <t>predicciones</t>
        </is>
      </c>
      <c r="E354" s="61" t="inlineStr">
        <is>
          <t>predicciones_h4.csv</t>
        </is>
      </c>
      <c r="F354" s="61" t="inlineStr">
        <is>
          <t>Experimentos/runs/E6_v1_clean_20260330_095626/predicciones_h4.csv</t>
        </is>
      </c>
      <c r="G354" s="61" t="inlineStr">
        <is>
          <t>Predicciones walk-forward para horizonte 4.</t>
        </is>
      </c>
    </row>
    <row r="355" ht="15" customHeight="1" s="27">
      <c r="A355" s="61" t="inlineStr">
        <is>
          <t>2026-03-30 09:59:27</t>
        </is>
      </c>
      <c r="B355" s="61" t="inlineStr">
        <is>
          <t>E6_v1_clean</t>
        </is>
      </c>
      <c r="C355" s="61" t="inlineStr">
        <is>
          <t>E6</t>
        </is>
      </c>
      <c r="D355" s="61" t="inlineStr">
        <is>
          <t>resumen</t>
        </is>
      </c>
      <c r="E355" s="61" t="inlineStr">
        <is>
          <t>resumen_modeling_horizontes.json</t>
        </is>
      </c>
      <c r="F355" s="61" t="inlineStr">
        <is>
          <t>Experimentos/runs/E6_v1_clean_20260330_095626/resumen_modeling_horizontes.json</t>
        </is>
      </c>
      <c r="G355" s="61" t="inlineStr">
        <is>
          <t>Resumen de tamanos y seleccion de features por horizonte.</t>
        </is>
      </c>
    </row>
    <row r="356" ht="15" customHeight="1" s="27">
      <c r="A356" s="61" t="inlineStr">
        <is>
          <t>2026-03-30 09:59:27</t>
        </is>
      </c>
      <c r="B356" s="61" t="inlineStr">
        <is>
          <t>E6_v1_clean</t>
        </is>
      </c>
      <c r="C356" s="61" t="inlineStr">
        <is>
          <t>E6</t>
        </is>
      </c>
      <c r="D356" s="61" t="inlineStr">
        <is>
          <t>comparacion</t>
        </is>
      </c>
      <c r="E356" s="61" t="inlineStr">
        <is>
          <t>comparacion_vs_E1_v5_clean.json</t>
        </is>
      </c>
      <c r="F356" s="61" t="inlineStr">
        <is>
          <t>Experimentos/runs/E6_v1_clean_20260330_095626/comparacion_vs_E1_v5_clean.json</t>
        </is>
      </c>
      <c r="G356" s="61" t="inlineStr">
        <is>
          <t>Comparacion de la corrida clean contra E1_v5_clean.</t>
        </is>
      </c>
    </row>
    <row r="357" ht="15" customHeight="1" s="27">
      <c r="A357" s="61" t="inlineStr">
        <is>
          <t>2026-03-30 09:59:27</t>
        </is>
      </c>
      <c r="B357" s="61" t="inlineStr">
        <is>
          <t>E6_v1_clean</t>
        </is>
      </c>
      <c r="C357" s="61" t="inlineStr">
        <is>
          <t>E6</t>
        </is>
      </c>
      <c r="D357" s="61" t="inlineStr">
        <is>
          <t>comparacion</t>
        </is>
      </c>
      <c r="E357" s="61" t="inlineStr">
        <is>
          <t>comparacion_vs_E1_v4_clean.json</t>
        </is>
      </c>
      <c r="F357" s="61" t="inlineStr">
        <is>
          <t>Experimentos/runs/E6_v1_clean_20260330_095626/comparacion_vs_E1_v4_clean.json</t>
        </is>
      </c>
      <c r="G357" s="61" t="inlineStr">
        <is>
          <t>Comparacion de la corrida clean contra E1_v4_clean.</t>
        </is>
      </c>
    </row>
    <row r="358" ht="15" customHeight="1" s="27">
      <c r="A358" s="61" t="inlineStr">
        <is>
          <t>2026-03-30 09:59:27</t>
        </is>
      </c>
      <c r="B358" s="61" t="inlineStr">
        <is>
          <t>E6_v1_clean</t>
        </is>
      </c>
      <c r="C358" s="61" t="inlineStr">
        <is>
          <t>E6</t>
        </is>
      </c>
      <c r="D358" s="61" t="inlineStr">
        <is>
          <t>comparacion</t>
        </is>
      </c>
      <c r="E358" s="61" t="inlineStr">
        <is>
          <t>comparacion_vs_E5_v4_clean.json</t>
        </is>
      </c>
      <c r="F358" s="61" t="inlineStr">
        <is>
          <t>Experimentos/runs/E6_v1_clean_20260330_095626/comparacion_vs_E5_v4_clean.json</t>
        </is>
      </c>
      <c r="G358" s="61" t="inlineStr">
        <is>
          <t>Comparacion de la corrida clean contra E5_v4_clean.</t>
        </is>
      </c>
    </row>
    <row r="359" ht="15" customHeight="1" s="27">
      <c r="A359" s="61" t="inlineStr">
        <is>
          <t>2026-03-30 09:59:27</t>
        </is>
      </c>
      <c r="B359" s="61" t="inlineStr">
        <is>
          <t>E6_v1_clean</t>
        </is>
      </c>
      <c r="C359" s="61" t="inlineStr">
        <is>
          <t>E6</t>
        </is>
      </c>
      <c r="D359" s="61" t="inlineStr">
        <is>
          <t>comparacion</t>
        </is>
      </c>
      <c r="E359" s="61" t="inlineStr">
        <is>
          <t>comparacion_vs_E3_v2_clean.json</t>
        </is>
      </c>
      <c r="F359" s="61" t="inlineStr">
        <is>
          <t>Experimentos/runs/E6_v1_clean_20260330_095626/comparacion_vs_E3_v2_clean.json</t>
        </is>
      </c>
      <c r="G359" s="61" t="inlineStr">
        <is>
          <t>Comparacion de la corrida clean contra E3_v2_clean.</t>
        </is>
      </c>
    </row>
    <row r="360" ht="15" customHeight="1" s="27">
      <c r="A360" s="61" t="inlineStr">
        <is>
          <t>2026-03-30 09:59:27</t>
        </is>
      </c>
      <c r="B360" s="61" t="inlineStr">
        <is>
          <t>E6_v1_clean</t>
        </is>
      </c>
      <c r="C360" s="61" t="inlineStr">
        <is>
          <t>E6</t>
        </is>
      </c>
      <c r="D360" s="61" t="inlineStr">
        <is>
          <t>comparacion</t>
        </is>
      </c>
      <c r="E360" s="61" t="inlineStr">
        <is>
          <t>comparacion_vs_E4_v1_clean.json</t>
        </is>
      </c>
      <c r="F360" s="61" t="inlineStr">
        <is>
          <t>Experimentos/runs/E6_v1_clean_20260330_095626/comparacion_vs_E4_v1_clean.json</t>
        </is>
      </c>
      <c r="G360" s="61" t="inlineStr">
        <is>
          <t>Comparacion de la corrida clean contra E4_v1_clean.</t>
        </is>
      </c>
    </row>
    <row r="361" ht="15" customHeight="1" s="27">
      <c r="A361" s="61" t="inlineStr">
        <is>
          <t>2026-03-30 09:59:27</t>
        </is>
      </c>
      <c r="B361" s="61" t="inlineStr">
        <is>
          <t>E6_v1_clean</t>
        </is>
      </c>
      <c r="C361" s="61" t="inlineStr">
        <is>
          <t>E6</t>
        </is>
      </c>
      <c r="D361" s="61" t="inlineStr">
        <is>
          <t>metricas</t>
        </is>
      </c>
      <c r="E361" s="61" t="inlineStr">
        <is>
          <t>metricas_horizonte.json</t>
        </is>
      </c>
      <c r="F361" s="61" t="inlineStr">
        <is>
          <t>Experimentos/runs/E6_v1_clean_20260330_095626/metricas_horizonte.json</t>
        </is>
      </c>
      <c r="G361" s="61" t="inlineStr">
        <is>
          <t>Resumen estructurado por horizonte.</t>
        </is>
      </c>
    </row>
    <row r="362" ht="15" customHeight="1" s="27">
      <c r="A362" s="61" t="inlineStr">
        <is>
          <t>2026-03-30 09:59:27</t>
        </is>
      </c>
      <c r="B362" s="61" t="inlineStr">
        <is>
          <t>E6_v1_clean</t>
        </is>
      </c>
      <c r="C362" s="61" t="inlineStr">
        <is>
          <t>E6</t>
        </is>
      </c>
      <c r="D362" s="61" t="inlineStr">
        <is>
          <t>metadata</t>
        </is>
      </c>
      <c r="E362" s="61" t="inlineStr">
        <is>
          <t>metadata_run.json</t>
        </is>
      </c>
      <c r="F362" s="61" t="inlineStr">
        <is>
          <t>Experimentos/runs/E6_v1_clean_20260330_095626/metadata_run.json</t>
        </is>
      </c>
      <c r="G362" s="61" t="inlineStr">
        <is>
          <t>Metadata base del run.</t>
        </is>
      </c>
    </row>
    <row r="363" ht="15" customHeight="1" s="27">
      <c r="A363" s="61" t="inlineStr">
        <is>
          <t>2026-03-30 10:00:26</t>
        </is>
      </c>
      <c r="B363" s="61" t="inlineStr">
        <is>
          <t>E6_v2_clean</t>
        </is>
      </c>
      <c r="C363" s="61" t="inlineStr">
        <is>
          <t>E6</t>
        </is>
      </c>
      <c r="D363" s="61" t="inlineStr">
        <is>
          <t>script_snapshot</t>
        </is>
      </c>
      <c r="E363" s="61" t="inlineStr">
        <is>
          <t>run_e6_arimax.py</t>
        </is>
      </c>
      <c r="F363" s="61" t="inlineStr">
        <is>
          <t>Experimentos/runs/E6_v2_clean_20260330_095944/scripts/run_e6_arimax.py</t>
        </is>
      </c>
      <c r="G363" s="61" t="inlineStr">
        <is>
          <t>Copia del script ejecutado para reproducibilidad.</t>
        </is>
      </c>
    </row>
    <row r="364" ht="15" customHeight="1" s="27">
      <c r="A364" s="61" t="inlineStr">
        <is>
          <t>2026-03-30 10:00:26</t>
        </is>
      </c>
      <c r="B364" s="61" t="inlineStr">
        <is>
          <t>E6_v2_clean</t>
        </is>
      </c>
      <c r="C364" s="61" t="inlineStr">
        <is>
          <t>E6</t>
        </is>
      </c>
      <c r="D364" s="61" t="inlineStr">
        <is>
          <t>parametros</t>
        </is>
      </c>
      <c r="E364" s="61" t="inlineStr">
        <is>
          <t>parametros_run.json</t>
        </is>
      </c>
      <c r="F364" s="61" t="inlineStr">
        <is>
          <t>Experimentos/runs/E6_v2_clean_20260330_095944/parametros_run.json</t>
        </is>
      </c>
      <c r="G364" s="61" t="inlineStr">
        <is>
          <t>Parametros del experimento.</t>
        </is>
      </c>
    </row>
    <row r="365" ht="15" customHeight="1" s="27">
      <c r="A365" s="61" t="inlineStr">
        <is>
          <t>2026-03-30 10:00:26</t>
        </is>
      </c>
      <c r="B365" s="61" t="inlineStr">
        <is>
          <t>E6_v2_clean</t>
        </is>
      </c>
      <c r="C365" s="61" t="inlineStr">
        <is>
          <t>E6</t>
        </is>
      </c>
      <c r="D365" s="61" t="inlineStr">
        <is>
          <t>predicciones</t>
        </is>
      </c>
      <c r="E365" s="61" t="inlineStr">
        <is>
          <t>predicciones_h1.csv</t>
        </is>
      </c>
      <c r="F365" s="61" t="inlineStr">
        <is>
          <t>Experimentos/runs/E6_v2_clean_20260330_095944/predicciones_h1.csv</t>
        </is>
      </c>
      <c r="G365" s="61" t="inlineStr">
        <is>
          <t>Predicciones walk-forward para horizonte 1.</t>
        </is>
      </c>
    </row>
    <row r="366" ht="15" customHeight="1" s="27">
      <c r="A366" s="61" t="inlineStr">
        <is>
          <t>2026-03-30 10:00:26</t>
        </is>
      </c>
      <c r="B366" s="61" t="inlineStr">
        <is>
          <t>E6_v2_clean</t>
        </is>
      </c>
      <c r="C366" s="61" t="inlineStr">
        <is>
          <t>E6</t>
        </is>
      </c>
      <c r="D366" s="61" t="inlineStr">
        <is>
          <t>predicciones</t>
        </is>
      </c>
      <c r="E366" s="61" t="inlineStr">
        <is>
          <t>predicciones_h2.csv</t>
        </is>
      </c>
      <c r="F366" s="61" t="inlineStr">
        <is>
          <t>Experimentos/runs/E6_v2_clean_20260330_095944/predicciones_h2.csv</t>
        </is>
      </c>
      <c r="G366" s="61" t="inlineStr">
        <is>
          <t>Predicciones walk-forward para horizonte 2.</t>
        </is>
      </c>
    </row>
    <row r="367" ht="15" customHeight="1" s="27">
      <c r="A367" s="61" t="inlineStr">
        <is>
          <t>2026-03-30 10:00:26</t>
        </is>
      </c>
      <c r="B367" s="61" t="inlineStr">
        <is>
          <t>E6_v2_clean</t>
        </is>
      </c>
      <c r="C367" s="61" t="inlineStr">
        <is>
          <t>E6</t>
        </is>
      </c>
      <c r="D367" s="61" t="inlineStr">
        <is>
          <t>predicciones</t>
        </is>
      </c>
      <c r="E367" s="61" t="inlineStr">
        <is>
          <t>predicciones_h3.csv</t>
        </is>
      </c>
      <c r="F367" s="61" t="inlineStr">
        <is>
          <t>Experimentos/runs/E6_v2_clean_20260330_095944/predicciones_h3.csv</t>
        </is>
      </c>
      <c r="G367" s="61" t="inlineStr">
        <is>
          <t>Predicciones walk-forward para horizonte 3.</t>
        </is>
      </c>
    </row>
    <row r="368" ht="15" customHeight="1" s="27">
      <c r="A368" s="61" t="inlineStr">
        <is>
          <t>2026-03-30 10:00:26</t>
        </is>
      </c>
      <c r="B368" s="61" t="inlineStr">
        <is>
          <t>E6_v2_clean</t>
        </is>
      </c>
      <c r="C368" s="61" t="inlineStr">
        <is>
          <t>E6</t>
        </is>
      </c>
      <c r="D368" s="61" t="inlineStr">
        <is>
          <t>predicciones</t>
        </is>
      </c>
      <c r="E368" s="61" t="inlineStr">
        <is>
          <t>predicciones_h4.csv</t>
        </is>
      </c>
      <c r="F368" s="61" t="inlineStr">
        <is>
          <t>Experimentos/runs/E6_v2_clean_20260330_095944/predicciones_h4.csv</t>
        </is>
      </c>
      <c r="G368" s="61" t="inlineStr">
        <is>
          <t>Predicciones walk-forward para horizonte 4.</t>
        </is>
      </c>
    </row>
    <row r="369" ht="15" customHeight="1" s="27">
      <c r="A369" s="61" t="inlineStr">
        <is>
          <t>2026-03-30 10:00:26</t>
        </is>
      </c>
      <c r="B369" s="61" t="inlineStr">
        <is>
          <t>E6_v2_clean</t>
        </is>
      </c>
      <c r="C369" s="61" t="inlineStr">
        <is>
          <t>E6</t>
        </is>
      </c>
      <c r="D369" s="61" t="inlineStr">
        <is>
          <t>resumen</t>
        </is>
      </c>
      <c r="E369" s="61" t="inlineStr">
        <is>
          <t>resumen_modeling_horizontes.json</t>
        </is>
      </c>
      <c r="F369" s="61" t="inlineStr">
        <is>
          <t>Experimentos/runs/E6_v2_clean_20260330_095944/resumen_modeling_horizontes.json</t>
        </is>
      </c>
      <c r="G369" s="61" t="inlineStr">
        <is>
          <t>Resumen de tamanos y seleccion de features por horizonte.</t>
        </is>
      </c>
    </row>
    <row r="370" ht="15" customHeight="1" s="27">
      <c r="A370" s="61" t="inlineStr">
        <is>
          <t>2026-03-30 10:00:26</t>
        </is>
      </c>
      <c r="B370" s="61" t="inlineStr">
        <is>
          <t>E6_v2_clean</t>
        </is>
      </c>
      <c r="C370" s="61" t="inlineStr">
        <is>
          <t>E6</t>
        </is>
      </c>
      <c r="D370" s="61" t="inlineStr">
        <is>
          <t>comparacion</t>
        </is>
      </c>
      <c r="E370" s="61" t="inlineStr">
        <is>
          <t>comparacion_vs_E1_v5_clean.json</t>
        </is>
      </c>
      <c r="F370" s="61" t="inlineStr">
        <is>
          <t>Experimentos/runs/E6_v2_clean_20260330_095944/comparacion_vs_E1_v5_clean.json</t>
        </is>
      </c>
      <c r="G370" s="61" t="inlineStr">
        <is>
          <t>Comparacion de la corrida clean contra E1_v5_clean.</t>
        </is>
      </c>
    </row>
    <row r="371" ht="15" customHeight="1" s="27">
      <c r="A371" s="61" t="inlineStr">
        <is>
          <t>2026-03-30 10:00:26</t>
        </is>
      </c>
      <c r="B371" s="61" t="inlineStr">
        <is>
          <t>E6_v2_clean</t>
        </is>
      </c>
      <c r="C371" s="61" t="inlineStr">
        <is>
          <t>E6</t>
        </is>
      </c>
      <c r="D371" s="61" t="inlineStr">
        <is>
          <t>comparacion</t>
        </is>
      </c>
      <c r="E371" s="61" t="inlineStr">
        <is>
          <t>comparacion_vs_E1_v4_clean.json</t>
        </is>
      </c>
      <c r="F371" s="61" t="inlineStr">
        <is>
          <t>Experimentos/runs/E6_v2_clean_20260330_095944/comparacion_vs_E1_v4_clean.json</t>
        </is>
      </c>
      <c r="G371" s="61" t="inlineStr">
        <is>
          <t>Comparacion de la corrida clean contra E1_v4_clean.</t>
        </is>
      </c>
    </row>
    <row r="372" ht="15" customHeight="1" s="27">
      <c r="A372" s="61" t="inlineStr">
        <is>
          <t>2026-03-30 10:00:26</t>
        </is>
      </c>
      <c r="B372" s="61" t="inlineStr">
        <is>
          <t>E6_v2_clean</t>
        </is>
      </c>
      <c r="C372" s="61" t="inlineStr">
        <is>
          <t>E6</t>
        </is>
      </c>
      <c r="D372" s="61" t="inlineStr">
        <is>
          <t>comparacion</t>
        </is>
      </c>
      <c r="E372" s="61" t="inlineStr">
        <is>
          <t>comparacion_vs_E5_v4_clean.json</t>
        </is>
      </c>
      <c r="F372" s="61" t="inlineStr">
        <is>
          <t>Experimentos/runs/E6_v2_clean_20260330_095944/comparacion_vs_E5_v4_clean.json</t>
        </is>
      </c>
      <c r="G372" s="61" t="inlineStr">
        <is>
          <t>Comparacion de la corrida clean contra E5_v4_clean.</t>
        </is>
      </c>
    </row>
    <row r="373" ht="15" customHeight="1" s="27">
      <c r="A373" s="61" t="inlineStr">
        <is>
          <t>2026-03-30 10:00:26</t>
        </is>
      </c>
      <c r="B373" s="61" t="inlineStr">
        <is>
          <t>E6_v2_clean</t>
        </is>
      </c>
      <c r="C373" s="61" t="inlineStr">
        <is>
          <t>E6</t>
        </is>
      </c>
      <c r="D373" s="61" t="inlineStr">
        <is>
          <t>comparacion</t>
        </is>
      </c>
      <c r="E373" s="61" t="inlineStr">
        <is>
          <t>comparacion_vs_E3_v2_clean.json</t>
        </is>
      </c>
      <c r="F373" s="61" t="inlineStr">
        <is>
          <t>Experimentos/runs/E6_v2_clean_20260330_095944/comparacion_vs_E3_v2_clean.json</t>
        </is>
      </c>
      <c r="G373" s="61" t="inlineStr">
        <is>
          <t>Comparacion de la corrida clean contra E3_v2_clean.</t>
        </is>
      </c>
    </row>
    <row r="374" ht="15" customHeight="1" s="27">
      <c r="A374" s="61" t="inlineStr">
        <is>
          <t>2026-03-30 10:00:26</t>
        </is>
      </c>
      <c r="B374" s="61" t="inlineStr">
        <is>
          <t>E6_v2_clean</t>
        </is>
      </c>
      <c r="C374" s="61" t="inlineStr">
        <is>
          <t>E6</t>
        </is>
      </c>
      <c r="D374" s="61" t="inlineStr">
        <is>
          <t>comparacion</t>
        </is>
      </c>
      <c r="E374" s="61" t="inlineStr">
        <is>
          <t>comparacion_vs_E4_v1_clean.json</t>
        </is>
      </c>
      <c r="F374" s="61" t="inlineStr">
        <is>
          <t>Experimentos/runs/E6_v2_clean_20260330_095944/comparacion_vs_E4_v1_clean.json</t>
        </is>
      </c>
      <c r="G374" s="61" t="inlineStr">
        <is>
          <t>Comparacion de la corrida clean contra E4_v1_clean.</t>
        </is>
      </c>
    </row>
    <row r="375" ht="15" customHeight="1" s="27">
      <c r="A375" s="61" t="inlineStr">
        <is>
          <t>2026-03-30 10:00:27</t>
        </is>
      </c>
      <c r="B375" s="61" t="inlineStr">
        <is>
          <t>E6_v2_clean</t>
        </is>
      </c>
      <c r="C375" s="61" t="inlineStr">
        <is>
          <t>E6</t>
        </is>
      </c>
      <c r="D375" s="61" t="inlineStr">
        <is>
          <t>comparacion</t>
        </is>
      </c>
      <c r="E375" s="61" t="inlineStr">
        <is>
          <t>comparacion_vs_E6_v1_clean.json</t>
        </is>
      </c>
      <c r="F375" s="61" t="inlineStr">
        <is>
          <t>Experimentos/runs/E6_v2_clean_20260330_095944/comparacion_vs_E6_v1_clean.json</t>
        </is>
      </c>
      <c r="G375" s="61" t="inlineStr">
        <is>
          <t>Comparacion de la corrida clean contra E6_v1_clean.</t>
        </is>
      </c>
    </row>
    <row r="376" ht="15" customHeight="1" s="27">
      <c r="A376" s="61" t="inlineStr">
        <is>
          <t>2026-03-30 10:00:27</t>
        </is>
      </c>
      <c r="B376" s="61" t="inlineStr">
        <is>
          <t>E6_v2_clean</t>
        </is>
      </c>
      <c r="C376" s="61" t="inlineStr">
        <is>
          <t>E6</t>
        </is>
      </c>
      <c r="D376" s="61" t="inlineStr">
        <is>
          <t>metricas</t>
        </is>
      </c>
      <c r="E376" s="61" t="inlineStr">
        <is>
          <t>metricas_horizonte.json</t>
        </is>
      </c>
      <c r="F376" s="61" t="inlineStr">
        <is>
          <t>Experimentos/runs/E6_v2_clean_20260330_095944/metricas_horizonte.json</t>
        </is>
      </c>
      <c r="G376" s="61" t="inlineStr">
        <is>
          <t>Resumen estructurado por horizonte.</t>
        </is>
      </c>
    </row>
    <row r="377" ht="15" customHeight="1" s="27">
      <c r="A377" s="61" t="inlineStr">
        <is>
          <t>2026-03-30 10:00:27</t>
        </is>
      </c>
      <c r="B377" s="61" t="inlineStr">
        <is>
          <t>E6_v2_clean</t>
        </is>
      </c>
      <c r="C377" s="61" t="inlineStr">
        <is>
          <t>E6</t>
        </is>
      </c>
      <c r="D377" s="61" t="inlineStr">
        <is>
          <t>metadata</t>
        </is>
      </c>
      <c r="E377" s="61" t="inlineStr">
        <is>
          <t>metadata_run.json</t>
        </is>
      </c>
      <c r="F377" s="61" t="inlineStr">
        <is>
          <t>Experimentos/runs/E6_v2_clean_20260330_095944/metadata_run.json</t>
        </is>
      </c>
      <c r="G377" s="61" t="inlineStr">
        <is>
          <t>Metadata base del run.</t>
        </is>
      </c>
    </row>
    <row r="378" ht="15" customHeight="1" s="27">
      <c r="A378" s="61" t="inlineStr">
        <is>
          <t>2026-03-30 10:53:06</t>
        </is>
      </c>
      <c r="B378" s="61" t="inlineStr">
        <is>
          <t>E7_v1_clean</t>
        </is>
      </c>
      <c r="C378" s="61" t="inlineStr">
        <is>
          <t>E7</t>
        </is>
      </c>
      <c r="D378" s="61" t="inlineStr">
        <is>
          <t>script_snapshot</t>
        </is>
      </c>
      <c r="E378" s="61" t="inlineStr">
        <is>
          <t>run_e7_prophet.py</t>
        </is>
      </c>
      <c r="F378" s="61" t="inlineStr">
        <is>
          <t>Experimentos/runs/E7_v1_clean_20260330_105236/scripts/run_e7_prophet.py</t>
        </is>
      </c>
      <c r="G378" s="61" t="inlineStr">
        <is>
          <t>Copia del script ejecutado para reproducibilidad.</t>
        </is>
      </c>
    </row>
    <row r="379" ht="15" customHeight="1" s="27">
      <c r="A379" s="61" t="inlineStr">
        <is>
          <t>2026-03-30 10:53:06</t>
        </is>
      </c>
      <c r="B379" s="61" t="inlineStr">
        <is>
          <t>E7_v1_clean</t>
        </is>
      </c>
      <c r="C379" s="61" t="inlineStr">
        <is>
          <t>E7</t>
        </is>
      </c>
      <c r="D379" s="61" t="inlineStr">
        <is>
          <t>parametros</t>
        </is>
      </c>
      <c r="E379" s="61" t="inlineStr">
        <is>
          <t>parametros_run.json</t>
        </is>
      </c>
      <c r="F379" s="61" t="inlineStr">
        <is>
          <t>Experimentos/runs/E7_v1_clean_20260330_105236/parametros_run.json</t>
        </is>
      </c>
      <c r="G379" s="61" t="inlineStr">
        <is>
          <t>Parametros del experimento.</t>
        </is>
      </c>
    </row>
    <row r="380" ht="15" customHeight="1" s="27">
      <c r="A380" s="61" t="inlineStr">
        <is>
          <t>2026-03-30 10:53:06</t>
        </is>
      </c>
      <c r="B380" s="61" t="inlineStr">
        <is>
          <t>E7_v1_clean</t>
        </is>
      </c>
      <c r="C380" s="61" t="inlineStr">
        <is>
          <t>E7</t>
        </is>
      </c>
      <c r="D380" s="61" t="inlineStr">
        <is>
          <t>seleccion_features</t>
        </is>
      </c>
      <c r="E380" s="61" t="inlineStr">
        <is>
          <t>features_seleccionadas_h1.csv</t>
        </is>
      </c>
      <c r="F380" s="61" t="inlineStr">
        <is>
          <t>Experimentos/runs/E7_v1_clean_20260330_105236/features_seleccionadas_h1.csv</t>
        </is>
      </c>
      <c r="G380" s="61" t="inlineStr">
        <is>
          <t>Resumen de combinaciones de features seleccionadas por fold externo. El filtro se calcula solo con el train de cada fold externo.</t>
        </is>
      </c>
    </row>
    <row r="381" ht="15" customHeight="1" s="27">
      <c r="A381" s="61" t="inlineStr">
        <is>
          <t>2026-03-30 10:53:06</t>
        </is>
      </c>
      <c r="B381" s="61" t="inlineStr">
        <is>
          <t>E7_v1_clean</t>
        </is>
      </c>
      <c r="C381" s="61" t="inlineStr">
        <is>
          <t>E7</t>
        </is>
      </c>
      <c r="D381" s="61" t="inlineStr">
        <is>
          <t>seleccion_features</t>
        </is>
      </c>
      <c r="E381" s="61" t="inlineStr">
        <is>
          <t>features_seleccionadas_h2.csv</t>
        </is>
      </c>
      <c r="F381" s="61" t="inlineStr">
        <is>
          <t>Experimentos/runs/E7_v1_clean_20260330_105236/features_seleccionadas_h2.csv</t>
        </is>
      </c>
      <c r="G381" s="61" t="inlineStr">
        <is>
          <t>Resumen de combinaciones de features seleccionadas por fold externo. El filtro se calcula solo con el train de cada fold externo.</t>
        </is>
      </c>
    </row>
    <row r="382" ht="15" customHeight="1" s="27">
      <c r="A382" s="61" t="inlineStr">
        <is>
          <t>2026-03-30 10:53:06</t>
        </is>
      </c>
      <c r="B382" s="61" t="inlineStr">
        <is>
          <t>E7_v1_clean</t>
        </is>
      </c>
      <c r="C382" s="61" t="inlineStr">
        <is>
          <t>E7</t>
        </is>
      </c>
      <c r="D382" s="61" t="inlineStr">
        <is>
          <t>seleccion_features</t>
        </is>
      </c>
      <c r="E382" s="61" t="inlineStr">
        <is>
          <t>features_seleccionadas_h3.csv</t>
        </is>
      </c>
      <c r="F382" s="61" t="inlineStr">
        <is>
          <t>Experimentos/runs/E7_v1_clean_20260330_105236/features_seleccionadas_h3.csv</t>
        </is>
      </c>
      <c r="G382" s="61" t="inlineStr">
        <is>
          <t>Resumen de combinaciones de features seleccionadas por fold externo. El filtro se calcula solo con el train de cada fold externo.</t>
        </is>
      </c>
    </row>
    <row r="383" ht="15" customHeight="1" s="27">
      <c r="A383" s="61" t="inlineStr">
        <is>
          <t>2026-03-30 10:53:06</t>
        </is>
      </c>
      <c r="B383" s="61" t="inlineStr">
        <is>
          <t>E7_v1_clean</t>
        </is>
      </c>
      <c r="C383" s="61" t="inlineStr">
        <is>
          <t>E7</t>
        </is>
      </c>
      <c r="D383" s="61" t="inlineStr">
        <is>
          <t>seleccion_features</t>
        </is>
      </c>
      <c r="E383" s="61" t="inlineStr">
        <is>
          <t>features_seleccionadas_h4.csv</t>
        </is>
      </c>
      <c r="F383" s="61" t="inlineStr">
        <is>
          <t>Experimentos/runs/E7_v1_clean_20260330_105236/features_seleccionadas_h4.csv</t>
        </is>
      </c>
      <c r="G383" s="61" t="inlineStr">
        <is>
          <t>Resumen de combinaciones de features seleccionadas por fold externo. El filtro se calcula solo con el train de cada fold externo.</t>
        </is>
      </c>
    </row>
    <row r="384" ht="15" customHeight="1" s="27">
      <c r="A384" s="61" t="inlineStr">
        <is>
          <t>2026-03-30 10:53:06</t>
        </is>
      </c>
      <c r="B384" s="61" t="inlineStr">
        <is>
          <t>E7_v1_clean</t>
        </is>
      </c>
      <c r="C384" s="61" t="inlineStr">
        <is>
          <t>E7</t>
        </is>
      </c>
      <c r="D384" s="61" t="inlineStr">
        <is>
          <t>predicciones</t>
        </is>
      </c>
      <c r="E384" s="61" t="inlineStr">
        <is>
          <t>predicciones_h1.csv</t>
        </is>
      </c>
      <c r="F384" s="61" t="inlineStr">
        <is>
          <t>Experimentos/runs/E7_v1_clean_20260330_105236/predicciones_h1.csv</t>
        </is>
      </c>
      <c r="G384" s="61" t="inlineStr">
        <is>
          <t>Predicciones walk-forward para horizonte 1.</t>
        </is>
      </c>
    </row>
    <row r="385" ht="15" customHeight="1" s="27">
      <c r="A385" s="61" t="inlineStr">
        <is>
          <t>2026-03-30 10:53:06</t>
        </is>
      </c>
      <c r="B385" s="61" t="inlineStr">
        <is>
          <t>E7_v1_clean</t>
        </is>
      </c>
      <c r="C385" s="61" t="inlineStr">
        <is>
          <t>E7</t>
        </is>
      </c>
      <c r="D385" s="61" t="inlineStr">
        <is>
          <t>predicciones</t>
        </is>
      </c>
      <c r="E385" s="61" t="inlineStr">
        <is>
          <t>predicciones_h2.csv</t>
        </is>
      </c>
      <c r="F385" s="61" t="inlineStr">
        <is>
          <t>Experimentos/runs/E7_v1_clean_20260330_105236/predicciones_h2.csv</t>
        </is>
      </c>
      <c r="G385" s="61" t="inlineStr">
        <is>
          <t>Predicciones walk-forward para horizonte 2.</t>
        </is>
      </c>
    </row>
    <row r="386" ht="15" customHeight="1" s="27">
      <c r="A386" s="61" t="inlineStr">
        <is>
          <t>2026-03-30 10:53:06</t>
        </is>
      </c>
      <c r="B386" s="61" t="inlineStr">
        <is>
          <t>E7_v1_clean</t>
        </is>
      </c>
      <c r="C386" s="61" t="inlineStr">
        <is>
          <t>E7</t>
        </is>
      </c>
      <c r="D386" s="61" t="inlineStr">
        <is>
          <t>predicciones</t>
        </is>
      </c>
      <c r="E386" s="61" t="inlineStr">
        <is>
          <t>predicciones_h3.csv</t>
        </is>
      </c>
      <c r="F386" s="61" t="inlineStr">
        <is>
          <t>Experimentos/runs/E7_v1_clean_20260330_105236/predicciones_h3.csv</t>
        </is>
      </c>
      <c r="G386" s="61" t="inlineStr">
        <is>
          <t>Predicciones walk-forward para horizonte 3.</t>
        </is>
      </c>
    </row>
    <row r="387" ht="15" customHeight="1" s="27">
      <c r="A387" s="61" t="inlineStr">
        <is>
          <t>2026-03-30 10:53:06</t>
        </is>
      </c>
      <c r="B387" s="61" t="inlineStr">
        <is>
          <t>E7_v1_clean</t>
        </is>
      </c>
      <c r="C387" s="61" t="inlineStr">
        <is>
          <t>E7</t>
        </is>
      </c>
      <c r="D387" s="61" t="inlineStr">
        <is>
          <t>predicciones</t>
        </is>
      </c>
      <c r="E387" s="61" t="inlineStr">
        <is>
          <t>predicciones_h4.csv</t>
        </is>
      </c>
      <c r="F387" s="61" t="inlineStr">
        <is>
          <t>Experimentos/runs/E7_v1_clean_20260330_105236/predicciones_h4.csv</t>
        </is>
      </c>
      <c r="G387" s="61" t="inlineStr">
        <is>
          <t>Predicciones walk-forward para horizonte 4.</t>
        </is>
      </c>
    </row>
    <row r="388" ht="15" customHeight="1" s="27">
      <c r="A388" s="61" t="inlineStr">
        <is>
          <t>2026-03-30 10:53:06</t>
        </is>
      </c>
      <c r="B388" s="61" t="inlineStr">
        <is>
          <t>E7_v1_clean</t>
        </is>
      </c>
      <c r="C388" s="61" t="inlineStr">
        <is>
          <t>E7</t>
        </is>
      </c>
      <c r="D388" s="61" t="inlineStr">
        <is>
          <t>resumen</t>
        </is>
      </c>
      <c r="E388" s="61" t="inlineStr">
        <is>
          <t>resumen_modeling_horizontes.json</t>
        </is>
      </c>
      <c r="F388" s="61" t="inlineStr">
        <is>
          <t>Experimentos/runs/E7_v1_clean_20260330_105236/resumen_modeling_horizontes.json</t>
        </is>
      </c>
      <c r="G388" s="61" t="inlineStr">
        <is>
          <t>Resumen de tamanos y seleccion de features por horizonte.</t>
        </is>
      </c>
    </row>
    <row r="389" ht="15" customHeight="1" s="27">
      <c r="A389" s="61" t="inlineStr">
        <is>
          <t>2026-03-30 10:53:06</t>
        </is>
      </c>
      <c r="B389" s="61" t="inlineStr">
        <is>
          <t>E7_v1_clean</t>
        </is>
      </c>
      <c r="C389" s="61" t="inlineStr">
        <is>
          <t>E7</t>
        </is>
      </c>
      <c r="D389" s="61" t="inlineStr">
        <is>
          <t>comparacion</t>
        </is>
      </c>
      <c r="E389" s="61" t="inlineStr">
        <is>
          <t>comparacion_vs_E1_v5_clean.json</t>
        </is>
      </c>
      <c r="F389" s="61" t="inlineStr">
        <is>
          <t>Experimentos/runs/E7_v1_clean_20260330_105236/comparacion_vs_E1_v5_clean.json</t>
        </is>
      </c>
      <c r="G389" s="61" t="inlineStr">
        <is>
          <t>Comparacion de la corrida clean contra E1_v5_clean.</t>
        </is>
      </c>
    </row>
    <row r="390" ht="15" customHeight="1" s="27">
      <c r="A390" s="61" t="inlineStr">
        <is>
          <t>2026-03-30 10:53:06</t>
        </is>
      </c>
      <c r="B390" s="61" t="inlineStr">
        <is>
          <t>E7_v1_clean</t>
        </is>
      </c>
      <c r="C390" s="61" t="inlineStr">
        <is>
          <t>E7</t>
        </is>
      </c>
      <c r="D390" s="61" t="inlineStr">
        <is>
          <t>comparacion</t>
        </is>
      </c>
      <c r="E390" s="61" t="inlineStr">
        <is>
          <t>comparacion_vs_E1_v4_clean.json</t>
        </is>
      </c>
      <c r="F390" s="61" t="inlineStr">
        <is>
          <t>Experimentos/runs/E7_v1_clean_20260330_105236/comparacion_vs_E1_v4_clean.json</t>
        </is>
      </c>
      <c r="G390" s="61" t="inlineStr">
        <is>
          <t>Comparacion de la corrida clean contra E1_v4_clean.</t>
        </is>
      </c>
    </row>
    <row r="391" ht="15" customHeight="1" s="27">
      <c r="A391" s="61" t="inlineStr">
        <is>
          <t>2026-03-30 10:53:06</t>
        </is>
      </c>
      <c r="B391" s="61" t="inlineStr">
        <is>
          <t>E7_v1_clean</t>
        </is>
      </c>
      <c r="C391" s="61" t="inlineStr">
        <is>
          <t>E7</t>
        </is>
      </c>
      <c r="D391" s="61" t="inlineStr">
        <is>
          <t>comparacion</t>
        </is>
      </c>
      <c r="E391" s="61" t="inlineStr">
        <is>
          <t>comparacion_vs_E5_v4_clean.json</t>
        </is>
      </c>
      <c r="F391" s="61" t="inlineStr">
        <is>
          <t>Experimentos/runs/E7_v1_clean_20260330_105236/comparacion_vs_E5_v4_clean.json</t>
        </is>
      </c>
      <c r="G391" s="61" t="inlineStr">
        <is>
          <t>Comparacion de la corrida clean contra E5_v4_clean.</t>
        </is>
      </c>
    </row>
    <row r="392" ht="15" customHeight="1" s="27">
      <c r="A392" s="61" t="inlineStr">
        <is>
          <t>2026-03-30 10:53:06</t>
        </is>
      </c>
      <c r="B392" s="61" t="inlineStr">
        <is>
          <t>E7_v1_clean</t>
        </is>
      </c>
      <c r="C392" s="61" t="inlineStr">
        <is>
          <t>E7</t>
        </is>
      </c>
      <c r="D392" s="61" t="inlineStr">
        <is>
          <t>comparacion</t>
        </is>
      </c>
      <c r="E392" s="61" t="inlineStr">
        <is>
          <t>comparacion_vs_E3_v2_clean.json</t>
        </is>
      </c>
      <c r="F392" s="61" t="inlineStr">
        <is>
          <t>Experimentos/runs/E7_v1_clean_20260330_105236/comparacion_vs_E3_v2_clean.json</t>
        </is>
      </c>
      <c r="G392" s="61" t="inlineStr">
        <is>
          <t>Comparacion de la corrida clean contra E3_v2_clean.</t>
        </is>
      </c>
    </row>
    <row r="393" ht="15" customHeight="1" s="27">
      <c r="A393" s="61" t="inlineStr">
        <is>
          <t>2026-03-30 10:53:06</t>
        </is>
      </c>
      <c r="B393" s="61" t="inlineStr">
        <is>
          <t>E7_v1_clean</t>
        </is>
      </c>
      <c r="C393" s="61" t="inlineStr">
        <is>
          <t>E7</t>
        </is>
      </c>
      <c r="D393" s="61" t="inlineStr">
        <is>
          <t>comparacion</t>
        </is>
      </c>
      <c r="E393" s="61" t="inlineStr">
        <is>
          <t>comparacion_vs_E4_v1_clean.json</t>
        </is>
      </c>
      <c r="F393" s="61" t="inlineStr">
        <is>
          <t>Experimentos/runs/E7_v1_clean_20260330_105236/comparacion_vs_E4_v1_clean.json</t>
        </is>
      </c>
      <c r="G393" s="61" t="inlineStr">
        <is>
          <t>Comparacion de la corrida clean contra E4_v1_clean.</t>
        </is>
      </c>
    </row>
    <row r="394" ht="15" customHeight="1" s="27">
      <c r="A394" s="61" t="inlineStr">
        <is>
          <t>2026-03-30 10:53:06</t>
        </is>
      </c>
      <c r="B394" s="61" t="inlineStr">
        <is>
          <t>E7_v1_clean</t>
        </is>
      </c>
      <c r="C394" s="61" t="inlineStr">
        <is>
          <t>E7</t>
        </is>
      </c>
      <c r="D394" s="61" t="inlineStr">
        <is>
          <t>comparacion</t>
        </is>
      </c>
      <c r="E394" s="61" t="inlineStr">
        <is>
          <t>comparacion_vs_E6_v1_clean.json</t>
        </is>
      </c>
      <c r="F394" s="61" t="inlineStr">
        <is>
          <t>Experimentos/runs/E7_v1_clean_20260330_105236/comparacion_vs_E6_v1_clean.json</t>
        </is>
      </c>
      <c r="G394" s="61" t="inlineStr">
        <is>
          <t>Comparacion de la corrida clean contra E6_v1_clean.</t>
        </is>
      </c>
    </row>
    <row r="395" ht="15" customHeight="1" s="27">
      <c r="A395" s="61" t="inlineStr">
        <is>
          <t>2026-03-30 10:53:06</t>
        </is>
      </c>
      <c r="B395" s="61" t="inlineStr">
        <is>
          <t>E7_v1_clean</t>
        </is>
      </c>
      <c r="C395" s="61" t="inlineStr">
        <is>
          <t>E7</t>
        </is>
      </c>
      <c r="D395" s="61" t="inlineStr">
        <is>
          <t>comparacion</t>
        </is>
      </c>
      <c r="E395" s="61" t="inlineStr">
        <is>
          <t>comparacion_vs_E6_v2_clean.json</t>
        </is>
      </c>
      <c r="F395" s="61" t="inlineStr">
        <is>
          <t>Experimentos/runs/E7_v1_clean_20260330_105236/comparacion_vs_E6_v2_clean.json</t>
        </is>
      </c>
      <c r="G395" s="61" t="inlineStr">
        <is>
          <t>Comparacion de la corrida clean contra E6_v2_clean.</t>
        </is>
      </c>
    </row>
    <row r="396" ht="15" customHeight="1" s="27">
      <c r="A396" s="61" t="inlineStr">
        <is>
          <t>2026-03-30 10:53:06</t>
        </is>
      </c>
      <c r="B396" s="61" t="inlineStr">
        <is>
          <t>E7_v1_clean</t>
        </is>
      </c>
      <c r="C396" s="61" t="inlineStr">
        <is>
          <t>E7</t>
        </is>
      </c>
      <c r="D396" s="61" t="inlineStr">
        <is>
          <t>metricas</t>
        </is>
      </c>
      <c r="E396" s="61" t="inlineStr">
        <is>
          <t>metricas_horizonte.json</t>
        </is>
      </c>
      <c r="F396" s="61" t="inlineStr">
        <is>
          <t>Experimentos/runs/E7_v1_clean_20260330_105236/metricas_horizonte.json</t>
        </is>
      </c>
      <c r="G396" s="61" t="inlineStr">
        <is>
          <t>Resumen estructurado por horizonte.</t>
        </is>
      </c>
    </row>
    <row r="397" ht="15" customHeight="1" s="27">
      <c r="A397" s="61" t="inlineStr">
        <is>
          <t>2026-03-30 10:53:06</t>
        </is>
      </c>
      <c r="B397" s="61" t="inlineStr">
        <is>
          <t>E7_v1_clean</t>
        </is>
      </c>
      <c r="C397" s="61" t="inlineStr">
        <is>
          <t>E7</t>
        </is>
      </c>
      <c r="D397" s="61" t="inlineStr">
        <is>
          <t>metadata</t>
        </is>
      </c>
      <c r="E397" s="61" t="inlineStr">
        <is>
          <t>metadata_run.json</t>
        </is>
      </c>
      <c r="F397" s="61" t="inlineStr">
        <is>
          <t>Experimentos/runs/E7_v1_clean_20260330_105236/metadata_run.json</t>
        </is>
      </c>
      <c r="G397" s="61" t="inlineStr">
        <is>
          <t>Metadata base del run.</t>
        </is>
      </c>
    </row>
    <row r="398" ht="15" customHeight="1" s="27">
      <c r="A398" s="61" t="inlineStr">
        <is>
          <t>2026-03-30 11:37:46</t>
        </is>
      </c>
      <c r="B398" s="61" t="inlineStr">
        <is>
          <t>E7_v2_clean</t>
        </is>
      </c>
      <c r="C398" s="61" t="inlineStr">
        <is>
          <t>E7</t>
        </is>
      </c>
      <c r="D398" s="61" t="inlineStr">
        <is>
          <t>script_snapshot</t>
        </is>
      </c>
      <c r="E398" s="61" t="inlineStr">
        <is>
          <t>run_e7_prophet.py</t>
        </is>
      </c>
      <c r="F398" s="61" t="inlineStr">
        <is>
          <t>Experimentos/runs/E7_v2_clean_20260330_105319/scripts/run_e7_prophet.py</t>
        </is>
      </c>
      <c r="G398" s="61" t="inlineStr">
        <is>
          <t>Copia del script ejecutado para reproducibilidad.</t>
        </is>
      </c>
    </row>
    <row r="399" ht="15" customHeight="1" s="27">
      <c r="A399" s="61" t="inlineStr">
        <is>
          <t>2026-03-30 11:37:46</t>
        </is>
      </c>
      <c r="B399" s="61" t="inlineStr">
        <is>
          <t>E7_v2_clean</t>
        </is>
      </c>
      <c r="C399" s="61" t="inlineStr">
        <is>
          <t>E7</t>
        </is>
      </c>
      <c r="D399" s="61" t="inlineStr">
        <is>
          <t>parametros</t>
        </is>
      </c>
      <c r="E399" s="61" t="inlineStr">
        <is>
          <t>parametros_run.json</t>
        </is>
      </c>
      <c r="F399" s="61" t="inlineStr">
        <is>
          <t>Experimentos/runs/E7_v2_clean_20260330_105319/parametros_run.json</t>
        </is>
      </c>
      <c r="G399" s="61" t="inlineStr">
        <is>
          <t>Parametros del experimento.</t>
        </is>
      </c>
    </row>
    <row r="400" ht="15" customHeight="1" s="27">
      <c r="A400" s="61" t="inlineStr">
        <is>
          <t>2026-03-30 11:37:46</t>
        </is>
      </c>
      <c r="B400" s="61" t="inlineStr">
        <is>
          <t>E7_v2_clean</t>
        </is>
      </c>
      <c r="C400" s="61" t="inlineStr">
        <is>
          <t>E7</t>
        </is>
      </c>
      <c r="D400" s="61" t="inlineStr">
        <is>
          <t>predicciones</t>
        </is>
      </c>
      <c r="E400" s="61" t="inlineStr">
        <is>
          <t>predicciones_h1.csv</t>
        </is>
      </c>
      <c r="F400" s="61" t="inlineStr">
        <is>
          <t>Experimentos/runs/E7_v2_clean_20260330_105319/predicciones_h1.csv</t>
        </is>
      </c>
      <c r="G400" s="61" t="inlineStr">
        <is>
          <t>Predicciones walk-forward para horizonte 1.</t>
        </is>
      </c>
    </row>
    <row r="401" ht="15" customHeight="1" s="27">
      <c r="A401" s="61" t="inlineStr">
        <is>
          <t>2026-03-30 11:37:46</t>
        </is>
      </c>
      <c r="B401" s="61" t="inlineStr">
        <is>
          <t>E7_v2_clean</t>
        </is>
      </c>
      <c r="C401" s="61" t="inlineStr">
        <is>
          <t>E7</t>
        </is>
      </c>
      <c r="D401" s="61" t="inlineStr">
        <is>
          <t>predicciones</t>
        </is>
      </c>
      <c r="E401" s="61" t="inlineStr">
        <is>
          <t>predicciones_h2.csv</t>
        </is>
      </c>
      <c r="F401" s="61" t="inlineStr">
        <is>
          <t>Experimentos/runs/E7_v2_clean_20260330_105319/predicciones_h2.csv</t>
        </is>
      </c>
      <c r="G401" s="61" t="inlineStr">
        <is>
          <t>Predicciones walk-forward para horizonte 2.</t>
        </is>
      </c>
    </row>
    <row r="402" ht="15" customHeight="1" s="27">
      <c r="A402" s="61" t="inlineStr">
        <is>
          <t>2026-03-30 11:37:46</t>
        </is>
      </c>
      <c r="B402" s="61" t="inlineStr">
        <is>
          <t>E7_v2_clean</t>
        </is>
      </c>
      <c r="C402" s="61" t="inlineStr">
        <is>
          <t>E7</t>
        </is>
      </c>
      <c r="D402" s="61" t="inlineStr">
        <is>
          <t>predicciones</t>
        </is>
      </c>
      <c r="E402" s="61" t="inlineStr">
        <is>
          <t>predicciones_h3.csv</t>
        </is>
      </c>
      <c r="F402" s="61" t="inlineStr">
        <is>
          <t>Experimentos/runs/E7_v2_clean_20260330_105319/predicciones_h3.csv</t>
        </is>
      </c>
      <c r="G402" s="61" t="inlineStr">
        <is>
          <t>Predicciones walk-forward para horizonte 3.</t>
        </is>
      </c>
    </row>
    <row r="403" ht="15" customHeight="1" s="27">
      <c r="A403" s="61" t="inlineStr">
        <is>
          <t>2026-03-30 11:37:46</t>
        </is>
      </c>
      <c r="B403" s="61" t="inlineStr">
        <is>
          <t>E7_v2_clean</t>
        </is>
      </c>
      <c r="C403" s="61" t="inlineStr">
        <is>
          <t>E7</t>
        </is>
      </c>
      <c r="D403" s="61" t="inlineStr">
        <is>
          <t>predicciones</t>
        </is>
      </c>
      <c r="E403" s="61" t="inlineStr">
        <is>
          <t>predicciones_h4.csv</t>
        </is>
      </c>
      <c r="F403" s="61" t="inlineStr">
        <is>
          <t>Experimentos/runs/E7_v2_clean_20260330_105319/predicciones_h4.csv</t>
        </is>
      </c>
      <c r="G403" s="61" t="inlineStr">
        <is>
          <t>Predicciones walk-forward para horizonte 4.</t>
        </is>
      </c>
    </row>
    <row r="404" ht="15" customHeight="1" s="27">
      <c r="A404" s="61" t="inlineStr">
        <is>
          <t>2026-03-30 11:37:46</t>
        </is>
      </c>
      <c r="B404" s="61" t="inlineStr">
        <is>
          <t>E7_v2_clean</t>
        </is>
      </c>
      <c r="C404" s="61" t="inlineStr">
        <is>
          <t>E7</t>
        </is>
      </c>
      <c r="D404" s="61" t="inlineStr">
        <is>
          <t>resumen</t>
        </is>
      </c>
      <c r="E404" s="61" t="inlineStr">
        <is>
          <t>resumen_modeling_horizontes.json</t>
        </is>
      </c>
      <c r="F404" s="61" t="inlineStr">
        <is>
          <t>Experimentos/runs/E7_v2_clean_20260330_105319/resumen_modeling_horizontes.json</t>
        </is>
      </c>
      <c r="G404" s="61" t="inlineStr">
        <is>
          <t>Resumen de tamanos y seleccion de features por horizonte.</t>
        </is>
      </c>
    </row>
    <row r="405" ht="15" customHeight="1" s="27">
      <c r="A405" s="61" t="inlineStr">
        <is>
          <t>2026-03-30 11:37:46</t>
        </is>
      </c>
      <c r="B405" s="61" t="inlineStr">
        <is>
          <t>E7_v2_clean</t>
        </is>
      </c>
      <c r="C405" s="61" t="inlineStr">
        <is>
          <t>E7</t>
        </is>
      </c>
      <c r="D405" s="61" t="inlineStr">
        <is>
          <t>comparacion</t>
        </is>
      </c>
      <c r="E405" s="61" t="inlineStr">
        <is>
          <t>comparacion_vs_E1_v5_clean.json</t>
        </is>
      </c>
      <c r="F405" s="61" t="inlineStr">
        <is>
          <t>Experimentos/runs/E7_v2_clean_20260330_105319/comparacion_vs_E1_v5_clean.json</t>
        </is>
      </c>
      <c r="G405" s="61" t="inlineStr">
        <is>
          <t>Comparacion de la corrida clean contra E1_v5_clean.</t>
        </is>
      </c>
    </row>
    <row r="406" ht="15" customHeight="1" s="27">
      <c r="A406" s="61" t="inlineStr">
        <is>
          <t>2026-03-30 11:37:46</t>
        </is>
      </c>
      <c r="B406" s="61" t="inlineStr">
        <is>
          <t>E7_v2_clean</t>
        </is>
      </c>
      <c r="C406" s="61" t="inlineStr">
        <is>
          <t>E7</t>
        </is>
      </c>
      <c r="D406" s="61" t="inlineStr">
        <is>
          <t>comparacion</t>
        </is>
      </c>
      <c r="E406" s="61" t="inlineStr">
        <is>
          <t>comparacion_vs_E1_v4_clean.json</t>
        </is>
      </c>
      <c r="F406" s="61" t="inlineStr">
        <is>
          <t>Experimentos/runs/E7_v2_clean_20260330_105319/comparacion_vs_E1_v4_clean.json</t>
        </is>
      </c>
      <c r="G406" s="61" t="inlineStr">
        <is>
          <t>Comparacion de la corrida clean contra E1_v4_clean.</t>
        </is>
      </c>
    </row>
    <row r="407" ht="15" customHeight="1" s="27">
      <c r="A407" s="61" t="inlineStr">
        <is>
          <t>2026-03-30 11:37:46</t>
        </is>
      </c>
      <c r="B407" s="61" t="inlineStr">
        <is>
          <t>E7_v2_clean</t>
        </is>
      </c>
      <c r="C407" s="61" t="inlineStr">
        <is>
          <t>E7</t>
        </is>
      </c>
      <c r="D407" s="61" t="inlineStr">
        <is>
          <t>comparacion</t>
        </is>
      </c>
      <c r="E407" s="61" t="inlineStr">
        <is>
          <t>comparacion_vs_E5_v4_clean.json</t>
        </is>
      </c>
      <c r="F407" s="61" t="inlineStr">
        <is>
          <t>Experimentos/runs/E7_v2_clean_20260330_105319/comparacion_vs_E5_v4_clean.json</t>
        </is>
      </c>
      <c r="G407" s="61" t="inlineStr">
        <is>
          <t>Comparacion de la corrida clean contra E5_v4_clean.</t>
        </is>
      </c>
    </row>
    <row r="408" ht="15" customHeight="1" s="27">
      <c r="A408" s="61" t="inlineStr">
        <is>
          <t>2026-03-30 11:37:46</t>
        </is>
      </c>
      <c r="B408" s="61" t="inlineStr">
        <is>
          <t>E7_v2_clean</t>
        </is>
      </c>
      <c r="C408" s="61" t="inlineStr">
        <is>
          <t>E7</t>
        </is>
      </c>
      <c r="D408" s="61" t="inlineStr">
        <is>
          <t>comparacion</t>
        </is>
      </c>
      <c r="E408" s="61" t="inlineStr">
        <is>
          <t>comparacion_vs_E3_v2_clean.json</t>
        </is>
      </c>
      <c r="F408" s="61" t="inlineStr">
        <is>
          <t>Experimentos/runs/E7_v2_clean_20260330_105319/comparacion_vs_E3_v2_clean.json</t>
        </is>
      </c>
      <c r="G408" s="61" t="inlineStr">
        <is>
          <t>Comparacion de la corrida clean contra E3_v2_clean.</t>
        </is>
      </c>
    </row>
    <row r="409" ht="15" customHeight="1" s="27">
      <c r="A409" s="61" t="inlineStr">
        <is>
          <t>2026-03-30 11:37:46</t>
        </is>
      </c>
      <c r="B409" s="61" t="inlineStr">
        <is>
          <t>E7_v2_clean</t>
        </is>
      </c>
      <c r="C409" s="61" t="inlineStr">
        <is>
          <t>E7</t>
        </is>
      </c>
      <c r="D409" s="61" t="inlineStr">
        <is>
          <t>comparacion</t>
        </is>
      </c>
      <c r="E409" s="61" t="inlineStr">
        <is>
          <t>comparacion_vs_E4_v1_clean.json</t>
        </is>
      </c>
      <c r="F409" s="61" t="inlineStr">
        <is>
          <t>Experimentos/runs/E7_v2_clean_20260330_105319/comparacion_vs_E4_v1_clean.json</t>
        </is>
      </c>
      <c r="G409" s="61" t="inlineStr">
        <is>
          <t>Comparacion de la corrida clean contra E4_v1_clean.</t>
        </is>
      </c>
    </row>
    <row r="410" ht="15" customHeight="1" s="27">
      <c r="A410" s="61" t="inlineStr">
        <is>
          <t>2026-03-30 11:37:46</t>
        </is>
      </c>
      <c r="B410" s="61" t="inlineStr">
        <is>
          <t>E7_v2_clean</t>
        </is>
      </c>
      <c r="C410" s="61" t="inlineStr">
        <is>
          <t>E7</t>
        </is>
      </c>
      <c r="D410" s="61" t="inlineStr">
        <is>
          <t>comparacion</t>
        </is>
      </c>
      <c r="E410" s="61" t="inlineStr">
        <is>
          <t>comparacion_vs_E6_v1_clean.json</t>
        </is>
      </c>
      <c r="F410" s="61" t="inlineStr">
        <is>
          <t>Experimentos/runs/E7_v2_clean_20260330_105319/comparacion_vs_E6_v1_clean.json</t>
        </is>
      </c>
      <c r="G410" s="61" t="inlineStr">
        <is>
          <t>Comparacion de la corrida clean contra E6_v1_clean.</t>
        </is>
      </c>
    </row>
    <row r="411" ht="15" customHeight="1" s="27">
      <c r="A411" s="61" t="inlineStr">
        <is>
          <t>2026-03-30 11:37:46</t>
        </is>
      </c>
      <c r="B411" s="61" t="inlineStr">
        <is>
          <t>E7_v2_clean</t>
        </is>
      </c>
      <c r="C411" s="61" t="inlineStr">
        <is>
          <t>E7</t>
        </is>
      </c>
      <c r="D411" s="61" t="inlineStr">
        <is>
          <t>comparacion</t>
        </is>
      </c>
      <c r="E411" s="61" t="inlineStr">
        <is>
          <t>comparacion_vs_E6_v2_clean.json</t>
        </is>
      </c>
      <c r="F411" s="61" t="inlineStr">
        <is>
          <t>Experimentos/runs/E7_v2_clean_20260330_105319/comparacion_vs_E6_v2_clean.json</t>
        </is>
      </c>
      <c r="G411" s="61" t="inlineStr">
        <is>
          <t>Comparacion de la corrida clean contra E6_v2_clean.</t>
        </is>
      </c>
    </row>
    <row r="412" ht="15" customHeight="1" s="27">
      <c r="A412" s="61" t="inlineStr">
        <is>
          <t>2026-03-30 11:37:46</t>
        </is>
      </c>
      <c r="B412" s="61" t="inlineStr">
        <is>
          <t>E7_v2_clean</t>
        </is>
      </c>
      <c r="C412" s="61" t="inlineStr">
        <is>
          <t>E7</t>
        </is>
      </c>
      <c r="D412" s="61" t="inlineStr">
        <is>
          <t>comparacion</t>
        </is>
      </c>
      <c r="E412" s="61" t="inlineStr">
        <is>
          <t>comparacion_vs_E7_v1_clean.json</t>
        </is>
      </c>
      <c r="F412" s="61" t="inlineStr">
        <is>
          <t>Experimentos/runs/E7_v2_clean_20260330_105319/comparacion_vs_E7_v1_clean.json</t>
        </is>
      </c>
      <c r="G412" s="61" t="inlineStr">
        <is>
          <t>Comparacion de la corrida clean contra E7_v1_clean.</t>
        </is>
      </c>
    </row>
    <row r="413" ht="15" customHeight="1" s="27">
      <c r="A413" s="61" t="inlineStr">
        <is>
          <t>2026-03-30 11:37:46</t>
        </is>
      </c>
      <c r="B413" s="61" t="inlineStr">
        <is>
          <t>E7_v2_clean</t>
        </is>
      </c>
      <c r="C413" s="61" t="inlineStr">
        <is>
          <t>E7</t>
        </is>
      </c>
      <c r="D413" s="61" t="inlineStr">
        <is>
          <t>metricas</t>
        </is>
      </c>
      <c r="E413" s="61" t="inlineStr">
        <is>
          <t>metricas_horizonte.json</t>
        </is>
      </c>
      <c r="F413" s="61" t="inlineStr">
        <is>
          <t>Experimentos/runs/E7_v2_clean_20260330_105319/metricas_horizonte.json</t>
        </is>
      </c>
      <c r="G413" s="61" t="inlineStr">
        <is>
          <t>Resumen estructurado por horizonte.</t>
        </is>
      </c>
    </row>
    <row r="414" ht="15" customHeight="1" s="27">
      <c r="A414" s="61" t="inlineStr">
        <is>
          <t>2026-03-30 11:37:46</t>
        </is>
      </c>
      <c r="B414" s="61" t="inlineStr">
        <is>
          <t>E7_v2_clean</t>
        </is>
      </c>
      <c r="C414" s="61" t="inlineStr">
        <is>
          <t>E7</t>
        </is>
      </c>
      <c r="D414" s="61" t="inlineStr">
        <is>
          <t>metadata</t>
        </is>
      </c>
      <c r="E414" s="61" t="inlineStr">
        <is>
          <t>metadata_run.json</t>
        </is>
      </c>
      <c r="F414" s="61" t="inlineStr">
        <is>
          <t>Experimentos/runs/E7_v2_clean_20260330_105319/metadata_run.json</t>
        </is>
      </c>
      <c r="G414" s="61" t="inlineStr">
        <is>
          <t>Metadata base del run.</t>
        </is>
      </c>
    </row>
    <row r="415" ht="15" customHeight="1" s="27">
      <c r="A415" s="61" t="inlineStr">
        <is>
          <t>2026-03-30 11:38:40</t>
        </is>
      </c>
      <c r="B415" s="61" t="inlineStr">
        <is>
          <t>E7_v3_clean</t>
        </is>
      </c>
      <c r="C415" s="61" t="inlineStr">
        <is>
          <t>E7</t>
        </is>
      </c>
      <c r="D415" s="61" t="inlineStr">
        <is>
          <t>script_snapshot</t>
        </is>
      </c>
      <c r="E415" s="61" t="inlineStr">
        <is>
          <t>run_e7_prophet.py</t>
        </is>
      </c>
      <c r="F415" s="61" t="inlineStr">
        <is>
          <t>Experimentos/runs/E7_v3_clean_20260330_113801/scripts/run_e7_prophet.py</t>
        </is>
      </c>
      <c r="G415" s="61" t="inlineStr">
        <is>
          <t>Copia del script ejecutado para reproducibilidad.</t>
        </is>
      </c>
    </row>
    <row r="416" ht="15" customHeight="1" s="27">
      <c r="A416" s="61" t="inlineStr">
        <is>
          <t>2026-03-30 11:38:40</t>
        </is>
      </c>
      <c r="B416" s="61" t="inlineStr">
        <is>
          <t>E7_v3_clean</t>
        </is>
      </c>
      <c r="C416" s="61" t="inlineStr">
        <is>
          <t>E7</t>
        </is>
      </c>
      <c r="D416" s="61" t="inlineStr">
        <is>
          <t>parametros</t>
        </is>
      </c>
      <c r="E416" s="61" t="inlineStr">
        <is>
          <t>parametros_run.json</t>
        </is>
      </c>
      <c r="F416" s="61" t="inlineStr">
        <is>
          <t>Experimentos/runs/E7_v3_clean_20260330_113801/parametros_run.json</t>
        </is>
      </c>
      <c r="G416" s="61" t="inlineStr">
        <is>
          <t>Parametros del experimento.</t>
        </is>
      </c>
    </row>
    <row r="417" ht="15" customHeight="1" s="27">
      <c r="A417" s="61" t="inlineStr">
        <is>
          <t>2026-03-30 11:38:40</t>
        </is>
      </c>
      <c r="B417" s="61" t="inlineStr">
        <is>
          <t>E7_v3_clean</t>
        </is>
      </c>
      <c r="C417" s="61" t="inlineStr">
        <is>
          <t>E7</t>
        </is>
      </c>
      <c r="D417" s="61" t="inlineStr">
        <is>
          <t>seleccion_features</t>
        </is>
      </c>
      <c r="E417" s="61" t="inlineStr">
        <is>
          <t>features_seleccionadas_h1.csv</t>
        </is>
      </c>
      <c r="F417" s="61" t="inlineStr">
        <is>
          <t>Experimentos/runs/E7_v3_clean_20260330_113801/features_seleccionadas_h1.csv</t>
        </is>
      </c>
      <c r="G417" s="61" t="inlineStr">
        <is>
          <t>Resumen de combinaciones de features seleccionadas por fold externo. El filtro se calcula solo con el train de cada fold externo.</t>
        </is>
      </c>
    </row>
    <row r="418" ht="15" customHeight="1" s="27">
      <c r="A418" s="61" t="inlineStr">
        <is>
          <t>2026-03-30 11:38:40</t>
        </is>
      </c>
      <c r="B418" s="61" t="inlineStr">
        <is>
          <t>E7_v3_clean</t>
        </is>
      </c>
      <c r="C418" s="61" t="inlineStr">
        <is>
          <t>E7</t>
        </is>
      </c>
      <c r="D418" s="61" t="inlineStr">
        <is>
          <t>seleccion_features</t>
        </is>
      </c>
      <c r="E418" s="61" t="inlineStr">
        <is>
          <t>features_seleccionadas_h2.csv</t>
        </is>
      </c>
      <c r="F418" s="61" t="inlineStr">
        <is>
          <t>Experimentos/runs/E7_v3_clean_20260330_113801/features_seleccionadas_h2.csv</t>
        </is>
      </c>
      <c r="G418" s="61" t="inlineStr">
        <is>
          <t>Resumen de combinaciones de features seleccionadas por fold externo. El filtro se calcula solo con el train de cada fold externo.</t>
        </is>
      </c>
    </row>
    <row r="419" ht="15" customHeight="1" s="27">
      <c r="A419" s="61" t="inlineStr">
        <is>
          <t>2026-03-30 11:38:40</t>
        </is>
      </c>
      <c r="B419" s="61" t="inlineStr">
        <is>
          <t>E7_v3_clean</t>
        </is>
      </c>
      <c r="C419" s="61" t="inlineStr">
        <is>
          <t>E7</t>
        </is>
      </c>
      <c r="D419" s="61" t="inlineStr">
        <is>
          <t>seleccion_features</t>
        </is>
      </c>
      <c r="E419" s="61" t="inlineStr">
        <is>
          <t>features_seleccionadas_h3.csv</t>
        </is>
      </c>
      <c r="F419" s="61" t="inlineStr">
        <is>
          <t>Experimentos/runs/E7_v3_clean_20260330_113801/features_seleccionadas_h3.csv</t>
        </is>
      </c>
      <c r="G419" s="61" t="inlineStr">
        <is>
          <t>Resumen de combinaciones de features seleccionadas por fold externo. El filtro se calcula solo con el train de cada fold externo.</t>
        </is>
      </c>
    </row>
    <row r="420" ht="15" customHeight="1" s="27">
      <c r="A420" s="61" t="inlineStr">
        <is>
          <t>2026-03-30 11:38:40</t>
        </is>
      </c>
      <c r="B420" s="61" t="inlineStr">
        <is>
          <t>E7_v3_clean</t>
        </is>
      </c>
      <c r="C420" s="61" t="inlineStr">
        <is>
          <t>E7</t>
        </is>
      </c>
      <c r="D420" s="61" t="inlineStr">
        <is>
          <t>seleccion_features</t>
        </is>
      </c>
      <c r="E420" s="61" t="inlineStr">
        <is>
          <t>features_seleccionadas_h4.csv</t>
        </is>
      </c>
      <c r="F420" s="61" t="inlineStr">
        <is>
          <t>Experimentos/runs/E7_v3_clean_20260330_113801/features_seleccionadas_h4.csv</t>
        </is>
      </c>
      <c r="G420" s="61" t="inlineStr">
        <is>
          <t>Resumen de combinaciones de features seleccionadas por fold externo. El filtro se calcula solo con el train de cada fold externo.</t>
        </is>
      </c>
    </row>
    <row r="421" ht="15" customHeight="1" s="27">
      <c r="A421" s="61" t="inlineStr">
        <is>
          <t>2026-03-30 11:38:40</t>
        </is>
      </c>
      <c r="B421" s="61" t="inlineStr">
        <is>
          <t>E7_v3_clean</t>
        </is>
      </c>
      <c r="C421" s="61" t="inlineStr">
        <is>
          <t>E7</t>
        </is>
      </c>
      <c r="D421" s="61" t="inlineStr">
        <is>
          <t>predicciones</t>
        </is>
      </c>
      <c r="E421" s="61" t="inlineStr">
        <is>
          <t>predicciones_h1.csv</t>
        </is>
      </c>
      <c r="F421" s="61" t="inlineStr">
        <is>
          <t>Experimentos/runs/E7_v3_clean_20260330_113801/predicciones_h1.csv</t>
        </is>
      </c>
      <c r="G421" s="61" t="inlineStr">
        <is>
          <t>Predicciones walk-forward para horizonte 1.</t>
        </is>
      </c>
    </row>
    <row r="422" ht="15" customHeight="1" s="27">
      <c r="A422" s="61" t="inlineStr">
        <is>
          <t>2026-03-30 11:38:40</t>
        </is>
      </c>
      <c r="B422" s="61" t="inlineStr">
        <is>
          <t>E7_v3_clean</t>
        </is>
      </c>
      <c r="C422" s="61" t="inlineStr">
        <is>
          <t>E7</t>
        </is>
      </c>
      <c r="D422" s="61" t="inlineStr">
        <is>
          <t>predicciones</t>
        </is>
      </c>
      <c r="E422" s="61" t="inlineStr">
        <is>
          <t>predicciones_h2.csv</t>
        </is>
      </c>
      <c r="F422" s="61" t="inlineStr">
        <is>
          <t>Experimentos/runs/E7_v3_clean_20260330_113801/predicciones_h2.csv</t>
        </is>
      </c>
      <c r="G422" s="61" t="inlineStr">
        <is>
          <t>Predicciones walk-forward para horizonte 2.</t>
        </is>
      </c>
    </row>
    <row r="423" ht="15" customHeight="1" s="27">
      <c r="A423" s="61" t="inlineStr">
        <is>
          <t>2026-03-30 11:38:40</t>
        </is>
      </c>
      <c r="B423" s="61" t="inlineStr">
        <is>
          <t>E7_v3_clean</t>
        </is>
      </c>
      <c r="C423" s="61" t="inlineStr">
        <is>
          <t>E7</t>
        </is>
      </c>
      <c r="D423" s="61" t="inlineStr">
        <is>
          <t>predicciones</t>
        </is>
      </c>
      <c r="E423" s="61" t="inlineStr">
        <is>
          <t>predicciones_h3.csv</t>
        </is>
      </c>
      <c r="F423" s="61" t="inlineStr">
        <is>
          <t>Experimentos/runs/E7_v3_clean_20260330_113801/predicciones_h3.csv</t>
        </is>
      </c>
      <c r="G423" s="61" t="inlineStr">
        <is>
          <t>Predicciones walk-forward para horizonte 3.</t>
        </is>
      </c>
    </row>
    <row r="424" ht="15" customHeight="1" s="27">
      <c r="A424" s="61" t="inlineStr">
        <is>
          <t>2026-03-30 11:38:40</t>
        </is>
      </c>
      <c r="B424" s="61" t="inlineStr">
        <is>
          <t>E7_v3_clean</t>
        </is>
      </c>
      <c r="C424" s="61" t="inlineStr">
        <is>
          <t>E7</t>
        </is>
      </c>
      <c r="D424" s="61" t="inlineStr">
        <is>
          <t>predicciones</t>
        </is>
      </c>
      <c r="E424" s="61" t="inlineStr">
        <is>
          <t>predicciones_h4.csv</t>
        </is>
      </c>
      <c r="F424" s="61" t="inlineStr">
        <is>
          <t>Experimentos/runs/E7_v3_clean_20260330_113801/predicciones_h4.csv</t>
        </is>
      </c>
      <c r="G424" s="61" t="inlineStr">
        <is>
          <t>Predicciones walk-forward para horizonte 4.</t>
        </is>
      </c>
    </row>
    <row r="425" ht="15" customHeight="1" s="27">
      <c r="A425" s="61" t="inlineStr">
        <is>
          <t>2026-03-30 11:38:40</t>
        </is>
      </c>
      <c r="B425" s="61" t="inlineStr">
        <is>
          <t>E7_v3_clean</t>
        </is>
      </c>
      <c r="C425" s="61" t="inlineStr">
        <is>
          <t>E7</t>
        </is>
      </c>
      <c r="D425" s="61" t="inlineStr">
        <is>
          <t>resumen</t>
        </is>
      </c>
      <c r="E425" s="61" t="inlineStr">
        <is>
          <t>resumen_modeling_horizontes.json</t>
        </is>
      </c>
      <c r="F425" s="61" t="inlineStr">
        <is>
          <t>Experimentos/runs/E7_v3_clean_20260330_113801/resumen_modeling_horizontes.json</t>
        </is>
      </c>
      <c r="G425" s="61" t="inlineStr">
        <is>
          <t>Resumen de tamanos y seleccion de features por horizonte.</t>
        </is>
      </c>
    </row>
    <row r="426" ht="15" customHeight="1" s="27">
      <c r="A426" s="61" t="inlineStr">
        <is>
          <t>2026-03-30 11:38:40</t>
        </is>
      </c>
      <c r="B426" s="61" t="inlineStr">
        <is>
          <t>E7_v3_clean</t>
        </is>
      </c>
      <c r="C426" s="61" t="inlineStr">
        <is>
          <t>E7</t>
        </is>
      </c>
      <c r="D426" s="61" t="inlineStr">
        <is>
          <t>comparacion</t>
        </is>
      </c>
      <c r="E426" s="61" t="inlineStr">
        <is>
          <t>comparacion_vs_E1_v5_clean.json</t>
        </is>
      </c>
      <c r="F426" s="61" t="inlineStr">
        <is>
          <t>Experimentos/runs/E7_v3_clean_20260330_113801/comparacion_vs_E1_v5_clean.json</t>
        </is>
      </c>
      <c r="G426" s="61" t="inlineStr">
        <is>
          <t>Comparacion de la corrida clean contra E1_v5_clean.</t>
        </is>
      </c>
    </row>
    <row r="427" ht="15" customHeight="1" s="27">
      <c r="A427" s="61" t="inlineStr">
        <is>
          <t>2026-03-30 11:38:40</t>
        </is>
      </c>
      <c r="B427" s="61" t="inlineStr">
        <is>
          <t>E7_v3_clean</t>
        </is>
      </c>
      <c r="C427" s="61" t="inlineStr">
        <is>
          <t>E7</t>
        </is>
      </c>
      <c r="D427" s="61" t="inlineStr">
        <is>
          <t>comparacion</t>
        </is>
      </c>
      <c r="E427" s="61" t="inlineStr">
        <is>
          <t>comparacion_vs_E1_v4_clean.json</t>
        </is>
      </c>
      <c r="F427" s="61" t="inlineStr">
        <is>
          <t>Experimentos/runs/E7_v3_clean_20260330_113801/comparacion_vs_E1_v4_clean.json</t>
        </is>
      </c>
      <c r="G427" s="61" t="inlineStr">
        <is>
          <t>Comparacion de la corrida clean contra E1_v4_clean.</t>
        </is>
      </c>
    </row>
    <row r="428" ht="15" customHeight="1" s="27">
      <c r="A428" s="61" t="inlineStr">
        <is>
          <t>2026-03-30 11:38:40</t>
        </is>
      </c>
      <c r="B428" s="61" t="inlineStr">
        <is>
          <t>E7_v3_clean</t>
        </is>
      </c>
      <c r="C428" s="61" t="inlineStr">
        <is>
          <t>E7</t>
        </is>
      </c>
      <c r="D428" s="61" t="inlineStr">
        <is>
          <t>comparacion</t>
        </is>
      </c>
      <c r="E428" s="61" t="inlineStr">
        <is>
          <t>comparacion_vs_E5_v4_clean.json</t>
        </is>
      </c>
      <c r="F428" s="61" t="inlineStr">
        <is>
          <t>Experimentos/runs/E7_v3_clean_20260330_113801/comparacion_vs_E5_v4_clean.json</t>
        </is>
      </c>
      <c r="G428" s="61" t="inlineStr">
        <is>
          <t>Comparacion de la corrida clean contra E5_v4_clean.</t>
        </is>
      </c>
    </row>
    <row r="429" ht="15" customHeight="1" s="27">
      <c r="A429" s="61" t="inlineStr">
        <is>
          <t>2026-03-30 11:38:40</t>
        </is>
      </c>
      <c r="B429" s="61" t="inlineStr">
        <is>
          <t>E7_v3_clean</t>
        </is>
      </c>
      <c r="C429" s="61" t="inlineStr">
        <is>
          <t>E7</t>
        </is>
      </c>
      <c r="D429" s="61" t="inlineStr">
        <is>
          <t>comparacion</t>
        </is>
      </c>
      <c r="E429" s="61" t="inlineStr">
        <is>
          <t>comparacion_vs_E3_v2_clean.json</t>
        </is>
      </c>
      <c r="F429" s="61" t="inlineStr">
        <is>
          <t>Experimentos/runs/E7_v3_clean_20260330_113801/comparacion_vs_E3_v2_clean.json</t>
        </is>
      </c>
      <c r="G429" s="61" t="inlineStr">
        <is>
          <t>Comparacion de la corrida clean contra E3_v2_clean.</t>
        </is>
      </c>
    </row>
    <row r="430" ht="15" customHeight="1" s="27">
      <c r="A430" s="61" t="inlineStr">
        <is>
          <t>2026-03-30 11:38:40</t>
        </is>
      </c>
      <c r="B430" s="61" t="inlineStr">
        <is>
          <t>E7_v3_clean</t>
        </is>
      </c>
      <c r="C430" s="61" t="inlineStr">
        <is>
          <t>E7</t>
        </is>
      </c>
      <c r="D430" s="61" t="inlineStr">
        <is>
          <t>comparacion</t>
        </is>
      </c>
      <c r="E430" s="61" t="inlineStr">
        <is>
          <t>comparacion_vs_E4_v1_clean.json</t>
        </is>
      </c>
      <c r="F430" s="61" t="inlineStr">
        <is>
          <t>Experimentos/runs/E7_v3_clean_20260330_113801/comparacion_vs_E4_v1_clean.json</t>
        </is>
      </c>
      <c r="G430" s="61" t="inlineStr">
        <is>
          <t>Comparacion de la corrida clean contra E4_v1_clean.</t>
        </is>
      </c>
    </row>
    <row r="431" ht="15" customHeight="1" s="27">
      <c r="A431" s="61" t="inlineStr">
        <is>
          <t>2026-03-30 11:38:40</t>
        </is>
      </c>
      <c r="B431" s="61" t="inlineStr">
        <is>
          <t>E7_v3_clean</t>
        </is>
      </c>
      <c r="C431" s="61" t="inlineStr">
        <is>
          <t>E7</t>
        </is>
      </c>
      <c r="D431" s="61" t="inlineStr">
        <is>
          <t>comparacion</t>
        </is>
      </c>
      <c r="E431" s="61" t="inlineStr">
        <is>
          <t>comparacion_vs_E6_v1_clean.json</t>
        </is>
      </c>
      <c r="F431" s="61" t="inlineStr">
        <is>
          <t>Experimentos/runs/E7_v3_clean_20260330_113801/comparacion_vs_E6_v1_clean.json</t>
        </is>
      </c>
      <c r="G431" s="61" t="inlineStr">
        <is>
          <t>Comparacion de la corrida clean contra E6_v1_clean.</t>
        </is>
      </c>
    </row>
    <row r="432" ht="15" customHeight="1" s="27">
      <c r="A432" s="61" t="inlineStr">
        <is>
          <t>2026-03-30 11:38:40</t>
        </is>
      </c>
      <c r="B432" s="61" t="inlineStr">
        <is>
          <t>E7_v3_clean</t>
        </is>
      </c>
      <c r="C432" s="61" t="inlineStr">
        <is>
          <t>E7</t>
        </is>
      </c>
      <c r="D432" s="61" t="inlineStr">
        <is>
          <t>comparacion</t>
        </is>
      </c>
      <c r="E432" s="61" t="inlineStr">
        <is>
          <t>comparacion_vs_E6_v2_clean.json</t>
        </is>
      </c>
      <c r="F432" s="61" t="inlineStr">
        <is>
          <t>Experimentos/runs/E7_v3_clean_20260330_113801/comparacion_vs_E6_v2_clean.json</t>
        </is>
      </c>
      <c r="G432" s="61" t="inlineStr">
        <is>
          <t>Comparacion de la corrida clean contra E6_v2_clean.</t>
        </is>
      </c>
    </row>
    <row r="433" ht="15" customHeight="1" s="27">
      <c r="A433" s="61" t="inlineStr">
        <is>
          <t>2026-03-30 11:38:40</t>
        </is>
      </c>
      <c r="B433" s="61" t="inlineStr">
        <is>
          <t>E7_v3_clean</t>
        </is>
      </c>
      <c r="C433" s="61" t="inlineStr">
        <is>
          <t>E7</t>
        </is>
      </c>
      <c r="D433" s="61" t="inlineStr">
        <is>
          <t>comparacion</t>
        </is>
      </c>
      <c r="E433" s="61" t="inlineStr">
        <is>
          <t>comparacion_vs_E7_v1_clean.json</t>
        </is>
      </c>
      <c r="F433" s="61" t="inlineStr">
        <is>
          <t>Experimentos/runs/E7_v3_clean_20260330_113801/comparacion_vs_E7_v1_clean.json</t>
        </is>
      </c>
      <c r="G433" s="61" t="inlineStr">
        <is>
          <t>Comparacion de la corrida clean contra E7_v1_clean.</t>
        </is>
      </c>
    </row>
    <row r="434" ht="15" customHeight="1" s="27">
      <c r="A434" s="61" t="inlineStr">
        <is>
          <t>2026-03-30 11:38:40</t>
        </is>
      </c>
      <c r="B434" s="61" t="inlineStr">
        <is>
          <t>E7_v3_clean</t>
        </is>
      </c>
      <c r="C434" s="61" t="inlineStr">
        <is>
          <t>E7</t>
        </is>
      </c>
      <c r="D434" s="61" t="inlineStr">
        <is>
          <t>comparacion</t>
        </is>
      </c>
      <c r="E434" s="61" t="inlineStr">
        <is>
          <t>comparacion_vs_E7_v2_clean.json</t>
        </is>
      </c>
      <c r="F434" s="61" t="inlineStr">
        <is>
          <t>Experimentos/runs/E7_v3_clean_20260330_113801/comparacion_vs_E7_v2_clean.json</t>
        </is>
      </c>
      <c r="G434" s="61" t="inlineStr">
        <is>
          <t>Comparacion de la corrida clean contra E7_v2_clean.</t>
        </is>
      </c>
    </row>
    <row r="435" ht="15" customHeight="1" s="27">
      <c r="A435" s="61" t="inlineStr">
        <is>
          <t>2026-03-30 11:38:40</t>
        </is>
      </c>
      <c r="B435" s="61" t="inlineStr">
        <is>
          <t>E7_v3_clean</t>
        </is>
      </c>
      <c r="C435" s="61" t="inlineStr">
        <is>
          <t>E7</t>
        </is>
      </c>
      <c r="D435" s="61" t="inlineStr">
        <is>
          <t>metricas</t>
        </is>
      </c>
      <c r="E435" s="61" t="inlineStr">
        <is>
          <t>metricas_horizonte.json</t>
        </is>
      </c>
      <c r="F435" s="61" t="inlineStr">
        <is>
          <t>Experimentos/runs/E7_v3_clean_20260330_113801/metricas_horizonte.json</t>
        </is>
      </c>
      <c r="G435" s="61" t="inlineStr">
        <is>
          <t>Resumen estructurado por horizonte.</t>
        </is>
      </c>
    </row>
    <row r="436" ht="15" customHeight="1" s="27">
      <c r="A436" s="61" t="inlineStr">
        <is>
          <t>2026-03-30 11:38:40</t>
        </is>
      </c>
      <c r="B436" s="61" t="inlineStr">
        <is>
          <t>E7_v3_clean</t>
        </is>
      </c>
      <c r="C436" s="61" t="inlineStr">
        <is>
          <t>E7</t>
        </is>
      </c>
      <c r="D436" s="61" t="inlineStr">
        <is>
          <t>metadata</t>
        </is>
      </c>
      <c r="E436" s="61" t="inlineStr">
        <is>
          <t>metadata_run.json</t>
        </is>
      </c>
      <c r="F436" s="61" t="inlineStr">
        <is>
          <t>Experimentos/runs/E7_v3_clean_20260330_113801/metadata_run.json</t>
        </is>
      </c>
      <c r="G436" s="61" t="inlineStr">
        <is>
          <t>Metadata base del run.</t>
        </is>
      </c>
    </row>
    <row r="437" ht="15" customHeight="1" s="27">
      <c r="A437" s="61" t="inlineStr">
        <is>
          <t>2026-04-01 05:07:09</t>
        </is>
      </c>
      <c r="B437" s="61" t="inlineStr">
        <is>
          <t>E8_v1_clean</t>
        </is>
      </c>
      <c r="C437" s="61" t="inlineStr">
        <is>
          <t>E8</t>
        </is>
      </c>
      <c r="D437" s="61" t="inlineStr">
        <is>
          <t>script_snapshot</t>
        </is>
      </c>
      <c r="E437" s="61" t="inlineStr">
        <is>
          <t>run_e8_hibrido_residuales.py</t>
        </is>
      </c>
      <c r="F437" s="61" t="inlineStr">
        <is>
          <t>Experimentos/runs/E8_v1_clean_20260401_050422/scripts/run_e8_hibrido_residuales.py</t>
        </is>
      </c>
      <c r="G437" s="61" t="inlineStr">
        <is>
          <t>Copia del script ejecutado para reproducibilidad.</t>
        </is>
      </c>
    </row>
    <row r="438" ht="15" customHeight="1" s="27">
      <c r="A438" s="61" t="inlineStr">
        <is>
          <t>2026-04-01 05:07:09</t>
        </is>
      </c>
      <c r="B438" s="61" t="inlineStr">
        <is>
          <t>E8_v1_clean</t>
        </is>
      </c>
      <c r="C438" s="61" t="inlineStr">
        <is>
          <t>E8</t>
        </is>
      </c>
      <c r="D438" s="61" t="inlineStr">
        <is>
          <t>parametros</t>
        </is>
      </c>
      <c r="E438" s="61" t="inlineStr">
        <is>
          <t>parametros_run.json</t>
        </is>
      </c>
      <c r="F438" s="61" t="inlineStr">
        <is>
          <t>Experimentos/runs/E8_v1_clean_20260401_050422/parametros_run.json</t>
        </is>
      </c>
      <c r="G438" s="61" t="inlineStr">
        <is>
          <t>Parametros del experimento.</t>
        </is>
      </c>
    </row>
    <row r="439" ht="15" customHeight="1" s="27">
      <c r="A439" s="61" t="inlineStr">
        <is>
          <t>2026-04-01 05:07:09</t>
        </is>
      </c>
      <c r="B439" s="61" t="inlineStr">
        <is>
          <t>E8_v1_clean</t>
        </is>
      </c>
      <c r="C439" s="61" t="inlineStr">
        <is>
          <t>E8</t>
        </is>
      </c>
      <c r="D439" s="61" t="inlineStr">
        <is>
          <t>predicciones</t>
        </is>
      </c>
      <c r="E439" s="61" t="inlineStr">
        <is>
          <t>predicciones_h1.csv</t>
        </is>
      </c>
      <c r="F439" s="61" t="inlineStr">
        <is>
          <t>Experimentos/runs/E8_v1_clean_20260401_050422/predicciones_h1.csv</t>
        </is>
      </c>
      <c r="G439" s="61" t="inlineStr">
        <is>
          <t>Predicciones finales del híbrido con descomposición base + residual.</t>
        </is>
      </c>
    </row>
    <row r="440" ht="15" customHeight="1" s="27">
      <c r="A440" s="61" t="inlineStr">
        <is>
          <t>2026-04-01 05:07:09</t>
        </is>
      </c>
      <c r="B440" s="61" t="inlineStr">
        <is>
          <t>E8_v1_clean</t>
        </is>
      </c>
      <c r="C440" s="61" t="inlineStr">
        <is>
          <t>E8</t>
        </is>
      </c>
      <c r="D440" s="61" t="inlineStr">
        <is>
          <t>predicciones_base</t>
        </is>
      </c>
      <c r="E440" s="61" t="inlineStr">
        <is>
          <t>predicciones_base_h1.csv</t>
        </is>
      </c>
      <c r="F440" s="61" t="inlineStr">
        <is>
          <t>Experimentos/runs/E8_v1_clean_20260401_050422/predicciones_base_h1.csv</t>
        </is>
      </c>
      <c r="G440" s="61" t="inlineStr">
        <is>
          <t>Componente de predicción del modelo base.</t>
        </is>
      </c>
    </row>
    <row r="441" ht="15" customHeight="1" s="27">
      <c r="A441" s="61" t="inlineStr">
        <is>
          <t>2026-04-01 05:07:09</t>
        </is>
      </c>
      <c r="B441" s="61" t="inlineStr">
        <is>
          <t>E8_v1_clean</t>
        </is>
      </c>
      <c r="C441" s="61" t="inlineStr">
        <is>
          <t>E8</t>
        </is>
      </c>
      <c r="D441" s="61" t="inlineStr">
        <is>
          <t>predicciones_residual</t>
        </is>
      </c>
      <c r="E441" s="61" t="inlineStr">
        <is>
          <t>predicciones_residual_h1.csv</t>
        </is>
      </c>
      <c r="F441" s="61" t="inlineStr">
        <is>
          <t>Experimentos/runs/E8_v1_clean_20260401_050422/predicciones_residual_h1.csv</t>
        </is>
      </c>
      <c r="G441" s="61" t="inlineStr">
        <is>
          <t>Componente de predicción del learner residual.</t>
        </is>
      </c>
    </row>
    <row r="442" ht="15" customHeight="1" s="27">
      <c r="A442" s="61" t="inlineStr">
        <is>
          <t>2026-04-01 05:07:09</t>
        </is>
      </c>
      <c r="B442" s="61" t="inlineStr">
        <is>
          <t>E8_v1_clean</t>
        </is>
      </c>
      <c r="C442" s="61" t="inlineStr">
        <is>
          <t>E8</t>
        </is>
      </c>
      <c r="D442" s="61" t="inlineStr">
        <is>
          <t>residuales_train</t>
        </is>
      </c>
      <c r="E442" s="61" t="inlineStr">
        <is>
          <t>residuales_entrenamiento_h1.csv</t>
        </is>
      </c>
      <c r="F442" s="61" t="inlineStr">
        <is>
          <t>Experimentos/runs/E8_v1_clean_20260401_050422/residuales_entrenamiento_h1.csv</t>
        </is>
      </c>
      <c r="G442" s="61" t="inlineStr">
        <is>
          <t>Residuales OOF usados para entrenar el learner residual en cada fold externo.</t>
        </is>
      </c>
    </row>
    <row r="443" ht="15" customHeight="1" s="27">
      <c r="A443" s="61" t="inlineStr">
        <is>
          <t>2026-04-01 05:07:09</t>
        </is>
      </c>
      <c r="B443" s="61" t="inlineStr">
        <is>
          <t>E8_v1_clean</t>
        </is>
      </c>
      <c r="C443" s="61" t="inlineStr">
        <is>
          <t>E8</t>
        </is>
      </c>
      <c r="D443" s="61" t="inlineStr">
        <is>
          <t>seleccion_features_base</t>
        </is>
      </c>
      <c r="E443" s="61" t="inlineStr">
        <is>
          <t>features_base_h1.csv</t>
        </is>
      </c>
      <c r="F443" s="61" t="inlineStr">
        <is>
          <t>Experimentos/runs/E8_v1_clean_20260401_050422/features_base_h1.csv</t>
        </is>
      </c>
      <c r="G443" s="61" t="inlineStr">
        <is>
          <t>Resumen de features del modelo base por fold externo.</t>
        </is>
      </c>
    </row>
    <row r="444" ht="15" customHeight="1" s="27">
      <c r="A444" s="61" t="inlineStr">
        <is>
          <t>2026-04-01 05:07:09</t>
        </is>
      </c>
      <c r="B444" s="61" t="inlineStr">
        <is>
          <t>E8_v1_clean</t>
        </is>
      </c>
      <c r="C444" s="61" t="inlineStr">
        <is>
          <t>E8</t>
        </is>
      </c>
      <c r="D444" s="61" t="inlineStr">
        <is>
          <t>seleccion_features_residual</t>
        </is>
      </c>
      <c r="E444" s="61" t="inlineStr">
        <is>
          <t>features_residual_h1.csv</t>
        </is>
      </c>
      <c r="F444" s="61" t="inlineStr">
        <is>
          <t>Experimentos/runs/E8_v1_clean_20260401_050422/features_residual_h1.csv</t>
        </is>
      </c>
      <c r="G444" s="61" t="inlineStr">
        <is>
          <t>Resumen de features del learner residual por fold externo.</t>
        </is>
      </c>
    </row>
    <row r="445" ht="15" customHeight="1" s="27">
      <c r="A445" s="61" t="inlineStr">
        <is>
          <t>2026-04-01 05:07:09</t>
        </is>
      </c>
      <c r="B445" s="61" t="inlineStr">
        <is>
          <t>E8_v1_clean</t>
        </is>
      </c>
      <c r="C445" s="61" t="inlineStr">
        <is>
          <t>E8</t>
        </is>
      </c>
      <c r="D445" s="61" t="inlineStr">
        <is>
          <t>predicciones</t>
        </is>
      </c>
      <c r="E445" s="61" t="inlineStr">
        <is>
          <t>predicciones_h2.csv</t>
        </is>
      </c>
      <c r="F445" s="61" t="inlineStr">
        <is>
          <t>Experimentos/runs/E8_v1_clean_20260401_050422/predicciones_h2.csv</t>
        </is>
      </c>
      <c r="G445" s="61" t="inlineStr">
        <is>
          <t>Predicciones finales del híbrido con descomposición base + residual.</t>
        </is>
      </c>
    </row>
    <row r="446" ht="15" customHeight="1" s="27">
      <c r="A446" s="61" t="inlineStr">
        <is>
          <t>2026-04-01 05:07:09</t>
        </is>
      </c>
      <c r="B446" s="61" t="inlineStr">
        <is>
          <t>E8_v1_clean</t>
        </is>
      </c>
      <c r="C446" s="61" t="inlineStr">
        <is>
          <t>E8</t>
        </is>
      </c>
      <c r="D446" s="61" t="inlineStr">
        <is>
          <t>predicciones_base</t>
        </is>
      </c>
      <c r="E446" s="61" t="inlineStr">
        <is>
          <t>predicciones_base_h2.csv</t>
        </is>
      </c>
      <c r="F446" s="61" t="inlineStr">
        <is>
          <t>Experimentos/runs/E8_v1_clean_20260401_050422/predicciones_base_h2.csv</t>
        </is>
      </c>
      <c r="G446" s="61" t="inlineStr">
        <is>
          <t>Componente de predicción del modelo base.</t>
        </is>
      </c>
    </row>
    <row r="447" ht="15" customHeight="1" s="27">
      <c r="A447" s="61" t="inlineStr">
        <is>
          <t>2026-04-01 05:07:09</t>
        </is>
      </c>
      <c r="B447" s="61" t="inlineStr">
        <is>
          <t>E8_v1_clean</t>
        </is>
      </c>
      <c r="C447" s="61" t="inlineStr">
        <is>
          <t>E8</t>
        </is>
      </c>
      <c r="D447" s="61" t="inlineStr">
        <is>
          <t>predicciones_residual</t>
        </is>
      </c>
      <c r="E447" s="61" t="inlineStr">
        <is>
          <t>predicciones_residual_h2.csv</t>
        </is>
      </c>
      <c r="F447" s="61" t="inlineStr">
        <is>
          <t>Experimentos/runs/E8_v1_clean_20260401_050422/predicciones_residual_h2.csv</t>
        </is>
      </c>
      <c r="G447" s="61" t="inlineStr">
        <is>
          <t>Componente de predicción del learner residual.</t>
        </is>
      </c>
    </row>
    <row r="448" ht="15" customHeight="1" s="27">
      <c r="A448" s="61" t="inlineStr">
        <is>
          <t>2026-04-01 05:07:09</t>
        </is>
      </c>
      <c r="B448" s="61" t="inlineStr">
        <is>
          <t>E8_v1_clean</t>
        </is>
      </c>
      <c r="C448" s="61" t="inlineStr">
        <is>
          <t>E8</t>
        </is>
      </c>
      <c r="D448" s="61" t="inlineStr">
        <is>
          <t>residuales_train</t>
        </is>
      </c>
      <c r="E448" s="61" t="inlineStr">
        <is>
          <t>residuales_entrenamiento_h2.csv</t>
        </is>
      </c>
      <c r="F448" s="61" t="inlineStr">
        <is>
          <t>Experimentos/runs/E8_v1_clean_20260401_050422/residuales_entrenamiento_h2.csv</t>
        </is>
      </c>
      <c r="G448" s="61" t="inlineStr">
        <is>
          <t>Residuales OOF usados para entrenar el learner residual en cada fold externo.</t>
        </is>
      </c>
    </row>
    <row r="449" ht="15" customHeight="1" s="27">
      <c r="A449" s="61" t="inlineStr">
        <is>
          <t>2026-04-01 05:07:09</t>
        </is>
      </c>
      <c r="B449" s="61" t="inlineStr">
        <is>
          <t>E8_v1_clean</t>
        </is>
      </c>
      <c r="C449" s="61" t="inlineStr">
        <is>
          <t>E8</t>
        </is>
      </c>
      <c r="D449" s="61" t="inlineStr">
        <is>
          <t>seleccion_features_base</t>
        </is>
      </c>
      <c r="E449" s="61" t="inlineStr">
        <is>
          <t>features_base_h2.csv</t>
        </is>
      </c>
      <c r="F449" s="61" t="inlineStr">
        <is>
          <t>Experimentos/runs/E8_v1_clean_20260401_050422/features_base_h2.csv</t>
        </is>
      </c>
      <c r="G449" s="61" t="inlineStr">
        <is>
          <t>Resumen de features del modelo base por fold externo.</t>
        </is>
      </c>
    </row>
    <row r="450" ht="15" customHeight="1" s="27">
      <c r="A450" s="61" t="inlineStr">
        <is>
          <t>2026-04-01 05:07:09</t>
        </is>
      </c>
      <c r="B450" s="61" t="inlineStr">
        <is>
          <t>E8_v1_clean</t>
        </is>
      </c>
      <c r="C450" s="61" t="inlineStr">
        <is>
          <t>E8</t>
        </is>
      </c>
      <c r="D450" s="61" t="inlineStr">
        <is>
          <t>seleccion_features_residual</t>
        </is>
      </c>
      <c r="E450" s="61" t="inlineStr">
        <is>
          <t>features_residual_h2.csv</t>
        </is>
      </c>
      <c r="F450" s="61" t="inlineStr">
        <is>
          <t>Experimentos/runs/E8_v1_clean_20260401_050422/features_residual_h2.csv</t>
        </is>
      </c>
      <c r="G450" s="61" t="inlineStr">
        <is>
          <t>Resumen de features del learner residual por fold externo.</t>
        </is>
      </c>
    </row>
    <row r="451" ht="15" customHeight="1" s="27">
      <c r="A451" s="61" t="inlineStr">
        <is>
          <t>2026-04-01 05:07:09</t>
        </is>
      </c>
      <c r="B451" s="61" t="inlineStr">
        <is>
          <t>E8_v1_clean</t>
        </is>
      </c>
      <c r="C451" s="61" t="inlineStr">
        <is>
          <t>E8</t>
        </is>
      </c>
      <c r="D451" s="61" t="inlineStr">
        <is>
          <t>predicciones</t>
        </is>
      </c>
      <c r="E451" s="61" t="inlineStr">
        <is>
          <t>predicciones_h3.csv</t>
        </is>
      </c>
      <c r="F451" s="61" t="inlineStr">
        <is>
          <t>Experimentos/runs/E8_v1_clean_20260401_050422/predicciones_h3.csv</t>
        </is>
      </c>
      <c r="G451" s="61" t="inlineStr">
        <is>
          <t>Predicciones finales del híbrido con descomposición base + residual.</t>
        </is>
      </c>
    </row>
    <row r="452" ht="15" customHeight="1" s="27">
      <c r="A452" s="61" t="inlineStr">
        <is>
          <t>2026-04-01 05:07:09</t>
        </is>
      </c>
      <c r="B452" s="61" t="inlineStr">
        <is>
          <t>E8_v1_clean</t>
        </is>
      </c>
      <c r="C452" s="61" t="inlineStr">
        <is>
          <t>E8</t>
        </is>
      </c>
      <c r="D452" s="61" t="inlineStr">
        <is>
          <t>predicciones_base</t>
        </is>
      </c>
      <c r="E452" s="61" t="inlineStr">
        <is>
          <t>predicciones_base_h3.csv</t>
        </is>
      </c>
      <c r="F452" s="61" t="inlineStr">
        <is>
          <t>Experimentos/runs/E8_v1_clean_20260401_050422/predicciones_base_h3.csv</t>
        </is>
      </c>
      <c r="G452" s="61" t="inlineStr">
        <is>
          <t>Componente de predicción del modelo base.</t>
        </is>
      </c>
    </row>
    <row r="453" ht="15" customHeight="1" s="27">
      <c r="A453" s="61" t="inlineStr">
        <is>
          <t>2026-04-01 05:07:09</t>
        </is>
      </c>
      <c r="B453" s="61" t="inlineStr">
        <is>
          <t>E8_v1_clean</t>
        </is>
      </c>
      <c r="C453" s="61" t="inlineStr">
        <is>
          <t>E8</t>
        </is>
      </c>
      <c r="D453" s="61" t="inlineStr">
        <is>
          <t>predicciones_residual</t>
        </is>
      </c>
      <c r="E453" s="61" t="inlineStr">
        <is>
          <t>predicciones_residual_h3.csv</t>
        </is>
      </c>
      <c r="F453" s="61" t="inlineStr">
        <is>
          <t>Experimentos/runs/E8_v1_clean_20260401_050422/predicciones_residual_h3.csv</t>
        </is>
      </c>
      <c r="G453" s="61" t="inlineStr">
        <is>
          <t>Componente de predicción del learner residual.</t>
        </is>
      </c>
    </row>
    <row r="454" ht="15" customHeight="1" s="27">
      <c r="A454" s="61" t="inlineStr">
        <is>
          <t>2026-04-01 05:07:09</t>
        </is>
      </c>
      <c r="B454" s="61" t="inlineStr">
        <is>
          <t>E8_v1_clean</t>
        </is>
      </c>
      <c r="C454" s="61" t="inlineStr">
        <is>
          <t>E8</t>
        </is>
      </c>
      <c r="D454" s="61" t="inlineStr">
        <is>
          <t>residuales_train</t>
        </is>
      </c>
      <c r="E454" s="61" t="inlineStr">
        <is>
          <t>residuales_entrenamiento_h3.csv</t>
        </is>
      </c>
      <c r="F454" s="61" t="inlineStr">
        <is>
          <t>Experimentos/runs/E8_v1_clean_20260401_050422/residuales_entrenamiento_h3.csv</t>
        </is>
      </c>
      <c r="G454" s="61" t="inlineStr">
        <is>
          <t>Residuales OOF usados para entrenar el learner residual en cada fold externo.</t>
        </is>
      </c>
    </row>
    <row r="455" ht="15" customHeight="1" s="27">
      <c r="A455" s="61" t="inlineStr">
        <is>
          <t>2026-04-01 05:07:09</t>
        </is>
      </c>
      <c r="B455" s="61" t="inlineStr">
        <is>
          <t>E8_v1_clean</t>
        </is>
      </c>
      <c r="C455" s="61" t="inlineStr">
        <is>
          <t>E8</t>
        </is>
      </c>
      <c r="D455" s="61" t="inlineStr">
        <is>
          <t>seleccion_features_base</t>
        </is>
      </c>
      <c r="E455" s="61" t="inlineStr">
        <is>
          <t>features_base_h3.csv</t>
        </is>
      </c>
      <c r="F455" s="61" t="inlineStr">
        <is>
          <t>Experimentos/runs/E8_v1_clean_20260401_050422/features_base_h3.csv</t>
        </is>
      </c>
      <c r="G455" s="61" t="inlineStr">
        <is>
          <t>Resumen de features del modelo base por fold externo.</t>
        </is>
      </c>
    </row>
    <row r="456" ht="15" customHeight="1" s="27">
      <c r="A456" s="61" t="inlineStr">
        <is>
          <t>2026-04-01 05:07:09</t>
        </is>
      </c>
      <c r="B456" s="61" t="inlineStr">
        <is>
          <t>E8_v1_clean</t>
        </is>
      </c>
      <c r="C456" s="61" t="inlineStr">
        <is>
          <t>E8</t>
        </is>
      </c>
      <c r="D456" s="61" t="inlineStr">
        <is>
          <t>seleccion_features_residual</t>
        </is>
      </c>
      <c r="E456" s="61" t="inlineStr">
        <is>
          <t>features_residual_h3.csv</t>
        </is>
      </c>
      <c r="F456" s="61" t="inlineStr">
        <is>
          <t>Experimentos/runs/E8_v1_clean_20260401_050422/features_residual_h3.csv</t>
        </is>
      </c>
      <c r="G456" s="61" t="inlineStr">
        <is>
          <t>Resumen de features del learner residual por fold externo.</t>
        </is>
      </c>
    </row>
    <row r="457" ht="15" customHeight="1" s="27">
      <c r="A457" s="61" t="inlineStr">
        <is>
          <t>2026-04-01 05:07:09</t>
        </is>
      </c>
      <c r="B457" s="61" t="inlineStr">
        <is>
          <t>E8_v1_clean</t>
        </is>
      </c>
      <c r="C457" s="61" t="inlineStr">
        <is>
          <t>E8</t>
        </is>
      </c>
      <c r="D457" s="61" t="inlineStr">
        <is>
          <t>predicciones</t>
        </is>
      </c>
      <c r="E457" s="61" t="inlineStr">
        <is>
          <t>predicciones_h4.csv</t>
        </is>
      </c>
      <c r="F457" s="61" t="inlineStr">
        <is>
          <t>Experimentos/runs/E8_v1_clean_20260401_050422/predicciones_h4.csv</t>
        </is>
      </c>
      <c r="G457" s="61" t="inlineStr">
        <is>
          <t>Predicciones finales del híbrido con descomposición base + residual.</t>
        </is>
      </c>
    </row>
    <row r="458" ht="15" customHeight="1" s="27">
      <c r="A458" s="61" t="inlineStr">
        <is>
          <t>2026-04-01 05:07:09</t>
        </is>
      </c>
      <c r="B458" s="61" t="inlineStr">
        <is>
          <t>E8_v1_clean</t>
        </is>
      </c>
      <c r="C458" s="61" t="inlineStr">
        <is>
          <t>E8</t>
        </is>
      </c>
      <c r="D458" s="61" t="inlineStr">
        <is>
          <t>predicciones_base</t>
        </is>
      </c>
      <c r="E458" s="61" t="inlineStr">
        <is>
          <t>predicciones_base_h4.csv</t>
        </is>
      </c>
      <c r="F458" s="61" t="inlineStr">
        <is>
          <t>Experimentos/runs/E8_v1_clean_20260401_050422/predicciones_base_h4.csv</t>
        </is>
      </c>
      <c r="G458" s="61" t="inlineStr">
        <is>
          <t>Componente de predicción del modelo base.</t>
        </is>
      </c>
    </row>
    <row r="459" ht="15" customHeight="1" s="27">
      <c r="A459" s="61" t="inlineStr">
        <is>
          <t>2026-04-01 05:07:09</t>
        </is>
      </c>
      <c r="B459" s="61" t="inlineStr">
        <is>
          <t>E8_v1_clean</t>
        </is>
      </c>
      <c r="C459" s="61" t="inlineStr">
        <is>
          <t>E8</t>
        </is>
      </c>
      <c r="D459" s="61" t="inlineStr">
        <is>
          <t>predicciones_residual</t>
        </is>
      </c>
      <c r="E459" s="61" t="inlineStr">
        <is>
          <t>predicciones_residual_h4.csv</t>
        </is>
      </c>
      <c r="F459" s="61" t="inlineStr">
        <is>
          <t>Experimentos/runs/E8_v1_clean_20260401_050422/predicciones_residual_h4.csv</t>
        </is>
      </c>
      <c r="G459" s="61" t="inlineStr">
        <is>
          <t>Componente de predicción del learner residual.</t>
        </is>
      </c>
    </row>
    <row r="460" ht="15" customHeight="1" s="27">
      <c r="A460" s="61" t="inlineStr">
        <is>
          <t>2026-04-01 05:07:09</t>
        </is>
      </c>
      <c r="B460" s="61" t="inlineStr">
        <is>
          <t>E8_v1_clean</t>
        </is>
      </c>
      <c r="C460" s="61" t="inlineStr">
        <is>
          <t>E8</t>
        </is>
      </c>
      <c r="D460" s="61" t="inlineStr">
        <is>
          <t>residuales_train</t>
        </is>
      </c>
      <c r="E460" s="61" t="inlineStr">
        <is>
          <t>residuales_entrenamiento_h4.csv</t>
        </is>
      </c>
      <c r="F460" s="61" t="inlineStr">
        <is>
          <t>Experimentos/runs/E8_v1_clean_20260401_050422/residuales_entrenamiento_h4.csv</t>
        </is>
      </c>
      <c r="G460" s="61" t="inlineStr">
        <is>
          <t>Residuales OOF usados para entrenar el learner residual en cada fold externo.</t>
        </is>
      </c>
    </row>
    <row r="461" ht="15" customHeight="1" s="27">
      <c r="A461" s="61" t="inlineStr">
        <is>
          <t>2026-04-01 05:07:09</t>
        </is>
      </c>
      <c r="B461" s="61" t="inlineStr">
        <is>
          <t>E8_v1_clean</t>
        </is>
      </c>
      <c r="C461" s="61" t="inlineStr">
        <is>
          <t>E8</t>
        </is>
      </c>
      <c r="D461" s="61" t="inlineStr">
        <is>
          <t>seleccion_features_base</t>
        </is>
      </c>
      <c r="E461" s="61" t="inlineStr">
        <is>
          <t>features_base_h4.csv</t>
        </is>
      </c>
      <c r="F461" s="61" t="inlineStr">
        <is>
          <t>Experimentos/runs/E8_v1_clean_20260401_050422/features_base_h4.csv</t>
        </is>
      </c>
      <c r="G461" s="61" t="inlineStr">
        <is>
          <t>Resumen de features del modelo base por fold externo.</t>
        </is>
      </c>
    </row>
    <row r="462" ht="15" customHeight="1" s="27">
      <c r="A462" s="61" t="inlineStr">
        <is>
          <t>2026-04-01 05:07:09</t>
        </is>
      </c>
      <c r="B462" s="61" t="inlineStr">
        <is>
          <t>E8_v1_clean</t>
        </is>
      </c>
      <c r="C462" s="61" t="inlineStr">
        <is>
          <t>E8</t>
        </is>
      </c>
      <c r="D462" s="61" t="inlineStr">
        <is>
          <t>seleccion_features_residual</t>
        </is>
      </c>
      <c r="E462" s="61" t="inlineStr">
        <is>
          <t>features_residual_h4.csv</t>
        </is>
      </c>
      <c r="F462" s="61" t="inlineStr">
        <is>
          <t>Experimentos/runs/E8_v1_clean_20260401_050422/features_residual_h4.csv</t>
        </is>
      </c>
      <c r="G462" s="61" t="inlineStr">
        <is>
          <t>Resumen de features del learner residual por fold externo.</t>
        </is>
      </c>
    </row>
    <row r="463" ht="15" customHeight="1" s="27">
      <c r="A463" s="61" t="inlineStr">
        <is>
          <t>2026-04-01 05:07:09</t>
        </is>
      </c>
      <c r="B463" s="61" t="inlineStr">
        <is>
          <t>E8_v1_clean</t>
        </is>
      </c>
      <c r="C463" s="61" t="inlineStr">
        <is>
          <t>E8</t>
        </is>
      </c>
      <c r="D463" s="61" t="inlineStr">
        <is>
          <t>resumen</t>
        </is>
      </c>
      <c r="E463" s="61" t="inlineStr">
        <is>
          <t>resumen_modeling_horizontes.json</t>
        </is>
      </c>
      <c r="F463" s="61" t="inlineStr">
        <is>
          <t>Experimentos/runs/E8_v1_clean_20260401_050422/resumen_modeling_horizontes.json</t>
        </is>
      </c>
      <c r="G463" s="61" t="inlineStr">
        <is>
          <t>Resumen de complejidad, cobertura OOF y descomposición base/residual por horizonte.</t>
        </is>
      </c>
    </row>
    <row r="464" ht="15" customHeight="1" s="27">
      <c r="A464" s="61" t="inlineStr">
        <is>
          <t>2026-04-01 05:07:09</t>
        </is>
      </c>
      <c r="B464" s="61" t="inlineStr">
        <is>
          <t>E8_v1_clean</t>
        </is>
      </c>
      <c r="C464" s="61" t="inlineStr">
        <is>
          <t>E8</t>
        </is>
      </c>
      <c r="D464" s="61" t="inlineStr">
        <is>
          <t>comparacion</t>
        </is>
      </c>
      <c r="E464" s="61" t="inlineStr">
        <is>
          <t>comparacion_vs_E1_v5_clean.json</t>
        </is>
      </c>
      <c r="F464" s="61" t="inlineStr">
        <is>
          <t>Experimentos/runs/E8_v1_clean_20260401_050422/comparacion_vs_E1_v5_clean.json</t>
        </is>
      </c>
      <c r="G464" s="61" t="inlineStr">
        <is>
          <t>Comparacion de la corrida clean contra E1_v5_clean.</t>
        </is>
      </c>
    </row>
    <row r="465" ht="15" customHeight="1" s="27">
      <c r="A465" s="61" t="inlineStr">
        <is>
          <t>2026-04-01 05:07:09</t>
        </is>
      </c>
      <c r="B465" s="61" t="inlineStr">
        <is>
          <t>E8_v1_clean</t>
        </is>
      </c>
      <c r="C465" s="61" t="inlineStr">
        <is>
          <t>E8</t>
        </is>
      </c>
      <c r="D465" s="61" t="inlineStr">
        <is>
          <t>comparacion</t>
        </is>
      </c>
      <c r="E465" s="61" t="inlineStr">
        <is>
          <t>comparacion_vs_E1_v4_clean.json</t>
        </is>
      </c>
      <c r="F465" s="61" t="inlineStr">
        <is>
          <t>Experimentos/runs/E8_v1_clean_20260401_050422/comparacion_vs_E1_v4_clean.json</t>
        </is>
      </c>
      <c r="G465" s="61" t="inlineStr">
        <is>
          <t>Comparacion de la corrida clean contra E1_v4_clean.</t>
        </is>
      </c>
    </row>
    <row r="466" ht="15" customHeight="1" s="27">
      <c r="A466" s="61" t="inlineStr">
        <is>
          <t>2026-04-01 05:07:09</t>
        </is>
      </c>
      <c r="B466" s="61" t="inlineStr">
        <is>
          <t>E8_v1_clean</t>
        </is>
      </c>
      <c r="C466" s="61" t="inlineStr">
        <is>
          <t>E8</t>
        </is>
      </c>
      <c r="D466" s="61" t="inlineStr">
        <is>
          <t>comparacion</t>
        </is>
      </c>
      <c r="E466" s="61" t="inlineStr">
        <is>
          <t>comparacion_vs_E5_v4_clean.json</t>
        </is>
      </c>
      <c r="F466" s="61" t="inlineStr">
        <is>
          <t>Experimentos/runs/E8_v1_clean_20260401_050422/comparacion_vs_E5_v4_clean.json</t>
        </is>
      </c>
      <c r="G466" s="61" t="inlineStr">
        <is>
          <t>Comparacion de la corrida clean contra E5_v4_clean.</t>
        </is>
      </c>
    </row>
    <row r="467" ht="15" customHeight="1" s="27">
      <c r="A467" s="61" t="inlineStr">
        <is>
          <t>2026-04-01 05:07:09</t>
        </is>
      </c>
      <c r="B467" s="61" t="inlineStr">
        <is>
          <t>E8_v1_clean</t>
        </is>
      </c>
      <c r="C467" s="61" t="inlineStr">
        <is>
          <t>E8</t>
        </is>
      </c>
      <c r="D467" s="61" t="inlineStr">
        <is>
          <t>comparacion</t>
        </is>
      </c>
      <c r="E467" s="61" t="inlineStr">
        <is>
          <t>comparacion_vs_E3_v2_clean.json</t>
        </is>
      </c>
      <c r="F467" s="61" t="inlineStr">
        <is>
          <t>Experimentos/runs/E8_v1_clean_20260401_050422/comparacion_vs_E3_v2_clean.json</t>
        </is>
      </c>
      <c r="G467" s="61" t="inlineStr">
        <is>
          <t>Comparacion de la corrida clean contra E3_v2_clean.</t>
        </is>
      </c>
    </row>
    <row r="468" ht="15" customHeight="1" s="27">
      <c r="A468" s="61" t="inlineStr">
        <is>
          <t>2026-04-01 05:07:09</t>
        </is>
      </c>
      <c r="B468" s="61" t="inlineStr">
        <is>
          <t>E8_v1_clean</t>
        </is>
      </c>
      <c r="C468" s="61" t="inlineStr">
        <is>
          <t>E8</t>
        </is>
      </c>
      <c r="D468" s="61" t="inlineStr">
        <is>
          <t>comparacion</t>
        </is>
      </c>
      <c r="E468" s="61" t="inlineStr">
        <is>
          <t>comparacion_vs_E4_v1_clean.json</t>
        </is>
      </c>
      <c r="F468" s="61" t="inlineStr">
        <is>
          <t>Experimentos/runs/E8_v1_clean_20260401_050422/comparacion_vs_E4_v1_clean.json</t>
        </is>
      </c>
      <c r="G468" s="61" t="inlineStr">
        <is>
          <t>Comparacion de la corrida clean contra E4_v1_clean.</t>
        </is>
      </c>
    </row>
    <row r="469" ht="15" customHeight="1" s="27">
      <c r="A469" s="61" t="inlineStr">
        <is>
          <t>2026-04-01 05:07:09</t>
        </is>
      </c>
      <c r="B469" s="61" t="inlineStr">
        <is>
          <t>E8_v1_clean</t>
        </is>
      </c>
      <c r="C469" s="61" t="inlineStr">
        <is>
          <t>E8</t>
        </is>
      </c>
      <c r="D469" s="61" t="inlineStr">
        <is>
          <t>comparacion</t>
        </is>
      </c>
      <c r="E469" s="61" t="inlineStr">
        <is>
          <t>comparacion_vs_E7_v3_clean.json</t>
        </is>
      </c>
      <c r="F469" s="61" t="inlineStr">
        <is>
          <t>Experimentos/runs/E8_v1_clean_20260401_050422/comparacion_vs_E7_v3_clean.json</t>
        </is>
      </c>
      <c r="G469" s="61" t="inlineStr">
        <is>
          <t>Comparacion de la corrida clean contra E7_v3_clean.</t>
        </is>
      </c>
    </row>
    <row r="470" ht="15" customHeight="1" s="27">
      <c r="A470" s="61" t="inlineStr">
        <is>
          <t>2026-04-01 05:07:09</t>
        </is>
      </c>
      <c r="B470" s="61" t="inlineStr">
        <is>
          <t>E8_v1_clean</t>
        </is>
      </c>
      <c r="C470" s="61" t="inlineStr">
        <is>
          <t>E8</t>
        </is>
      </c>
      <c r="D470" s="61" t="inlineStr">
        <is>
          <t>metricas</t>
        </is>
      </c>
      <c r="E470" s="61" t="inlineStr">
        <is>
          <t>metricas_horizonte.json</t>
        </is>
      </c>
      <c r="F470" s="61" t="inlineStr">
        <is>
          <t>Experimentos/runs/E8_v1_clean_20260401_050422/metricas_horizonte.json</t>
        </is>
      </c>
      <c r="G470" s="61" t="inlineStr">
        <is>
          <t>Resumen estructurado por horizonte.</t>
        </is>
      </c>
    </row>
    <row r="471" ht="15" customHeight="1" s="27">
      <c r="A471" s="61" t="inlineStr">
        <is>
          <t>2026-04-01 05:07:09</t>
        </is>
      </c>
      <c r="B471" s="61" t="inlineStr">
        <is>
          <t>E8_v1_clean</t>
        </is>
      </c>
      <c r="C471" s="61" t="inlineStr">
        <is>
          <t>E8</t>
        </is>
      </c>
      <c r="D471" s="61" t="inlineStr">
        <is>
          <t>metadata</t>
        </is>
      </c>
      <c r="E471" s="61" t="inlineStr">
        <is>
          <t>metadata_run.json</t>
        </is>
      </c>
      <c r="F471" s="61" t="inlineStr">
        <is>
          <t>Experimentos/runs/E8_v1_clean_20260401_050422/metadata_run.json</t>
        </is>
      </c>
      <c r="G471" s="61" t="inlineStr">
        <is>
          <t>Metadata base del run.</t>
        </is>
      </c>
    </row>
    <row r="472" ht="15" customHeight="1" s="27">
      <c r="A472" s="61" t="inlineStr">
        <is>
          <t>2026-04-01 05:09:13</t>
        </is>
      </c>
      <c r="B472" s="61" t="inlineStr">
        <is>
          <t>E8_v2_clean</t>
        </is>
      </c>
      <c r="C472" s="61" t="inlineStr">
        <is>
          <t>E8</t>
        </is>
      </c>
      <c r="D472" s="61" t="inlineStr">
        <is>
          <t>script_snapshot</t>
        </is>
      </c>
      <c r="E472" s="61" t="inlineStr">
        <is>
          <t>run_e8_hibrido_residuales.py</t>
        </is>
      </c>
      <c r="F472" s="61" t="inlineStr">
        <is>
          <t>Experimentos/runs/E8_v2_clean_20260401_050721/scripts/run_e8_hibrido_residuales.py</t>
        </is>
      </c>
      <c r="G472" s="61" t="inlineStr">
        <is>
          <t>Copia del script ejecutado para reproducibilidad.</t>
        </is>
      </c>
    </row>
    <row r="473" ht="15" customHeight="1" s="27">
      <c r="A473" s="61" t="inlineStr">
        <is>
          <t>2026-04-01 05:09:13</t>
        </is>
      </c>
      <c r="B473" s="61" t="inlineStr">
        <is>
          <t>E8_v2_clean</t>
        </is>
      </c>
      <c r="C473" s="61" t="inlineStr">
        <is>
          <t>E8</t>
        </is>
      </c>
      <c r="D473" s="61" t="inlineStr">
        <is>
          <t>parametros</t>
        </is>
      </c>
      <c r="E473" s="61" t="inlineStr">
        <is>
          <t>parametros_run.json</t>
        </is>
      </c>
      <c r="F473" s="61" t="inlineStr">
        <is>
          <t>Experimentos/runs/E8_v2_clean_20260401_050721/parametros_run.json</t>
        </is>
      </c>
      <c r="G473" s="61" t="inlineStr">
        <is>
          <t>Parametros del experimento.</t>
        </is>
      </c>
    </row>
    <row r="474" ht="15" customHeight="1" s="27">
      <c r="A474" s="61" t="inlineStr">
        <is>
          <t>2026-04-01 05:09:13</t>
        </is>
      </c>
      <c r="B474" s="61" t="inlineStr">
        <is>
          <t>E8_v2_clean</t>
        </is>
      </c>
      <c r="C474" s="61" t="inlineStr">
        <is>
          <t>E8</t>
        </is>
      </c>
      <c r="D474" s="61" t="inlineStr">
        <is>
          <t>predicciones</t>
        </is>
      </c>
      <c r="E474" s="61" t="inlineStr">
        <is>
          <t>predicciones_h1.csv</t>
        </is>
      </c>
      <c r="F474" s="61" t="inlineStr">
        <is>
          <t>Experimentos/runs/E8_v2_clean_20260401_050721/predicciones_h1.csv</t>
        </is>
      </c>
      <c r="G474" s="61" t="inlineStr">
        <is>
          <t>Predicciones finales del híbrido con descomposición base + residual.</t>
        </is>
      </c>
    </row>
    <row r="475" ht="15" customHeight="1" s="27">
      <c r="A475" s="61" t="inlineStr">
        <is>
          <t>2026-04-01 05:09:13</t>
        </is>
      </c>
      <c r="B475" s="61" t="inlineStr">
        <is>
          <t>E8_v2_clean</t>
        </is>
      </c>
      <c r="C475" s="61" t="inlineStr">
        <is>
          <t>E8</t>
        </is>
      </c>
      <c r="D475" s="61" t="inlineStr">
        <is>
          <t>predicciones_base</t>
        </is>
      </c>
      <c r="E475" s="61" t="inlineStr">
        <is>
          <t>predicciones_base_h1.csv</t>
        </is>
      </c>
      <c r="F475" s="61" t="inlineStr">
        <is>
          <t>Experimentos/runs/E8_v2_clean_20260401_050721/predicciones_base_h1.csv</t>
        </is>
      </c>
      <c r="G475" s="61" t="inlineStr">
        <is>
          <t>Componente de predicción del modelo base.</t>
        </is>
      </c>
    </row>
    <row r="476" ht="15" customHeight="1" s="27">
      <c r="A476" s="61" t="inlineStr">
        <is>
          <t>2026-04-01 05:09:13</t>
        </is>
      </c>
      <c r="B476" s="61" t="inlineStr">
        <is>
          <t>E8_v2_clean</t>
        </is>
      </c>
      <c r="C476" s="61" t="inlineStr">
        <is>
          <t>E8</t>
        </is>
      </c>
      <c r="D476" s="61" t="inlineStr">
        <is>
          <t>predicciones_residual</t>
        </is>
      </c>
      <c r="E476" s="61" t="inlineStr">
        <is>
          <t>predicciones_residual_h1.csv</t>
        </is>
      </c>
      <c r="F476" s="61" t="inlineStr">
        <is>
          <t>Experimentos/runs/E8_v2_clean_20260401_050721/predicciones_residual_h1.csv</t>
        </is>
      </c>
      <c r="G476" s="61" t="inlineStr">
        <is>
          <t>Componente de predicción del learner residual.</t>
        </is>
      </c>
    </row>
    <row r="477" ht="15" customHeight="1" s="27">
      <c r="A477" s="61" t="inlineStr">
        <is>
          <t>2026-04-01 05:09:13</t>
        </is>
      </c>
      <c r="B477" s="61" t="inlineStr">
        <is>
          <t>E8_v2_clean</t>
        </is>
      </c>
      <c r="C477" s="61" t="inlineStr">
        <is>
          <t>E8</t>
        </is>
      </c>
      <c r="D477" s="61" t="inlineStr">
        <is>
          <t>residuales_train</t>
        </is>
      </c>
      <c r="E477" s="61" t="inlineStr">
        <is>
          <t>residuales_entrenamiento_h1.csv</t>
        </is>
      </c>
      <c r="F477" s="61" t="inlineStr">
        <is>
          <t>Experimentos/runs/E8_v2_clean_20260401_050721/residuales_entrenamiento_h1.csv</t>
        </is>
      </c>
      <c r="G477" s="61" t="inlineStr">
        <is>
          <t>Residuales OOF usados para entrenar el learner residual en cada fold externo.</t>
        </is>
      </c>
    </row>
    <row r="478" ht="15" customHeight="1" s="27">
      <c r="A478" s="61" t="inlineStr">
        <is>
          <t>2026-04-01 05:09:13</t>
        </is>
      </c>
      <c r="B478" s="61" t="inlineStr">
        <is>
          <t>E8_v2_clean</t>
        </is>
      </c>
      <c r="C478" s="61" t="inlineStr">
        <is>
          <t>E8</t>
        </is>
      </c>
      <c r="D478" s="61" t="inlineStr">
        <is>
          <t>seleccion_features_base</t>
        </is>
      </c>
      <c r="E478" s="61" t="inlineStr">
        <is>
          <t>features_base_h1.csv</t>
        </is>
      </c>
      <c r="F478" s="61" t="inlineStr">
        <is>
          <t>Experimentos/runs/E8_v2_clean_20260401_050721/features_base_h1.csv</t>
        </is>
      </c>
      <c r="G478" s="61" t="inlineStr">
        <is>
          <t>Resumen de features del modelo base por fold externo.</t>
        </is>
      </c>
    </row>
    <row r="479" ht="15" customHeight="1" s="27">
      <c r="A479" s="61" t="inlineStr">
        <is>
          <t>2026-04-01 05:09:13</t>
        </is>
      </c>
      <c r="B479" s="61" t="inlineStr">
        <is>
          <t>E8_v2_clean</t>
        </is>
      </c>
      <c r="C479" s="61" t="inlineStr">
        <is>
          <t>E8</t>
        </is>
      </c>
      <c r="D479" s="61" t="inlineStr">
        <is>
          <t>seleccion_features_residual</t>
        </is>
      </c>
      <c r="E479" s="61" t="inlineStr">
        <is>
          <t>features_residual_h1.csv</t>
        </is>
      </c>
      <c r="F479" s="61" t="inlineStr">
        <is>
          <t>Experimentos/runs/E8_v2_clean_20260401_050721/features_residual_h1.csv</t>
        </is>
      </c>
      <c r="G479" s="61" t="inlineStr">
        <is>
          <t>Resumen de features del learner residual por fold externo.</t>
        </is>
      </c>
    </row>
    <row r="480" ht="15" customHeight="1" s="27">
      <c r="A480" s="61" t="inlineStr">
        <is>
          <t>2026-04-01 05:09:13</t>
        </is>
      </c>
      <c r="B480" s="61" t="inlineStr">
        <is>
          <t>E8_v2_clean</t>
        </is>
      </c>
      <c r="C480" s="61" t="inlineStr">
        <is>
          <t>E8</t>
        </is>
      </c>
      <c r="D480" s="61" t="inlineStr">
        <is>
          <t>predicciones</t>
        </is>
      </c>
      <c r="E480" s="61" t="inlineStr">
        <is>
          <t>predicciones_h2.csv</t>
        </is>
      </c>
      <c r="F480" s="61" t="inlineStr">
        <is>
          <t>Experimentos/runs/E8_v2_clean_20260401_050721/predicciones_h2.csv</t>
        </is>
      </c>
      <c r="G480" s="61" t="inlineStr">
        <is>
          <t>Predicciones finales del híbrido con descomposición base + residual.</t>
        </is>
      </c>
    </row>
    <row r="481" ht="15" customHeight="1" s="27">
      <c r="A481" s="61" t="inlineStr">
        <is>
          <t>2026-04-01 05:09:13</t>
        </is>
      </c>
      <c r="B481" s="61" t="inlineStr">
        <is>
          <t>E8_v2_clean</t>
        </is>
      </c>
      <c r="C481" s="61" t="inlineStr">
        <is>
          <t>E8</t>
        </is>
      </c>
      <c r="D481" s="61" t="inlineStr">
        <is>
          <t>predicciones_base</t>
        </is>
      </c>
      <c r="E481" s="61" t="inlineStr">
        <is>
          <t>predicciones_base_h2.csv</t>
        </is>
      </c>
      <c r="F481" s="61" t="inlineStr">
        <is>
          <t>Experimentos/runs/E8_v2_clean_20260401_050721/predicciones_base_h2.csv</t>
        </is>
      </c>
      <c r="G481" s="61" t="inlineStr">
        <is>
          <t>Componente de predicción del modelo base.</t>
        </is>
      </c>
    </row>
    <row r="482" ht="15" customHeight="1" s="27">
      <c r="A482" s="61" t="inlineStr">
        <is>
          <t>2026-04-01 05:09:13</t>
        </is>
      </c>
      <c r="B482" s="61" t="inlineStr">
        <is>
          <t>E8_v2_clean</t>
        </is>
      </c>
      <c r="C482" s="61" t="inlineStr">
        <is>
          <t>E8</t>
        </is>
      </c>
      <c r="D482" s="61" t="inlineStr">
        <is>
          <t>predicciones_residual</t>
        </is>
      </c>
      <c r="E482" s="61" t="inlineStr">
        <is>
          <t>predicciones_residual_h2.csv</t>
        </is>
      </c>
      <c r="F482" s="61" t="inlineStr">
        <is>
          <t>Experimentos/runs/E8_v2_clean_20260401_050721/predicciones_residual_h2.csv</t>
        </is>
      </c>
      <c r="G482" s="61" t="inlineStr">
        <is>
          <t>Componente de predicción del learner residual.</t>
        </is>
      </c>
    </row>
    <row r="483" ht="15" customHeight="1" s="27">
      <c r="A483" s="61" t="inlineStr">
        <is>
          <t>2026-04-01 05:09:13</t>
        </is>
      </c>
      <c r="B483" s="61" t="inlineStr">
        <is>
          <t>E8_v2_clean</t>
        </is>
      </c>
      <c r="C483" s="61" t="inlineStr">
        <is>
          <t>E8</t>
        </is>
      </c>
      <c r="D483" s="61" t="inlineStr">
        <is>
          <t>residuales_train</t>
        </is>
      </c>
      <c r="E483" s="61" t="inlineStr">
        <is>
          <t>residuales_entrenamiento_h2.csv</t>
        </is>
      </c>
      <c r="F483" s="61" t="inlineStr">
        <is>
          <t>Experimentos/runs/E8_v2_clean_20260401_050721/residuales_entrenamiento_h2.csv</t>
        </is>
      </c>
      <c r="G483" s="61" t="inlineStr">
        <is>
          <t>Residuales OOF usados para entrenar el learner residual en cada fold externo.</t>
        </is>
      </c>
    </row>
    <row r="484" ht="15" customHeight="1" s="27">
      <c r="A484" s="61" t="inlineStr">
        <is>
          <t>2026-04-01 05:09:13</t>
        </is>
      </c>
      <c r="B484" s="61" t="inlineStr">
        <is>
          <t>E8_v2_clean</t>
        </is>
      </c>
      <c r="C484" s="61" t="inlineStr">
        <is>
          <t>E8</t>
        </is>
      </c>
      <c r="D484" s="61" t="inlineStr">
        <is>
          <t>seleccion_features_base</t>
        </is>
      </c>
      <c r="E484" s="61" t="inlineStr">
        <is>
          <t>features_base_h2.csv</t>
        </is>
      </c>
      <c r="F484" s="61" t="inlineStr">
        <is>
          <t>Experimentos/runs/E8_v2_clean_20260401_050721/features_base_h2.csv</t>
        </is>
      </c>
      <c r="G484" s="61" t="inlineStr">
        <is>
          <t>Resumen de features del modelo base por fold externo.</t>
        </is>
      </c>
    </row>
    <row r="485" ht="15" customHeight="1" s="27">
      <c r="A485" s="61" t="inlineStr">
        <is>
          <t>2026-04-01 05:09:13</t>
        </is>
      </c>
      <c r="B485" s="61" t="inlineStr">
        <is>
          <t>E8_v2_clean</t>
        </is>
      </c>
      <c r="C485" s="61" t="inlineStr">
        <is>
          <t>E8</t>
        </is>
      </c>
      <c r="D485" s="61" t="inlineStr">
        <is>
          <t>seleccion_features_residual</t>
        </is>
      </c>
      <c r="E485" s="61" t="inlineStr">
        <is>
          <t>features_residual_h2.csv</t>
        </is>
      </c>
      <c r="F485" s="61" t="inlineStr">
        <is>
          <t>Experimentos/runs/E8_v2_clean_20260401_050721/features_residual_h2.csv</t>
        </is>
      </c>
      <c r="G485" s="61" t="inlineStr">
        <is>
          <t>Resumen de features del learner residual por fold externo.</t>
        </is>
      </c>
    </row>
    <row r="486" ht="15" customHeight="1" s="27">
      <c r="A486" s="61" t="inlineStr">
        <is>
          <t>2026-04-01 05:09:13</t>
        </is>
      </c>
      <c r="B486" s="61" t="inlineStr">
        <is>
          <t>E8_v2_clean</t>
        </is>
      </c>
      <c r="C486" s="61" t="inlineStr">
        <is>
          <t>E8</t>
        </is>
      </c>
      <c r="D486" s="61" t="inlineStr">
        <is>
          <t>predicciones</t>
        </is>
      </c>
      <c r="E486" s="61" t="inlineStr">
        <is>
          <t>predicciones_h3.csv</t>
        </is>
      </c>
      <c r="F486" s="61" t="inlineStr">
        <is>
          <t>Experimentos/runs/E8_v2_clean_20260401_050721/predicciones_h3.csv</t>
        </is>
      </c>
      <c r="G486" s="61" t="inlineStr">
        <is>
          <t>Predicciones finales del híbrido con descomposición base + residual.</t>
        </is>
      </c>
    </row>
    <row r="487" ht="15" customHeight="1" s="27">
      <c r="A487" s="61" t="inlineStr">
        <is>
          <t>2026-04-01 05:09:13</t>
        </is>
      </c>
      <c r="B487" s="61" t="inlineStr">
        <is>
          <t>E8_v2_clean</t>
        </is>
      </c>
      <c r="C487" s="61" t="inlineStr">
        <is>
          <t>E8</t>
        </is>
      </c>
      <c r="D487" s="61" t="inlineStr">
        <is>
          <t>predicciones_base</t>
        </is>
      </c>
      <c r="E487" s="61" t="inlineStr">
        <is>
          <t>predicciones_base_h3.csv</t>
        </is>
      </c>
      <c r="F487" s="61" t="inlineStr">
        <is>
          <t>Experimentos/runs/E8_v2_clean_20260401_050721/predicciones_base_h3.csv</t>
        </is>
      </c>
      <c r="G487" s="61" t="inlineStr">
        <is>
          <t>Componente de predicción del modelo base.</t>
        </is>
      </c>
    </row>
    <row r="488" ht="15" customHeight="1" s="27">
      <c r="A488" s="61" t="inlineStr">
        <is>
          <t>2026-04-01 05:09:13</t>
        </is>
      </c>
      <c r="B488" s="61" t="inlineStr">
        <is>
          <t>E8_v2_clean</t>
        </is>
      </c>
      <c r="C488" s="61" t="inlineStr">
        <is>
          <t>E8</t>
        </is>
      </c>
      <c r="D488" s="61" t="inlineStr">
        <is>
          <t>predicciones_residual</t>
        </is>
      </c>
      <c r="E488" s="61" t="inlineStr">
        <is>
          <t>predicciones_residual_h3.csv</t>
        </is>
      </c>
      <c r="F488" s="61" t="inlineStr">
        <is>
          <t>Experimentos/runs/E8_v2_clean_20260401_050721/predicciones_residual_h3.csv</t>
        </is>
      </c>
      <c r="G488" s="61" t="inlineStr">
        <is>
          <t>Componente de predicción del learner residual.</t>
        </is>
      </c>
    </row>
    <row r="489" ht="15" customHeight="1" s="27">
      <c r="A489" s="61" t="inlineStr">
        <is>
          <t>2026-04-01 05:09:13</t>
        </is>
      </c>
      <c r="B489" s="61" t="inlineStr">
        <is>
          <t>E8_v2_clean</t>
        </is>
      </c>
      <c r="C489" s="61" t="inlineStr">
        <is>
          <t>E8</t>
        </is>
      </c>
      <c r="D489" s="61" t="inlineStr">
        <is>
          <t>residuales_train</t>
        </is>
      </c>
      <c r="E489" s="61" t="inlineStr">
        <is>
          <t>residuales_entrenamiento_h3.csv</t>
        </is>
      </c>
      <c r="F489" s="61" t="inlineStr">
        <is>
          <t>Experimentos/runs/E8_v2_clean_20260401_050721/residuales_entrenamiento_h3.csv</t>
        </is>
      </c>
      <c r="G489" s="61" t="inlineStr">
        <is>
          <t>Residuales OOF usados para entrenar el learner residual en cada fold externo.</t>
        </is>
      </c>
    </row>
    <row r="490" ht="15" customHeight="1" s="27">
      <c r="A490" s="61" t="inlineStr">
        <is>
          <t>2026-04-01 05:09:13</t>
        </is>
      </c>
      <c r="B490" s="61" t="inlineStr">
        <is>
          <t>E8_v2_clean</t>
        </is>
      </c>
      <c r="C490" s="61" t="inlineStr">
        <is>
          <t>E8</t>
        </is>
      </c>
      <c r="D490" s="61" t="inlineStr">
        <is>
          <t>seleccion_features_base</t>
        </is>
      </c>
      <c r="E490" s="61" t="inlineStr">
        <is>
          <t>features_base_h3.csv</t>
        </is>
      </c>
      <c r="F490" s="61" t="inlineStr">
        <is>
          <t>Experimentos/runs/E8_v2_clean_20260401_050721/features_base_h3.csv</t>
        </is>
      </c>
      <c r="G490" s="61" t="inlineStr">
        <is>
          <t>Resumen de features del modelo base por fold externo.</t>
        </is>
      </c>
    </row>
    <row r="491" ht="15" customHeight="1" s="27">
      <c r="A491" s="61" t="inlineStr">
        <is>
          <t>2026-04-01 05:09:13</t>
        </is>
      </c>
      <c r="B491" s="61" t="inlineStr">
        <is>
          <t>E8_v2_clean</t>
        </is>
      </c>
      <c r="C491" s="61" t="inlineStr">
        <is>
          <t>E8</t>
        </is>
      </c>
      <c r="D491" s="61" t="inlineStr">
        <is>
          <t>seleccion_features_residual</t>
        </is>
      </c>
      <c r="E491" s="61" t="inlineStr">
        <is>
          <t>features_residual_h3.csv</t>
        </is>
      </c>
      <c r="F491" s="61" t="inlineStr">
        <is>
          <t>Experimentos/runs/E8_v2_clean_20260401_050721/features_residual_h3.csv</t>
        </is>
      </c>
      <c r="G491" s="61" t="inlineStr">
        <is>
          <t>Resumen de features del learner residual por fold externo.</t>
        </is>
      </c>
    </row>
    <row r="492" ht="15" customHeight="1" s="27">
      <c r="A492" s="61" t="inlineStr">
        <is>
          <t>2026-04-01 05:09:13</t>
        </is>
      </c>
      <c r="B492" s="61" t="inlineStr">
        <is>
          <t>E8_v2_clean</t>
        </is>
      </c>
      <c r="C492" s="61" t="inlineStr">
        <is>
          <t>E8</t>
        </is>
      </c>
      <c r="D492" s="61" t="inlineStr">
        <is>
          <t>predicciones</t>
        </is>
      </c>
      <c r="E492" s="61" t="inlineStr">
        <is>
          <t>predicciones_h4.csv</t>
        </is>
      </c>
      <c r="F492" s="61" t="inlineStr">
        <is>
          <t>Experimentos/runs/E8_v2_clean_20260401_050721/predicciones_h4.csv</t>
        </is>
      </c>
      <c r="G492" s="61" t="inlineStr">
        <is>
          <t>Predicciones finales del híbrido con descomposición base + residual.</t>
        </is>
      </c>
    </row>
    <row r="493" ht="15" customHeight="1" s="27">
      <c r="A493" s="61" t="inlineStr">
        <is>
          <t>2026-04-01 05:09:13</t>
        </is>
      </c>
      <c r="B493" s="61" t="inlineStr">
        <is>
          <t>E8_v2_clean</t>
        </is>
      </c>
      <c r="C493" s="61" t="inlineStr">
        <is>
          <t>E8</t>
        </is>
      </c>
      <c r="D493" s="61" t="inlineStr">
        <is>
          <t>predicciones_base</t>
        </is>
      </c>
      <c r="E493" s="61" t="inlineStr">
        <is>
          <t>predicciones_base_h4.csv</t>
        </is>
      </c>
      <c r="F493" s="61" t="inlineStr">
        <is>
          <t>Experimentos/runs/E8_v2_clean_20260401_050721/predicciones_base_h4.csv</t>
        </is>
      </c>
      <c r="G493" s="61" t="inlineStr">
        <is>
          <t>Componente de predicción del modelo base.</t>
        </is>
      </c>
    </row>
    <row r="494" ht="15" customHeight="1" s="27">
      <c r="A494" s="61" t="inlineStr">
        <is>
          <t>2026-04-01 05:09:13</t>
        </is>
      </c>
      <c r="B494" s="61" t="inlineStr">
        <is>
          <t>E8_v2_clean</t>
        </is>
      </c>
      <c r="C494" s="61" t="inlineStr">
        <is>
          <t>E8</t>
        </is>
      </c>
      <c r="D494" s="61" t="inlineStr">
        <is>
          <t>predicciones_residual</t>
        </is>
      </c>
      <c r="E494" s="61" t="inlineStr">
        <is>
          <t>predicciones_residual_h4.csv</t>
        </is>
      </c>
      <c r="F494" s="61" t="inlineStr">
        <is>
          <t>Experimentos/runs/E8_v2_clean_20260401_050721/predicciones_residual_h4.csv</t>
        </is>
      </c>
      <c r="G494" s="61" t="inlineStr">
        <is>
          <t>Componente de predicción del learner residual.</t>
        </is>
      </c>
    </row>
    <row r="495" ht="15" customHeight="1" s="27">
      <c r="A495" s="61" t="inlineStr">
        <is>
          <t>2026-04-01 05:09:13</t>
        </is>
      </c>
      <c r="B495" s="61" t="inlineStr">
        <is>
          <t>E8_v2_clean</t>
        </is>
      </c>
      <c r="C495" s="61" t="inlineStr">
        <is>
          <t>E8</t>
        </is>
      </c>
      <c r="D495" s="61" t="inlineStr">
        <is>
          <t>residuales_train</t>
        </is>
      </c>
      <c r="E495" s="61" t="inlineStr">
        <is>
          <t>residuales_entrenamiento_h4.csv</t>
        </is>
      </c>
      <c r="F495" s="61" t="inlineStr">
        <is>
          <t>Experimentos/runs/E8_v2_clean_20260401_050721/residuales_entrenamiento_h4.csv</t>
        </is>
      </c>
      <c r="G495" s="61" t="inlineStr">
        <is>
          <t>Residuales OOF usados para entrenar el learner residual en cada fold externo.</t>
        </is>
      </c>
    </row>
    <row r="496" ht="15" customHeight="1" s="27">
      <c r="A496" s="61" t="inlineStr">
        <is>
          <t>2026-04-01 05:09:13</t>
        </is>
      </c>
      <c r="B496" s="61" t="inlineStr">
        <is>
          <t>E8_v2_clean</t>
        </is>
      </c>
      <c r="C496" s="61" t="inlineStr">
        <is>
          <t>E8</t>
        </is>
      </c>
      <c r="D496" s="61" t="inlineStr">
        <is>
          <t>seleccion_features_base</t>
        </is>
      </c>
      <c r="E496" s="61" t="inlineStr">
        <is>
          <t>features_base_h4.csv</t>
        </is>
      </c>
      <c r="F496" s="61" t="inlineStr">
        <is>
          <t>Experimentos/runs/E8_v2_clean_20260401_050721/features_base_h4.csv</t>
        </is>
      </c>
      <c r="G496" s="61" t="inlineStr">
        <is>
          <t>Resumen de features del modelo base por fold externo.</t>
        </is>
      </c>
    </row>
    <row r="497" ht="15" customHeight="1" s="27">
      <c r="A497" s="61" t="inlineStr">
        <is>
          <t>2026-04-01 05:09:13</t>
        </is>
      </c>
      <c r="B497" s="61" t="inlineStr">
        <is>
          <t>E8_v2_clean</t>
        </is>
      </c>
      <c r="C497" s="61" t="inlineStr">
        <is>
          <t>E8</t>
        </is>
      </c>
      <c r="D497" s="61" t="inlineStr">
        <is>
          <t>seleccion_features_residual</t>
        </is>
      </c>
      <c r="E497" s="61" t="inlineStr">
        <is>
          <t>features_residual_h4.csv</t>
        </is>
      </c>
      <c r="F497" s="61" t="inlineStr">
        <is>
          <t>Experimentos/runs/E8_v2_clean_20260401_050721/features_residual_h4.csv</t>
        </is>
      </c>
      <c r="G497" s="61" t="inlineStr">
        <is>
          <t>Resumen de features del learner residual por fold externo.</t>
        </is>
      </c>
    </row>
    <row r="498" ht="15" customHeight="1" s="27">
      <c r="A498" s="61" t="inlineStr">
        <is>
          <t>2026-04-01 05:09:13</t>
        </is>
      </c>
      <c r="B498" s="61" t="inlineStr">
        <is>
          <t>E8_v2_clean</t>
        </is>
      </c>
      <c r="C498" s="61" t="inlineStr">
        <is>
          <t>E8</t>
        </is>
      </c>
      <c r="D498" s="61" t="inlineStr">
        <is>
          <t>resumen</t>
        </is>
      </c>
      <c r="E498" s="61" t="inlineStr">
        <is>
          <t>resumen_modeling_horizontes.json</t>
        </is>
      </c>
      <c r="F498" s="61" t="inlineStr">
        <is>
          <t>Experimentos/runs/E8_v2_clean_20260401_050721/resumen_modeling_horizontes.json</t>
        </is>
      </c>
      <c r="G498" s="61" t="inlineStr">
        <is>
          <t>Resumen de complejidad, cobertura OOF y descomposición base/residual por horizonte.</t>
        </is>
      </c>
    </row>
    <row r="499" ht="15" customHeight="1" s="27">
      <c r="A499" s="61" t="inlineStr">
        <is>
          <t>2026-04-01 05:09:13</t>
        </is>
      </c>
      <c r="B499" s="61" t="inlineStr">
        <is>
          <t>E8_v2_clean</t>
        </is>
      </c>
      <c r="C499" s="61" t="inlineStr">
        <is>
          <t>E8</t>
        </is>
      </c>
      <c r="D499" s="61" t="inlineStr">
        <is>
          <t>comparacion</t>
        </is>
      </c>
      <c r="E499" s="61" t="inlineStr">
        <is>
          <t>comparacion_vs_E5_v4_clean.json</t>
        </is>
      </c>
      <c r="F499" s="61" t="inlineStr">
        <is>
          <t>Experimentos/runs/E8_v2_clean_20260401_050721/comparacion_vs_E5_v4_clean.json</t>
        </is>
      </c>
      <c r="G499" s="61" t="inlineStr">
        <is>
          <t>Comparacion de la corrida clean contra E5_v4_clean.</t>
        </is>
      </c>
    </row>
    <row r="500" ht="15" customHeight="1" s="27">
      <c r="A500" s="61" t="inlineStr">
        <is>
          <t>2026-04-01 05:09:13</t>
        </is>
      </c>
      <c r="B500" s="61" t="inlineStr">
        <is>
          <t>E8_v2_clean</t>
        </is>
      </c>
      <c r="C500" s="61" t="inlineStr">
        <is>
          <t>E8</t>
        </is>
      </c>
      <c r="D500" s="61" t="inlineStr">
        <is>
          <t>comparacion</t>
        </is>
      </c>
      <c r="E500" s="61" t="inlineStr">
        <is>
          <t>comparacion_vs_E1_v5_clean.json</t>
        </is>
      </c>
      <c r="F500" s="61" t="inlineStr">
        <is>
          <t>Experimentos/runs/E8_v2_clean_20260401_050721/comparacion_vs_E1_v5_clean.json</t>
        </is>
      </c>
      <c r="G500" s="61" t="inlineStr">
        <is>
          <t>Comparacion de la corrida clean contra E1_v5_clean.</t>
        </is>
      </c>
    </row>
    <row r="501" ht="15" customHeight="1" s="27">
      <c r="A501" s="61" t="inlineStr">
        <is>
          <t>2026-04-01 05:09:13</t>
        </is>
      </c>
      <c r="B501" s="61" t="inlineStr">
        <is>
          <t>E8_v2_clean</t>
        </is>
      </c>
      <c r="C501" s="61" t="inlineStr">
        <is>
          <t>E8</t>
        </is>
      </c>
      <c r="D501" s="61" t="inlineStr">
        <is>
          <t>comparacion</t>
        </is>
      </c>
      <c r="E501" s="61" t="inlineStr">
        <is>
          <t>comparacion_vs_E1_v4_clean.json</t>
        </is>
      </c>
      <c r="F501" s="61" t="inlineStr">
        <is>
          <t>Experimentos/runs/E8_v2_clean_20260401_050721/comparacion_vs_E1_v4_clean.json</t>
        </is>
      </c>
      <c r="G501" s="61" t="inlineStr">
        <is>
          <t>Comparacion de la corrida clean contra E1_v4_clean.</t>
        </is>
      </c>
    </row>
    <row r="502" ht="15" customHeight="1" s="27">
      <c r="A502" s="61" t="inlineStr">
        <is>
          <t>2026-04-01 05:09:13</t>
        </is>
      </c>
      <c r="B502" s="61" t="inlineStr">
        <is>
          <t>E8_v2_clean</t>
        </is>
      </c>
      <c r="C502" s="61" t="inlineStr">
        <is>
          <t>E8</t>
        </is>
      </c>
      <c r="D502" s="61" t="inlineStr">
        <is>
          <t>comparacion</t>
        </is>
      </c>
      <c r="E502" s="61" t="inlineStr">
        <is>
          <t>comparacion_vs_E3_v2_clean.json</t>
        </is>
      </c>
      <c r="F502" s="61" t="inlineStr">
        <is>
          <t>Experimentos/runs/E8_v2_clean_20260401_050721/comparacion_vs_E3_v2_clean.json</t>
        </is>
      </c>
      <c r="G502" s="61" t="inlineStr">
        <is>
          <t>Comparacion de la corrida clean contra E3_v2_clean.</t>
        </is>
      </c>
    </row>
    <row r="503" ht="15" customHeight="1" s="27">
      <c r="A503" s="61" t="inlineStr">
        <is>
          <t>2026-04-01 05:09:13</t>
        </is>
      </c>
      <c r="B503" s="61" t="inlineStr">
        <is>
          <t>E8_v2_clean</t>
        </is>
      </c>
      <c r="C503" s="61" t="inlineStr">
        <is>
          <t>E8</t>
        </is>
      </c>
      <c r="D503" s="61" t="inlineStr">
        <is>
          <t>comparacion</t>
        </is>
      </c>
      <c r="E503" s="61" t="inlineStr">
        <is>
          <t>comparacion_vs_E4_v1_clean.json</t>
        </is>
      </c>
      <c r="F503" s="61" t="inlineStr">
        <is>
          <t>Experimentos/runs/E8_v2_clean_20260401_050721/comparacion_vs_E4_v1_clean.json</t>
        </is>
      </c>
      <c r="G503" s="61" t="inlineStr">
        <is>
          <t>Comparacion de la corrida clean contra E4_v1_clean.</t>
        </is>
      </c>
    </row>
    <row r="504" ht="15" customHeight="1" s="27">
      <c r="A504" s="61" t="inlineStr">
        <is>
          <t>2026-04-01 05:09:13</t>
        </is>
      </c>
      <c r="B504" s="61" t="inlineStr">
        <is>
          <t>E8_v2_clean</t>
        </is>
      </c>
      <c r="C504" s="61" t="inlineStr">
        <is>
          <t>E8</t>
        </is>
      </c>
      <c r="D504" s="61" t="inlineStr">
        <is>
          <t>comparacion</t>
        </is>
      </c>
      <c r="E504" s="61" t="inlineStr">
        <is>
          <t>comparacion_vs_E7_v3_clean.json</t>
        </is>
      </c>
      <c r="F504" s="61" t="inlineStr">
        <is>
          <t>Experimentos/runs/E8_v2_clean_20260401_050721/comparacion_vs_E7_v3_clean.json</t>
        </is>
      </c>
      <c r="G504" s="61" t="inlineStr">
        <is>
          <t>Comparacion de la corrida clean contra E7_v3_clean.</t>
        </is>
      </c>
    </row>
    <row r="505" ht="15" customHeight="1" s="27">
      <c r="A505" s="61" t="inlineStr">
        <is>
          <t>2026-04-01 05:09:13</t>
        </is>
      </c>
      <c r="B505" s="61" t="inlineStr">
        <is>
          <t>E8_v2_clean</t>
        </is>
      </c>
      <c r="C505" s="61" t="inlineStr">
        <is>
          <t>E8</t>
        </is>
      </c>
      <c r="D505" s="61" t="inlineStr">
        <is>
          <t>comparacion</t>
        </is>
      </c>
      <c r="E505" s="61" t="inlineStr">
        <is>
          <t>comparacion_vs_E8_v1_clean.json</t>
        </is>
      </c>
      <c r="F505" s="61" t="inlineStr">
        <is>
          <t>Experimentos/runs/E8_v2_clean_20260401_050721/comparacion_vs_E8_v1_clean.json</t>
        </is>
      </c>
      <c r="G505" s="61" t="inlineStr">
        <is>
          <t>Comparacion de la corrida clean contra E8_v1_clean.</t>
        </is>
      </c>
    </row>
    <row r="506" ht="15" customHeight="1" s="27">
      <c r="A506" s="61" t="inlineStr">
        <is>
          <t>2026-04-01 05:09:13</t>
        </is>
      </c>
      <c r="B506" s="61" t="inlineStr">
        <is>
          <t>E8_v2_clean</t>
        </is>
      </c>
      <c r="C506" s="61" t="inlineStr">
        <is>
          <t>E8</t>
        </is>
      </c>
      <c r="D506" s="61" t="inlineStr">
        <is>
          <t>metricas</t>
        </is>
      </c>
      <c r="E506" s="61" t="inlineStr">
        <is>
          <t>metricas_horizonte.json</t>
        </is>
      </c>
      <c r="F506" s="61" t="inlineStr">
        <is>
          <t>Experimentos/runs/E8_v2_clean_20260401_050721/metricas_horizonte.json</t>
        </is>
      </c>
      <c r="G506" s="61" t="inlineStr">
        <is>
          <t>Resumen estructurado por horizonte.</t>
        </is>
      </c>
    </row>
    <row r="507" ht="15" customHeight="1" s="27">
      <c r="A507" s="61" t="inlineStr">
        <is>
          <t>2026-04-01 05:09:13</t>
        </is>
      </c>
      <c r="B507" s="61" t="inlineStr">
        <is>
          <t>E8_v2_clean</t>
        </is>
      </c>
      <c r="C507" s="61" t="inlineStr">
        <is>
          <t>E8</t>
        </is>
      </c>
      <c r="D507" s="61" t="inlineStr">
        <is>
          <t>metadata</t>
        </is>
      </c>
      <c r="E507" s="61" t="inlineStr">
        <is>
          <t>metadata_run.json</t>
        </is>
      </c>
      <c r="F507" s="61" t="inlineStr">
        <is>
          <t>Experimentos/runs/E8_v2_clean_20260401_050721/metadata_run.json</t>
        </is>
      </c>
      <c r="G507" s="61" t="inlineStr">
        <is>
          <t>Metadata base del run.</t>
        </is>
      </c>
    </row>
    <row r="508" ht="15" customHeight="1" s="27">
      <c r="A508" s="61" t="inlineStr">
        <is>
          <t>2026-04-01 05:15:48</t>
        </is>
      </c>
      <c r="B508" s="61" t="inlineStr">
        <is>
          <t>E8_v3_clean</t>
        </is>
      </c>
      <c r="C508" s="61" t="inlineStr">
        <is>
          <t>E8</t>
        </is>
      </c>
      <c r="D508" s="61" t="inlineStr">
        <is>
          <t>script_snapshot</t>
        </is>
      </c>
      <c r="E508" s="61" t="inlineStr">
        <is>
          <t>run_e8_hibrido_residuales.py</t>
        </is>
      </c>
      <c r="F508" s="61" t="inlineStr">
        <is>
          <t>Experimentos/runs/E8_v3_clean_20260401_050927/scripts/run_e8_hibrido_residuales.py</t>
        </is>
      </c>
      <c r="G508" s="61" t="inlineStr">
        <is>
          <t>Copia del script ejecutado para reproducibilidad.</t>
        </is>
      </c>
    </row>
    <row r="509" ht="15" customHeight="1" s="27">
      <c r="A509" s="61" t="inlineStr">
        <is>
          <t>2026-04-01 05:15:48</t>
        </is>
      </c>
      <c r="B509" s="61" t="inlineStr">
        <is>
          <t>E8_v3_clean</t>
        </is>
      </c>
      <c r="C509" s="61" t="inlineStr">
        <is>
          <t>E8</t>
        </is>
      </c>
      <c r="D509" s="61" t="inlineStr">
        <is>
          <t>parametros</t>
        </is>
      </c>
      <c r="E509" s="61" t="inlineStr">
        <is>
          <t>parametros_run.json</t>
        </is>
      </c>
      <c r="F509" s="61" t="inlineStr">
        <is>
          <t>Experimentos/runs/E8_v3_clean_20260401_050927/parametros_run.json</t>
        </is>
      </c>
      <c r="G509" s="61" t="inlineStr">
        <is>
          <t>Parametros del experimento.</t>
        </is>
      </c>
    </row>
    <row r="510" ht="15" customHeight="1" s="27">
      <c r="A510" s="61" t="inlineStr">
        <is>
          <t>2026-04-01 05:15:48</t>
        </is>
      </c>
      <c r="B510" s="61" t="inlineStr">
        <is>
          <t>E8_v3_clean</t>
        </is>
      </c>
      <c r="C510" s="61" t="inlineStr">
        <is>
          <t>E8</t>
        </is>
      </c>
      <c r="D510" s="61" t="inlineStr">
        <is>
          <t>predicciones</t>
        </is>
      </c>
      <c r="E510" s="61" t="inlineStr">
        <is>
          <t>predicciones_h1.csv</t>
        </is>
      </c>
      <c r="F510" s="61" t="inlineStr">
        <is>
          <t>Experimentos/runs/E8_v3_clean_20260401_050927/predicciones_h1.csv</t>
        </is>
      </c>
      <c r="G510" s="61" t="inlineStr">
        <is>
          <t>Predicciones finales del híbrido con descomposición base + residual.</t>
        </is>
      </c>
    </row>
    <row r="511" ht="15" customHeight="1" s="27">
      <c r="A511" s="61" t="inlineStr">
        <is>
          <t>2026-04-01 05:15:48</t>
        </is>
      </c>
      <c r="B511" s="61" t="inlineStr">
        <is>
          <t>E8_v3_clean</t>
        </is>
      </c>
      <c r="C511" s="61" t="inlineStr">
        <is>
          <t>E8</t>
        </is>
      </c>
      <c r="D511" s="61" t="inlineStr">
        <is>
          <t>predicciones_base</t>
        </is>
      </c>
      <c r="E511" s="61" t="inlineStr">
        <is>
          <t>predicciones_base_h1.csv</t>
        </is>
      </c>
      <c r="F511" s="61" t="inlineStr">
        <is>
          <t>Experimentos/runs/E8_v3_clean_20260401_050927/predicciones_base_h1.csv</t>
        </is>
      </c>
      <c r="G511" s="61" t="inlineStr">
        <is>
          <t>Componente de predicción del modelo base.</t>
        </is>
      </c>
    </row>
    <row r="512" ht="15" customHeight="1" s="27">
      <c r="A512" s="61" t="inlineStr">
        <is>
          <t>2026-04-01 05:15:48</t>
        </is>
      </c>
      <c r="B512" s="61" t="inlineStr">
        <is>
          <t>E8_v3_clean</t>
        </is>
      </c>
      <c r="C512" s="61" t="inlineStr">
        <is>
          <t>E8</t>
        </is>
      </c>
      <c r="D512" s="61" t="inlineStr">
        <is>
          <t>predicciones_residual</t>
        </is>
      </c>
      <c r="E512" s="61" t="inlineStr">
        <is>
          <t>predicciones_residual_h1.csv</t>
        </is>
      </c>
      <c r="F512" s="61" t="inlineStr">
        <is>
          <t>Experimentos/runs/E8_v3_clean_20260401_050927/predicciones_residual_h1.csv</t>
        </is>
      </c>
      <c r="G512" s="61" t="inlineStr">
        <is>
          <t>Componente de predicción del learner residual.</t>
        </is>
      </c>
    </row>
    <row r="513" ht="15" customHeight="1" s="27">
      <c r="A513" s="61" t="inlineStr">
        <is>
          <t>2026-04-01 05:15:48</t>
        </is>
      </c>
      <c r="B513" s="61" t="inlineStr">
        <is>
          <t>E8_v3_clean</t>
        </is>
      </c>
      <c r="C513" s="61" t="inlineStr">
        <is>
          <t>E8</t>
        </is>
      </c>
      <c r="D513" s="61" t="inlineStr">
        <is>
          <t>residuales_train</t>
        </is>
      </c>
      <c r="E513" s="61" t="inlineStr">
        <is>
          <t>residuales_entrenamiento_h1.csv</t>
        </is>
      </c>
      <c r="F513" s="61" t="inlineStr">
        <is>
          <t>Experimentos/runs/E8_v3_clean_20260401_050927/residuales_entrenamiento_h1.csv</t>
        </is>
      </c>
      <c r="G513" s="61" t="inlineStr">
        <is>
          <t>Residuales OOF usados para entrenar el learner residual en cada fold externo.</t>
        </is>
      </c>
    </row>
    <row r="514" ht="15" customHeight="1" s="27">
      <c r="A514" s="61" t="inlineStr">
        <is>
          <t>2026-04-01 05:15:48</t>
        </is>
      </c>
      <c r="B514" s="61" t="inlineStr">
        <is>
          <t>E8_v3_clean</t>
        </is>
      </c>
      <c r="C514" s="61" t="inlineStr">
        <is>
          <t>E8</t>
        </is>
      </c>
      <c r="D514" s="61" t="inlineStr">
        <is>
          <t>seleccion_features_base</t>
        </is>
      </c>
      <c r="E514" s="61" t="inlineStr">
        <is>
          <t>features_base_h1.csv</t>
        </is>
      </c>
      <c r="F514" s="61" t="inlineStr">
        <is>
          <t>Experimentos/runs/E8_v3_clean_20260401_050927/features_base_h1.csv</t>
        </is>
      </c>
      <c r="G514" s="61" t="inlineStr">
        <is>
          <t>Resumen de features del modelo base por fold externo.</t>
        </is>
      </c>
    </row>
    <row r="515" ht="15" customHeight="1" s="27">
      <c r="A515" s="61" t="inlineStr">
        <is>
          <t>2026-04-01 05:15:48</t>
        </is>
      </c>
      <c r="B515" s="61" t="inlineStr">
        <is>
          <t>E8_v3_clean</t>
        </is>
      </c>
      <c r="C515" s="61" t="inlineStr">
        <is>
          <t>E8</t>
        </is>
      </c>
      <c r="D515" s="61" t="inlineStr">
        <is>
          <t>seleccion_features_residual</t>
        </is>
      </c>
      <c r="E515" s="61" t="inlineStr">
        <is>
          <t>features_residual_h1.csv</t>
        </is>
      </c>
      <c r="F515" s="61" t="inlineStr">
        <is>
          <t>Experimentos/runs/E8_v3_clean_20260401_050927/features_residual_h1.csv</t>
        </is>
      </c>
      <c r="G515" s="61" t="inlineStr">
        <is>
          <t>Resumen de features del learner residual por fold externo.</t>
        </is>
      </c>
    </row>
    <row r="516" ht="15" customHeight="1" s="27">
      <c r="A516" s="61" t="inlineStr">
        <is>
          <t>2026-04-01 05:15:48</t>
        </is>
      </c>
      <c r="B516" s="61" t="inlineStr">
        <is>
          <t>E8_v3_clean</t>
        </is>
      </c>
      <c r="C516" s="61" t="inlineStr">
        <is>
          <t>E8</t>
        </is>
      </c>
      <c r="D516" s="61" t="inlineStr">
        <is>
          <t>predicciones</t>
        </is>
      </c>
      <c r="E516" s="61" t="inlineStr">
        <is>
          <t>predicciones_h2.csv</t>
        </is>
      </c>
      <c r="F516" s="61" t="inlineStr">
        <is>
          <t>Experimentos/runs/E8_v3_clean_20260401_050927/predicciones_h2.csv</t>
        </is>
      </c>
      <c r="G516" s="61" t="inlineStr">
        <is>
          <t>Predicciones finales del híbrido con descomposición base + residual.</t>
        </is>
      </c>
    </row>
    <row r="517" ht="15" customHeight="1" s="27">
      <c r="A517" s="61" t="inlineStr">
        <is>
          <t>2026-04-01 05:15:48</t>
        </is>
      </c>
      <c r="B517" s="61" t="inlineStr">
        <is>
          <t>E8_v3_clean</t>
        </is>
      </c>
      <c r="C517" s="61" t="inlineStr">
        <is>
          <t>E8</t>
        </is>
      </c>
      <c r="D517" s="61" t="inlineStr">
        <is>
          <t>predicciones_base</t>
        </is>
      </c>
      <c r="E517" s="61" t="inlineStr">
        <is>
          <t>predicciones_base_h2.csv</t>
        </is>
      </c>
      <c r="F517" s="61" t="inlineStr">
        <is>
          <t>Experimentos/runs/E8_v3_clean_20260401_050927/predicciones_base_h2.csv</t>
        </is>
      </c>
      <c r="G517" s="61" t="inlineStr">
        <is>
          <t>Componente de predicción del modelo base.</t>
        </is>
      </c>
    </row>
    <row r="518" ht="15" customHeight="1" s="27">
      <c r="A518" s="61" t="inlineStr">
        <is>
          <t>2026-04-01 05:15:48</t>
        </is>
      </c>
      <c r="B518" s="61" t="inlineStr">
        <is>
          <t>E8_v3_clean</t>
        </is>
      </c>
      <c r="C518" s="61" t="inlineStr">
        <is>
          <t>E8</t>
        </is>
      </c>
      <c r="D518" s="61" t="inlineStr">
        <is>
          <t>predicciones_residual</t>
        </is>
      </c>
      <c r="E518" s="61" t="inlineStr">
        <is>
          <t>predicciones_residual_h2.csv</t>
        </is>
      </c>
      <c r="F518" s="61" t="inlineStr">
        <is>
          <t>Experimentos/runs/E8_v3_clean_20260401_050927/predicciones_residual_h2.csv</t>
        </is>
      </c>
      <c r="G518" s="61" t="inlineStr">
        <is>
          <t>Componente de predicción del learner residual.</t>
        </is>
      </c>
    </row>
    <row r="519" ht="15" customHeight="1" s="27">
      <c r="A519" s="61" t="inlineStr">
        <is>
          <t>2026-04-01 05:15:48</t>
        </is>
      </c>
      <c r="B519" s="61" t="inlineStr">
        <is>
          <t>E8_v3_clean</t>
        </is>
      </c>
      <c r="C519" s="61" t="inlineStr">
        <is>
          <t>E8</t>
        </is>
      </c>
      <c r="D519" s="61" t="inlineStr">
        <is>
          <t>residuales_train</t>
        </is>
      </c>
      <c r="E519" s="61" t="inlineStr">
        <is>
          <t>residuales_entrenamiento_h2.csv</t>
        </is>
      </c>
      <c r="F519" s="61" t="inlineStr">
        <is>
          <t>Experimentos/runs/E8_v3_clean_20260401_050927/residuales_entrenamiento_h2.csv</t>
        </is>
      </c>
      <c r="G519" s="61" t="inlineStr">
        <is>
          <t>Residuales OOF usados para entrenar el learner residual en cada fold externo.</t>
        </is>
      </c>
    </row>
    <row r="520" ht="15" customHeight="1" s="27">
      <c r="A520" s="61" t="inlineStr">
        <is>
          <t>2026-04-01 05:15:48</t>
        </is>
      </c>
      <c r="B520" s="61" t="inlineStr">
        <is>
          <t>E8_v3_clean</t>
        </is>
      </c>
      <c r="C520" s="61" t="inlineStr">
        <is>
          <t>E8</t>
        </is>
      </c>
      <c r="D520" s="61" t="inlineStr">
        <is>
          <t>seleccion_features_base</t>
        </is>
      </c>
      <c r="E520" s="61" t="inlineStr">
        <is>
          <t>features_base_h2.csv</t>
        </is>
      </c>
      <c r="F520" s="61" t="inlineStr">
        <is>
          <t>Experimentos/runs/E8_v3_clean_20260401_050927/features_base_h2.csv</t>
        </is>
      </c>
      <c r="G520" s="61" t="inlineStr">
        <is>
          <t>Resumen de features del modelo base por fold externo.</t>
        </is>
      </c>
    </row>
    <row r="521" ht="15" customHeight="1" s="27">
      <c r="A521" s="61" t="inlineStr">
        <is>
          <t>2026-04-01 05:15:48</t>
        </is>
      </c>
      <c r="B521" s="61" t="inlineStr">
        <is>
          <t>E8_v3_clean</t>
        </is>
      </c>
      <c r="C521" s="61" t="inlineStr">
        <is>
          <t>E8</t>
        </is>
      </c>
      <c r="D521" s="61" t="inlineStr">
        <is>
          <t>seleccion_features_residual</t>
        </is>
      </c>
      <c r="E521" s="61" t="inlineStr">
        <is>
          <t>features_residual_h2.csv</t>
        </is>
      </c>
      <c r="F521" s="61" t="inlineStr">
        <is>
          <t>Experimentos/runs/E8_v3_clean_20260401_050927/features_residual_h2.csv</t>
        </is>
      </c>
      <c r="G521" s="61" t="inlineStr">
        <is>
          <t>Resumen de features del learner residual por fold externo.</t>
        </is>
      </c>
    </row>
    <row r="522" ht="15" customHeight="1" s="27">
      <c r="A522" s="61" t="inlineStr">
        <is>
          <t>2026-04-01 05:15:48</t>
        </is>
      </c>
      <c r="B522" s="61" t="inlineStr">
        <is>
          <t>E8_v3_clean</t>
        </is>
      </c>
      <c r="C522" s="61" t="inlineStr">
        <is>
          <t>E8</t>
        </is>
      </c>
      <c r="D522" s="61" t="inlineStr">
        <is>
          <t>predicciones</t>
        </is>
      </c>
      <c r="E522" s="61" t="inlineStr">
        <is>
          <t>predicciones_h3.csv</t>
        </is>
      </c>
      <c r="F522" s="61" t="inlineStr">
        <is>
          <t>Experimentos/runs/E8_v3_clean_20260401_050927/predicciones_h3.csv</t>
        </is>
      </c>
      <c r="G522" s="61" t="inlineStr">
        <is>
          <t>Predicciones finales del híbrido con descomposición base + residual.</t>
        </is>
      </c>
    </row>
    <row r="523" ht="15" customHeight="1" s="27">
      <c r="A523" s="61" t="inlineStr">
        <is>
          <t>2026-04-01 05:15:48</t>
        </is>
      </c>
      <c r="B523" s="61" t="inlineStr">
        <is>
          <t>E8_v3_clean</t>
        </is>
      </c>
      <c r="C523" s="61" t="inlineStr">
        <is>
          <t>E8</t>
        </is>
      </c>
      <c r="D523" s="61" t="inlineStr">
        <is>
          <t>predicciones_base</t>
        </is>
      </c>
      <c r="E523" s="61" t="inlineStr">
        <is>
          <t>predicciones_base_h3.csv</t>
        </is>
      </c>
      <c r="F523" s="61" t="inlineStr">
        <is>
          <t>Experimentos/runs/E8_v3_clean_20260401_050927/predicciones_base_h3.csv</t>
        </is>
      </c>
      <c r="G523" s="61" t="inlineStr">
        <is>
          <t>Componente de predicción del modelo base.</t>
        </is>
      </c>
    </row>
    <row r="524" ht="15" customHeight="1" s="27">
      <c r="A524" s="61" t="inlineStr">
        <is>
          <t>2026-04-01 05:15:48</t>
        </is>
      </c>
      <c r="B524" s="61" t="inlineStr">
        <is>
          <t>E8_v3_clean</t>
        </is>
      </c>
      <c r="C524" s="61" t="inlineStr">
        <is>
          <t>E8</t>
        </is>
      </c>
      <c r="D524" s="61" t="inlineStr">
        <is>
          <t>predicciones_residual</t>
        </is>
      </c>
      <c r="E524" s="61" t="inlineStr">
        <is>
          <t>predicciones_residual_h3.csv</t>
        </is>
      </c>
      <c r="F524" s="61" t="inlineStr">
        <is>
          <t>Experimentos/runs/E8_v3_clean_20260401_050927/predicciones_residual_h3.csv</t>
        </is>
      </c>
      <c r="G524" s="61" t="inlineStr">
        <is>
          <t>Componente de predicción del learner residual.</t>
        </is>
      </c>
    </row>
    <row r="525" ht="15" customHeight="1" s="27">
      <c r="A525" s="61" t="inlineStr">
        <is>
          <t>2026-04-01 05:15:48</t>
        </is>
      </c>
      <c r="B525" s="61" t="inlineStr">
        <is>
          <t>E8_v3_clean</t>
        </is>
      </c>
      <c r="C525" s="61" t="inlineStr">
        <is>
          <t>E8</t>
        </is>
      </c>
      <c r="D525" s="61" t="inlineStr">
        <is>
          <t>residuales_train</t>
        </is>
      </c>
      <c r="E525" s="61" t="inlineStr">
        <is>
          <t>residuales_entrenamiento_h3.csv</t>
        </is>
      </c>
      <c r="F525" s="61" t="inlineStr">
        <is>
          <t>Experimentos/runs/E8_v3_clean_20260401_050927/residuales_entrenamiento_h3.csv</t>
        </is>
      </c>
      <c r="G525" s="61" t="inlineStr">
        <is>
          <t>Residuales OOF usados para entrenar el learner residual en cada fold externo.</t>
        </is>
      </c>
    </row>
    <row r="526" ht="15" customHeight="1" s="27">
      <c r="A526" s="61" t="inlineStr">
        <is>
          <t>2026-04-01 05:15:48</t>
        </is>
      </c>
      <c r="B526" s="61" t="inlineStr">
        <is>
          <t>E8_v3_clean</t>
        </is>
      </c>
      <c r="C526" s="61" t="inlineStr">
        <is>
          <t>E8</t>
        </is>
      </c>
      <c r="D526" s="61" t="inlineStr">
        <is>
          <t>seleccion_features_base</t>
        </is>
      </c>
      <c r="E526" s="61" t="inlineStr">
        <is>
          <t>features_base_h3.csv</t>
        </is>
      </c>
      <c r="F526" s="61" t="inlineStr">
        <is>
          <t>Experimentos/runs/E8_v3_clean_20260401_050927/features_base_h3.csv</t>
        </is>
      </c>
      <c r="G526" s="61" t="inlineStr">
        <is>
          <t>Resumen de features del modelo base por fold externo.</t>
        </is>
      </c>
    </row>
    <row r="527" ht="15" customHeight="1" s="27">
      <c r="A527" s="61" t="inlineStr">
        <is>
          <t>2026-04-01 05:15:48</t>
        </is>
      </c>
      <c r="B527" s="61" t="inlineStr">
        <is>
          <t>E8_v3_clean</t>
        </is>
      </c>
      <c r="C527" s="61" t="inlineStr">
        <is>
          <t>E8</t>
        </is>
      </c>
      <c r="D527" s="61" t="inlineStr">
        <is>
          <t>seleccion_features_residual</t>
        </is>
      </c>
      <c r="E527" s="61" t="inlineStr">
        <is>
          <t>features_residual_h3.csv</t>
        </is>
      </c>
      <c r="F527" s="61" t="inlineStr">
        <is>
          <t>Experimentos/runs/E8_v3_clean_20260401_050927/features_residual_h3.csv</t>
        </is>
      </c>
      <c r="G527" s="61" t="inlineStr">
        <is>
          <t>Resumen de features del learner residual por fold externo.</t>
        </is>
      </c>
    </row>
    <row r="528" ht="15" customHeight="1" s="27">
      <c r="A528" s="61" t="inlineStr">
        <is>
          <t>2026-04-01 05:15:48</t>
        </is>
      </c>
      <c r="B528" s="61" t="inlineStr">
        <is>
          <t>E8_v3_clean</t>
        </is>
      </c>
      <c r="C528" s="61" t="inlineStr">
        <is>
          <t>E8</t>
        </is>
      </c>
      <c r="D528" s="61" t="inlineStr">
        <is>
          <t>predicciones</t>
        </is>
      </c>
      <c r="E528" s="61" t="inlineStr">
        <is>
          <t>predicciones_h4.csv</t>
        </is>
      </c>
      <c r="F528" s="61" t="inlineStr">
        <is>
          <t>Experimentos/runs/E8_v3_clean_20260401_050927/predicciones_h4.csv</t>
        </is>
      </c>
      <c r="G528" s="61" t="inlineStr">
        <is>
          <t>Predicciones finales del híbrido con descomposición base + residual.</t>
        </is>
      </c>
    </row>
    <row r="529" ht="15" customHeight="1" s="27">
      <c r="A529" s="61" t="inlineStr">
        <is>
          <t>2026-04-01 05:15:48</t>
        </is>
      </c>
      <c r="B529" s="61" t="inlineStr">
        <is>
          <t>E8_v3_clean</t>
        </is>
      </c>
      <c r="C529" s="61" t="inlineStr">
        <is>
          <t>E8</t>
        </is>
      </c>
      <c r="D529" s="61" t="inlineStr">
        <is>
          <t>predicciones_base</t>
        </is>
      </c>
      <c r="E529" s="61" t="inlineStr">
        <is>
          <t>predicciones_base_h4.csv</t>
        </is>
      </c>
      <c r="F529" s="61" t="inlineStr">
        <is>
          <t>Experimentos/runs/E8_v3_clean_20260401_050927/predicciones_base_h4.csv</t>
        </is>
      </c>
      <c r="G529" s="61" t="inlineStr">
        <is>
          <t>Componente de predicción del modelo base.</t>
        </is>
      </c>
    </row>
    <row r="530" ht="15" customHeight="1" s="27">
      <c r="A530" s="61" t="inlineStr">
        <is>
          <t>2026-04-01 05:15:48</t>
        </is>
      </c>
      <c r="B530" s="61" t="inlineStr">
        <is>
          <t>E8_v3_clean</t>
        </is>
      </c>
      <c r="C530" s="61" t="inlineStr">
        <is>
          <t>E8</t>
        </is>
      </c>
      <c r="D530" s="61" t="inlineStr">
        <is>
          <t>predicciones_residual</t>
        </is>
      </c>
      <c r="E530" s="61" t="inlineStr">
        <is>
          <t>predicciones_residual_h4.csv</t>
        </is>
      </c>
      <c r="F530" s="61" t="inlineStr">
        <is>
          <t>Experimentos/runs/E8_v3_clean_20260401_050927/predicciones_residual_h4.csv</t>
        </is>
      </c>
      <c r="G530" s="61" t="inlineStr">
        <is>
          <t>Componente de predicción del learner residual.</t>
        </is>
      </c>
    </row>
    <row r="531" ht="15" customHeight="1" s="27">
      <c r="A531" s="61" t="inlineStr">
        <is>
          <t>2026-04-01 05:15:48</t>
        </is>
      </c>
      <c r="B531" s="61" t="inlineStr">
        <is>
          <t>E8_v3_clean</t>
        </is>
      </c>
      <c r="C531" s="61" t="inlineStr">
        <is>
          <t>E8</t>
        </is>
      </c>
      <c r="D531" s="61" t="inlineStr">
        <is>
          <t>residuales_train</t>
        </is>
      </c>
      <c r="E531" s="61" t="inlineStr">
        <is>
          <t>residuales_entrenamiento_h4.csv</t>
        </is>
      </c>
      <c r="F531" s="61" t="inlineStr">
        <is>
          <t>Experimentos/runs/E8_v3_clean_20260401_050927/residuales_entrenamiento_h4.csv</t>
        </is>
      </c>
      <c r="G531" s="61" t="inlineStr">
        <is>
          <t>Residuales OOF usados para entrenar el learner residual en cada fold externo.</t>
        </is>
      </c>
    </row>
    <row r="532" ht="15" customHeight="1" s="27">
      <c r="A532" s="61" t="inlineStr">
        <is>
          <t>2026-04-01 05:15:48</t>
        </is>
      </c>
      <c r="B532" s="61" t="inlineStr">
        <is>
          <t>E8_v3_clean</t>
        </is>
      </c>
      <c r="C532" s="61" t="inlineStr">
        <is>
          <t>E8</t>
        </is>
      </c>
      <c r="D532" s="61" t="inlineStr">
        <is>
          <t>seleccion_features_base</t>
        </is>
      </c>
      <c r="E532" s="61" t="inlineStr">
        <is>
          <t>features_base_h4.csv</t>
        </is>
      </c>
      <c r="F532" s="61" t="inlineStr">
        <is>
          <t>Experimentos/runs/E8_v3_clean_20260401_050927/features_base_h4.csv</t>
        </is>
      </c>
      <c r="G532" s="61" t="inlineStr">
        <is>
          <t>Resumen de features del modelo base por fold externo.</t>
        </is>
      </c>
    </row>
    <row r="533" ht="15" customHeight="1" s="27">
      <c r="A533" s="61" t="inlineStr">
        <is>
          <t>2026-04-01 05:15:48</t>
        </is>
      </c>
      <c r="B533" s="61" t="inlineStr">
        <is>
          <t>E8_v3_clean</t>
        </is>
      </c>
      <c r="C533" s="61" t="inlineStr">
        <is>
          <t>E8</t>
        </is>
      </c>
      <c r="D533" s="61" t="inlineStr">
        <is>
          <t>seleccion_features_residual</t>
        </is>
      </c>
      <c r="E533" s="61" t="inlineStr">
        <is>
          <t>features_residual_h4.csv</t>
        </is>
      </c>
      <c r="F533" s="61" t="inlineStr">
        <is>
          <t>Experimentos/runs/E8_v3_clean_20260401_050927/features_residual_h4.csv</t>
        </is>
      </c>
      <c r="G533" s="61" t="inlineStr">
        <is>
          <t>Resumen de features del learner residual por fold externo.</t>
        </is>
      </c>
    </row>
    <row r="534" ht="15" customHeight="1" s="27">
      <c r="A534" s="61" t="inlineStr">
        <is>
          <t>2026-04-01 05:15:48</t>
        </is>
      </c>
      <c r="B534" s="61" t="inlineStr">
        <is>
          <t>E8_v3_clean</t>
        </is>
      </c>
      <c r="C534" s="61" t="inlineStr">
        <is>
          <t>E8</t>
        </is>
      </c>
      <c r="D534" s="61" t="inlineStr">
        <is>
          <t>resumen</t>
        </is>
      </c>
      <c r="E534" s="61" t="inlineStr">
        <is>
          <t>resumen_modeling_horizontes.json</t>
        </is>
      </c>
      <c r="F534" s="61" t="inlineStr">
        <is>
          <t>Experimentos/runs/E8_v3_clean_20260401_050927/resumen_modeling_horizontes.json</t>
        </is>
      </c>
      <c r="G534" s="61" t="inlineStr">
        <is>
          <t>Resumen de complejidad, cobertura OOF y descomposición base/residual por horizonte.</t>
        </is>
      </c>
    </row>
    <row r="535" ht="15" customHeight="1" s="27">
      <c r="A535" s="61" t="inlineStr">
        <is>
          <t>2026-04-01 05:15:48</t>
        </is>
      </c>
      <c r="B535" s="61" t="inlineStr">
        <is>
          <t>E8_v3_clean</t>
        </is>
      </c>
      <c r="C535" s="61" t="inlineStr">
        <is>
          <t>E8</t>
        </is>
      </c>
      <c r="D535" s="61" t="inlineStr">
        <is>
          <t>comparacion</t>
        </is>
      </c>
      <c r="E535" s="61" t="inlineStr">
        <is>
          <t>comparacion_vs_E5_v4_clean.json</t>
        </is>
      </c>
      <c r="F535" s="61" t="inlineStr">
        <is>
          <t>Experimentos/runs/E8_v3_clean_20260401_050927/comparacion_vs_E5_v4_clean.json</t>
        </is>
      </c>
      <c r="G535" s="61" t="inlineStr">
        <is>
          <t>Comparacion de la corrida clean contra E5_v4_clean.</t>
        </is>
      </c>
    </row>
    <row r="536" ht="15" customHeight="1" s="27">
      <c r="A536" s="61" t="inlineStr">
        <is>
          <t>2026-04-01 05:15:48</t>
        </is>
      </c>
      <c r="B536" s="61" t="inlineStr">
        <is>
          <t>E8_v3_clean</t>
        </is>
      </c>
      <c r="C536" s="61" t="inlineStr">
        <is>
          <t>E8</t>
        </is>
      </c>
      <c r="D536" s="61" t="inlineStr">
        <is>
          <t>comparacion</t>
        </is>
      </c>
      <c r="E536" s="61" t="inlineStr">
        <is>
          <t>comparacion_vs_E1_v5_clean.json</t>
        </is>
      </c>
      <c r="F536" s="61" t="inlineStr">
        <is>
          <t>Experimentos/runs/E8_v3_clean_20260401_050927/comparacion_vs_E1_v5_clean.json</t>
        </is>
      </c>
      <c r="G536" s="61" t="inlineStr">
        <is>
          <t>Comparacion de la corrida clean contra E1_v5_clean.</t>
        </is>
      </c>
    </row>
    <row r="537" ht="15" customHeight="1" s="27">
      <c r="A537" s="61" t="inlineStr">
        <is>
          <t>2026-04-01 05:15:48</t>
        </is>
      </c>
      <c r="B537" s="61" t="inlineStr">
        <is>
          <t>E8_v3_clean</t>
        </is>
      </c>
      <c r="C537" s="61" t="inlineStr">
        <is>
          <t>E8</t>
        </is>
      </c>
      <c r="D537" s="61" t="inlineStr">
        <is>
          <t>comparacion</t>
        </is>
      </c>
      <c r="E537" s="61" t="inlineStr">
        <is>
          <t>comparacion_vs_E1_v4_clean.json</t>
        </is>
      </c>
      <c r="F537" s="61" t="inlineStr">
        <is>
          <t>Experimentos/runs/E8_v3_clean_20260401_050927/comparacion_vs_E1_v4_clean.json</t>
        </is>
      </c>
      <c r="G537" s="61" t="inlineStr">
        <is>
          <t>Comparacion de la corrida clean contra E1_v4_clean.</t>
        </is>
      </c>
    </row>
    <row r="538" ht="15" customHeight="1" s="27">
      <c r="A538" s="61" t="inlineStr">
        <is>
          <t>2026-04-01 05:15:48</t>
        </is>
      </c>
      <c r="B538" s="61" t="inlineStr">
        <is>
          <t>E8_v3_clean</t>
        </is>
      </c>
      <c r="C538" s="61" t="inlineStr">
        <is>
          <t>E8</t>
        </is>
      </c>
      <c r="D538" s="61" t="inlineStr">
        <is>
          <t>comparacion</t>
        </is>
      </c>
      <c r="E538" s="61" t="inlineStr">
        <is>
          <t>comparacion_vs_E3_v2_clean.json</t>
        </is>
      </c>
      <c r="F538" s="61" t="inlineStr">
        <is>
          <t>Experimentos/runs/E8_v3_clean_20260401_050927/comparacion_vs_E3_v2_clean.json</t>
        </is>
      </c>
      <c r="G538" s="61" t="inlineStr">
        <is>
          <t>Comparacion de la corrida clean contra E3_v2_clean.</t>
        </is>
      </c>
    </row>
    <row r="539" ht="15" customHeight="1" s="27">
      <c r="A539" s="61" t="inlineStr">
        <is>
          <t>2026-04-01 05:15:48</t>
        </is>
      </c>
      <c r="B539" s="61" t="inlineStr">
        <is>
          <t>E8_v3_clean</t>
        </is>
      </c>
      <c r="C539" s="61" t="inlineStr">
        <is>
          <t>E8</t>
        </is>
      </c>
      <c r="D539" s="61" t="inlineStr">
        <is>
          <t>comparacion</t>
        </is>
      </c>
      <c r="E539" s="61" t="inlineStr">
        <is>
          <t>comparacion_vs_E4_v1_clean.json</t>
        </is>
      </c>
      <c r="F539" s="61" t="inlineStr">
        <is>
          <t>Experimentos/runs/E8_v3_clean_20260401_050927/comparacion_vs_E4_v1_clean.json</t>
        </is>
      </c>
      <c r="G539" s="61" t="inlineStr">
        <is>
          <t>Comparacion de la corrida clean contra E4_v1_clean.</t>
        </is>
      </c>
    </row>
    <row r="540" ht="15" customHeight="1" s="27">
      <c r="A540" s="61" t="inlineStr">
        <is>
          <t>2026-04-01 05:15:48</t>
        </is>
      </c>
      <c r="B540" s="61" t="inlineStr">
        <is>
          <t>E8_v3_clean</t>
        </is>
      </c>
      <c r="C540" s="61" t="inlineStr">
        <is>
          <t>E8</t>
        </is>
      </c>
      <c r="D540" s="61" t="inlineStr">
        <is>
          <t>comparacion</t>
        </is>
      </c>
      <c r="E540" s="61" t="inlineStr">
        <is>
          <t>comparacion_vs_E7_v3_clean.json</t>
        </is>
      </c>
      <c r="F540" s="61" t="inlineStr">
        <is>
          <t>Experimentos/runs/E8_v3_clean_20260401_050927/comparacion_vs_E7_v3_clean.json</t>
        </is>
      </c>
      <c r="G540" s="61" t="inlineStr">
        <is>
          <t>Comparacion de la corrida clean contra E7_v3_clean.</t>
        </is>
      </c>
    </row>
    <row r="541" ht="15" customHeight="1" s="27">
      <c r="A541" s="61" t="inlineStr">
        <is>
          <t>2026-04-01 05:15:48</t>
        </is>
      </c>
      <c r="B541" s="61" t="inlineStr">
        <is>
          <t>E8_v3_clean</t>
        </is>
      </c>
      <c r="C541" s="61" t="inlineStr">
        <is>
          <t>E8</t>
        </is>
      </c>
      <c r="D541" s="61" t="inlineStr">
        <is>
          <t>comparacion</t>
        </is>
      </c>
      <c r="E541" s="61" t="inlineStr">
        <is>
          <t>comparacion_vs_E8_v1_clean.json</t>
        </is>
      </c>
      <c r="F541" s="61" t="inlineStr">
        <is>
          <t>Experimentos/runs/E8_v3_clean_20260401_050927/comparacion_vs_E8_v1_clean.json</t>
        </is>
      </c>
      <c r="G541" s="61" t="inlineStr">
        <is>
          <t>Comparacion de la corrida clean contra E8_v1_clean.</t>
        </is>
      </c>
    </row>
    <row r="542" ht="15" customHeight="1" s="27">
      <c r="A542" s="61" t="inlineStr">
        <is>
          <t>2026-04-01 05:15:48</t>
        </is>
      </c>
      <c r="B542" s="61" t="inlineStr">
        <is>
          <t>E8_v3_clean</t>
        </is>
      </c>
      <c r="C542" s="61" t="inlineStr">
        <is>
          <t>E8</t>
        </is>
      </c>
      <c r="D542" s="61" t="inlineStr">
        <is>
          <t>comparacion</t>
        </is>
      </c>
      <c r="E542" s="61" t="inlineStr">
        <is>
          <t>comparacion_vs_E8_v2_clean.json</t>
        </is>
      </c>
      <c r="F542" s="61" t="inlineStr">
        <is>
          <t>Experimentos/runs/E8_v3_clean_20260401_050927/comparacion_vs_E8_v2_clean.json</t>
        </is>
      </c>
      <c r="G542" s="61" t="inlineStr">
        <is>
          <t>Comparacion de la corrida clean contra E8_v2_clean.</t>
        </is>
      </c>
    </row>
    <row r="543" ht="15" customHeight="1" s="27">
      <c r="A543" s="61" t="inlineStr">
        <is>
          <t>2026-04-01 05:15:48</t>
        </is>
      </c>
      <c r="B543" s="61" t="inlineStr">
        <is>
          <t>E8_v3_clean</t>
        </is>
      </c>
      <c r="C543" s="61" t="inlineStr">
        <is>
          <t>E8</t>
        </is>
      </c>
      <c r="D543" s="61" t="inlineStr">
        <is>
          <t>metricas</t>
        </is>
      </c>
      <c r="E543" s="61" t="inlineStr">
        <is>
          <t>metricas_horizonte.json</t>
        </is>
      </c>
      <c r="F543" s="61" t="inlineStr">
        <is>
          <t>Experimentos/runs/E8_v3_clean_20260401_050927/metricas_horizonte.json</t>
        </is>
      </c>
      <c r="G543" s="61" t="inlineStr">
        <is>
          <t>Resumen estructurado por horizonte.</t>
        </is>
      </c>
    </row>
    <row r="544" ht="15" customHeight="1" s="27">
      <c r="A544" s="61" t="inlineStr">
        <is>
          <t>2026-04-01 05:15:48</t>
        </is>
      </c>
      <c r="B544" s="61" t="inlineStr">
        <is>
          <t>E8_v3_clean</t>
        </is>
      </c>
      <c r="C544" s="61" t="inlineStr">
        <is>
          <t>E8</t>
        </is>
      </c>
      <c r="D544" s="61" t="inlineStr">
        <is>
          <t>metadata</t>
        </is>
      </c>
      <c r="E544" s="61" t="inlineStr">
        <is>
          <t>metadata_run.json</t>
        </is>
      </c>
      <c r="F544" s="61" t="inlineStr">
        <is>
          <t>Experimentos/runs/E8_v3_clean_20260401_050927/metadata_run.json</t>
        </is>
      </c>
      <c r="G544" s="61" t="inlineStr">
        <is>
          <t>Metadata base del run.</t>
        </is>
      </c>
    </row>
    <row r="545" ht="15" customHeight="1" s="27">
      <c r="A545" s="61" t="inlineStr">
        <is>
          <t>2026-04-01 06:56:47</t>
        </is>
      </c>
      <c r="B545" s="61" t="inlineStr">
        <is>
          <t>E9_smoke_tmp</t>
        </is>
      </c>
      <c r="C545" s="61" t="inlineStr">
        <is>
          <t>E9</t>
        </is>
      </c>
      <c r="D545" s="61" t="inlineStr">
        <is>
          <t>script_snapshot</t>
        </is>
      </c>
      <c r="E545" s="61" t="inlineStr">
        <is>
          <t>run_e9_stacking.py</t>
        </is>
      </c>
      <c r="F545" s="61" t="inlineStr">
        <is>
          <t>Experimentos/runs/E9_smoke_tmp_20260401_065645/scripts/run_e9_stacking.py</t>
        </is>
      </c>
      <c r="G545" s="61" t="inlineStr">
        <is>
          <t>Copia del script ejecutado para reproducibilidad.</t>
        </is>
      </c>
    </row>
    <row r="546" ht="15" customHeight="1" s="27">
      <c r="A546" s="61" t="inlineStr">
        <is>
          <t>2026-04-01 06:56:47</t>
        </is>
      </c>
      <c r="B546" s="61" t="inlineStr">
        <is>
          <t>E9_smoke_tmp</t>
        </is>
      </c>
      <c r="C546" s="61" t="inlineStr">
        <is>
          <t>E9</t>
        </is>
      </c>
      <c r="D546" s="61" t="inlineStr">
        <is>
          <t>parametros</t>
        </is>
      </c>
      <c r="E546" s="61" t="inlineStr">
        <is>
          <t>parametros_run.json</t>
        </is>
      </c>
      <c r="F546" s="61" t="inlineStr">
        <is>
          <t>Experimentos/runs/E9_smoke_tmp_20260401_065645/parametros_run.json</t>
        </is>
      </c>
      <c r="G546" s="61" t="inlineStr">
        <is>
          <t>Parametros del experimento.</t>
        </is>
      </c>
    </row>
    <row r="547" ht="15" customHeight="1" s="27">
      <c r="A547" s="61" t="inlineStr">
        <is>
          <t>2026-04-01 06:56:47</t>
        </is>
      </c>
      <c r="B547" s="61" t="inlineStr">
        <is>
          <t>E9_smoke_tmp</t>
        </is>
      </c>
      <c r="C547" s="61" t="inlineStr">
        <is>
          <t>E9</t>
        </is>
      </c>
      <c r="D547" s="61" t="inlineStr">
        <is>
          <t>predicciones</t>
        </is>
      </c>
      <c r="E547" s="61" t="inlineStr">
        <is>
          <t>predicciones_h1.csv</t>
        </is>
      </c>
      <c r="F547" s="61" t="inlineStr">
        <is>
          <t>Experimentos/runs/E9_smoke_tmp_20260401_065645/predicciones_h1.csv</t>
        </is>
      </c>
      <c r="G547" s="61" t="inlineStr">
        <is>
          <t>Predicciones OOF del meta-modelo de stacking sobre la base curada por horizonte. Incluye columnas base usadas por el meta-modelo.</t>
        </is>
      </c>
    </row>
    <row r="548" ht="15" customHeight="1" s="27">
      <c r="A548" s="61" t="inlineStr">
        <is>
          <t>2026-04-01 06:56:47</t>
        </is>
      </c>
      <c r="B548" s="61" t="inlineStr">
        <is>
          <t>E9_smoke_tmp</t>
        </is>
      </c>
      <c r="C548" s="61" t="inlineStr">
        <is>
          <t>E9</t>
        </is>
      </c>
      <c r="D548" s="61" t="inlineStr">
        <is>
          <t>stacking_features</t>
        </is>
      </c>
      <c r="E548" s="61" t="inlineStr">
        <is>
          <t>stacking_features_h1.csv</t>
        </is>
      </c>
      <c r="F548" s="61" t="inlineStr">
        <is>
          <t>Experimentos/runs/E9_smoke_tmp_20260401_065645/stacking_features_h1.csv</t>
        </is>
      </c>
      <c r="G548" s="61" t="inlineStr">
        <is>
          <t>Columnas base finales usadas por el meta-modelo en este horizonte.</t>
        </is>
      </c>
    </row>
    <row r="549" ht="15" customHeight="1" s="27">
      <c r="A549" s="61" t="inlineStr">
        <is>
          <t>2026-04-01 06:56:47</t>
        </is>
      </c>
      <c r="B549" s="61" t="inlineStr">
        <is>
          <t>E9_smoke_tmp</t>
        </is>
      </c>
      <c r="C549" s="61" t="inlineStr">
        <is>
          <t>E9</t>
        </is>
      </c>
      <c r="D549" s="61" t="inlineStr">
        <is>
          <t>resumen</t>
        </is>
      </c>
      <c r="E549" s="61" t="inlineStr">
        <is>
          <t>resumen_modeling_horizontes.json</t>
        </is>
      </c>
      <c r="F549" s="61" t="inlineStr">
        <is>
          <t>Experimentos/runs/E9_smoke_tmp_20260401_065645/resumen_modeling_horizontes.json</t>
        </is>
      </c>
      <c r="G549" s="61" t="inlineStr">
        <is>
          <t>Resumen de filas disponibles, filas evaluadas y columnas base por horizonte.</t>
        </is>
      </c>
    </row>
    <row r="550" ht="15" customHeight="1" s="27">
      <c r="A550" s="61" t="inlineStr">
        <is>
          <t>2026-04-01 06:56:47</t>
        </is>
      </c>
      <c r="B550" s="61" t="inlineStr">
        <is>
          <t>E9_smoke_tmp</t>
        </is>
      </c>
      <c r="C550" s="61" t="inlineStr">
        <is>
          <t>E9</t>
        </is>
      </c>
      <c r="D550" s="61" t="inlineStr">
        <is>
          <t>tuning</t>
        </is>
      </c>
      <c r="E550" s="61" t="inlineStr">
        <is>
          <t>alpha_tuning_horizontes.json</t>
        </is>
      </c>
      <c r="F550" s="61" t="inlineStr">
        <is>
          <t>Experimentos/runs/E9_smoke_tmp_20260401_065645/alpha_tuning_horizontes.json</t>
        </is>
      </c>
      <c r="G550" s="61" t="inlineStr">
        <is>
          <t>Traza de tuning temporal interno del meta-modelo por horizonte.</t>
        </is>
      </c>
    </row>
    <row r="551" ht="15" customHeight="1" s="27">
      <c r="A551" s="61" t="inlineStr">
        <is>
          <t>2026-04-01 06:56:47</t>
        </is>
      </c>
      <c r="B551" s="61" t="inlineStr">
        <is>
          <t>E9_smoke_tmp</t>
        </is>
      </c>
      <c r="C551" s="61" t="inlineStr">
        <is>
          <t>E9</t>
        </is>
      </c>
      <c r="D551" s="61" t="inlineStr">
        <is>
          <t>comparacion</t>
        </is>
      </c>
      <c r="E551" s="61" t="inlineStr">
        <is>
          <t>comparacion_bases_horizontes.json</t>
        </is>
      </c>
      <c r="F551" s="61" t="inlineStr">
        <is>
          <t>Experimentos/runs/E9_smoke_tmp_20260401_065645/comparacion_bases_horizontes.json</t>
        </is>
      </c>
      <c r="G551" s="61" t="inlineStr">
        <is>
          <t>Comparacion de E9 contra los modelos base sobre el mismo subset de evaluacion.</t>
        </is>
      </c>
    </row>
    <row r="552" ht="15" customHeight="1" s="27">
      <c r="A552" s="61" t="inlineStr">
        <is>
          <t>2026-04-01 06:56:47</t>
        </is>
      </c>
      <c r="B552" s="61" t="inlineStr">
        <is>
          <t>E9_smoke_tmp</t>
        </is>
      </c>
      <c r="C552" s="61" t="inlineStr">
        <is>
          <t>E9</t>
        </is>
      </c>
      <c r="D552" s="61" t="inlineStr">
        <is>
          <t>comparacion</t>
        </is>
      </c>
      <c r="E552" s="61" t="inlineStr">
        <is>
          <t>comparacion_vs_E1_v5_clean.json</t>
        </is>
      </c>
      <c r="F552" s="61" t="inlineStr">
        <is>
          <t>Experimentos/runs/E9_smoke_tmp_20260401_065645/comparacion_vs_E1_v5_clean.json</t>
        </is>
      </c>
      <c r="G552" s="61" t="inlineStr">
        <is>
          <t>Comparacion de la corrida clean contra E1_v5_clean.</t>
        </is>
      </c>
    </row>
    <row r="553" ht="15" customHeight="1" s="27">
      <c r="A553" s="61" t="inlineStr">
        <is>
          <t>2026-04-01 06:56:47</t>
        </is>
      </c>
      <c r="B553" s="61" t="inlineStr">
        <is>
          <t>E9_smoke_tmp</t>
        </is>
      </c>
      <c r="C553" s="61" t="inlineStr">
        <is>
          <t>E9</t>
        </is>
      </c>
      <c r="D553" s="61" t="inlineStr">
        <is>
          <t>comparacion</t>
        </is>
      </c>
      <c r="E553" s="61" t="inlineStr">
        <is>
          <t>comparacion_vs_E5_v4_clean.json</t>
        </is>
      </c>
      <c r="F553" s="61" t="inlineStr">
        <is>
          <t>Experimentos/runs/E9_smoke_tmp_20260401_065645/comparacion_vs_E5_v4_clean.json</t>
        </is>
      </c>
      <c r="G553" s="61" t="inlineStr">
        <is>
          <t>Comparacion de la corrida clean contra E5_v4_clean.</t>
        </is>
      </c>
    </row>
    <row r="554" ht="15" customHeight="1" s="27">
      <c r="A554" s="61" t="inlineStr">
        <is>
          <t>2026-04-01 06:56:47</t>
        </is>
      </c>
      <c r="B554" s="61" t="inlineStr">
        <is>
          <t>E9_smoke_tmp</t>
        </is>
      </c>
      <c r="C554" s="61" t="inlineStr">
        <is>
          <t>E9</t>
        </is>
      </c>
      <c r="D554" s="61" t="inlineStr">
        <is>
          <t>comparacion</t>
        </is>
      </c>
      <c r="E554" s="61" t="inlineStr">
        <is>
          <t>comparacion_vs_E3_v2_clean.json</t>
        </is>
      </c>
      <c r="F554" s="61" t="inlineStr">
        <is>
          <t>Experimentos/runs/E9_smoke_tmp_20260401_065645/comparacion_vs_E3_v2_clean.json</t>
        </is>
      </c>
      <c r="G554" s="61" t="inlineStr">
        <is>
          <t>Comparacion de la corrida clean contra E3_v2_clean.</t>
        </is>
      </c>
    </row>
    <row r="555" ht="15" customHeight="1" s="27">
      <c r="A555" s="61" t="inlineStr">
        <is>
          <t>2026-04-01 06:56:47</t>
        </is>
      </c>
      <c r="B555" s="61" t="inlineStr">
        <is>
          <t>E9_smoke_tmp</t>
        </is>
      </c>
      <c r="C555" s="61" t="inlineStr">
        <is>
          <t>E9</t>
        </is>
      </c>
      <c r="D555" s="61" t="inlineStr">
        <is>
          <t>comparacion</t>
        </is>
      </c>
      <c r="E555" s="61" t="inlineStr">
        <is>
          <t>comparacion_vs_E2_v3_clean.json</t>
        </is>
      </c>
      <c r="F555" s="61" t="inlineStr">
        <is>
          <t>Experimentos/runs/E9_smoke_tmp_20260401_065645/comparacion_vs_E2_v3_clean.json</t>
        </is>
      </c>
      <c r="G555" s="61" t="inlineStr">
        <is>
          <t>Comparacion de la corrida clean contra E2_v3_clean.</t>
        </is>
      </c>
    </row>
    <row r="556" ht="15" customHeight="1" s="27">
      <c r="A556" s="61" t="inlineStr">
        <is>
          <t>2026-04-01 06:56:47</t>
        </is>
      </c>
      <c r="B556" s="61" t="inlineStr">
        <is>
          <t>E9_smoke_tmp</t>
        </is>
      </c>
      <c r="C556" s="61" t="inlineStr">
        <is>
          <t>E9</t>
        </is>
      </c>
      <c r="D556" s="61" t="inlineStr">
        <is>
          <t>comparacion</t>
        </is>
      </c>
      <c r="E556" s="61" t="inlineStr">
        <is>
          <t>comparacion_vs_E7_v3_clean.json</t>
        </is>
      </c>
      <c r="F556" s="61" t="inlineStr">
        <is>
          <t>Experimentos/runs/E9_smoke_tmp_20260401_065645/comparacion_vs_E7_v3_clean.json</t>
        </is>
      </c>
      <c r="G556" s="61" t="inlineStr">
        <is>
          <t>Comparacion de la corrida clean contra E7_v3_clean.</t>
        </is>
      </c>
    </row>
    <row r="557" ht="15" customHeight="1" s="27">
      <c r="A557" s="61" t="inlineStr">
        <is>
          <t>2026-04-01 06:56:47</t>
        </is>
      </c>
      <c r="B557" s="61" t="inlineStr">
        <is>
          <t>E9_smoke_tmp</t>
        </is>
      </c>
      <c r="C557" s="61" t="inlineStr">
        <is>
          <t>E9</t>
        </is>
      </c>
      <c r="D557" s="61" t="inlineStr">
        <is>
          <t>metricas</t>
        </is>
      </c>
      <c r="E557" s="61" t="inlineStr">
        <is>
          <t>metricas_horizonte.json</t>
        </is>
      </c>
      <c r="F557" s="61" t="inlineStr">
        <is>
          <t>Experimentos/runs/E9_smoke_tmp_20260401_065645/metricas_horizonte.json</t>
        </is>
      </c>
      <c r="G557" s="61" t="inlineStr">
        <is>
          <t>Resumen estructurado por horizonte.</t>
        </is>
      </c>
    </row>
    <row r="558" ht="15" customHeight="1" s="27">
      <c r="A558" s="61" t="inlineStr">
        <is>
          <t>2026-04-01 06:56:47</t>
        </is>
      </c>
      <c r="B558" s="61" t="inlineStr">
        <is>
          <t>E9_smoke_tmp</t>
        </is>
      </c>
      <c r="C558" s="61" t="inlineStr">
        <is>
          <t>E9</t>
        </is>
      </c>
      <c r="D558" s="61" t="inlineStr">
        <is>
          <t>metadata</t>
        </is>
      </c>
      <c r="E558" s="61" t="inlineStr">
        <is>
          <t>metadata_run.json</t>
        </is>
      </c>
      <c r="F558" s="61" t="inlineStr">
        <is>
          <t>Experimentos/runs/E9_smoke_tmp_20260401_065645/metadata_run.json</t>
        </is>
      </c>
      <c r="G558" s="61" t="inlineStr">
        <is>
          <t>Metadata base del run.</t>
        </is>
      </c>
    </row>
    <row r="559" ht="15" customHeight="1" s="27">
      <c r="A559" s="61" t="inlineStr">
        <is>
          <t>2026-04-01 06:58:09</t>
        </is>
      </c>
      <c r="B559" s="61" t="inlineStr">
        <is>
          <t>E9_v1_clean</t>
        </is>
      </c>
      <c r="C559" s="61" t="inlineStr">
        <is>
          <t>E9</t>
        </is>
      </c>
      <c r="D559" s="61" t="inlineStr">
        <is>
          <t>script_snapshot</t>
        </is>
      </c>
      <c r="E559" s="61" t="inlineStr">
        <is>
          <t>run_e9_stacking.py</t>
        </is>
      </c>
      <c r="F559" s="61" t="inlineStr">
        <is>
          <t>Experimentos/runs/E9_v1_clean_20260401_065743/scripts/run_e9_stacking.py</t>
        </is>
      </c>
      <c r="G559" s="61" t="inlineStr">
        <is>
          <t>Copia del script ejecutado para reproducibilidad.</t>
        </is>
      </c>
    </row>
    <row r="560" ht="15" customHeight="1" s="27">
      <c r="A560" s="61" t="inlineStr">
        <is>
          <t>2026-04-01 06:58:09</t>
        </is>
      </c>
      <c r="B560" s="61" t="inlineStr">
        <is>
          <t>E9_v1_clean</t>
        </is>
      </c>
      <c r="C560" s="61" t="inlineStr">
        <is>
          <t>E9</t>
        </is>
      </c>
      <c r="D560" s="61" t="inlineStr">
        <is>
          <t>parametros</t>
        </is>
      </c>
      <c r="E560" s="61" t="inlineStr">
        <is>
          <t>parametros_run.json</t>
        </is>
      </c>
      <c r="F560" s="61" t="inlineStr">
        <is>
          <t>Experimentos/runs/E9_v1_clean_20260401_065743/parametros_run.json</t>
        </is>
      </c>
      <c r="G560" s="61" t="inlineStr">
        <is>
          <t>Parametros del experimento.</t>
        </is>
      </c>
    </row>
    <row r="561" ht="15" customHeight="1" s="27">
      <c r="A561" s="61" t="inlineStr">
        <is>
          <t>2026-04-01 06:58:09</t>
        </is>
      </c>
      <c r="B561" s="61" t="inlineStr">
        <is>
          <t>E9_v1_clean</t>
        </is>
      </c>
      <c r="C561" s="61" t="inlineStr">
        <is>
          <t>E9</t>
        </is>
      </c>
      <c r="D561" s="61" t="inlineStr">
        <is>
          <t>predicciones</t>
        </is>
      </c>
      <c r="E561" s="61" t="inlineStr">
        <is>
          <t>predicciones_h1.csv</t>
        </is>
      </c>
      <c r="F561" s="61" t="inlineStr">
        <is>
          <t>Experimentos/runs/E9_v1_clean_20260401_065743/predicciones_h1.csv</t>
        </is>
      </c>
      <c r="G561" s="61" t="inlineStr">
        <is>
          <t>Predicciones OOF del meta-modelo de stacking sobre la base curada por horizonte. Incluye columnas base usadas por el meta-modelo.</t>
        </is>
      </c>
    </row>
    <row r="562" ht="15" customHeight="1" s="27">
      <c r="A562" s="61" t="inlineStr">
        <is>
          <t>2026-04-01 06:58:09</t>
        </is>
      </c>
      <c r="B562" s="61" t="inlineStr">
        <is>
          <t>E9_v1_clean</t>
        </is>
      </c>
      <c r="C562" s="61" t="inlineStr">
        <is>
          <t>E9</t>
        </is>
      </c>
      <c r="D562" s="61" t="inlineStr">
        <is>
          <t>stacking_features</t>
        </is>
      </c>
      <c r="E562" s="61" t="inlineStr">
        <is>
          <t>stacking_features_h1.csv</t>
        </is>
      </c>
      <c r="F562" s="61" t="inlineStr">
        <is>
          <t>Experimentos/runs/E9_v1_clean_20260401_065743/stacking_features_h1.csv</t>
        </is>
      </c>
      <c r="G562" s="61" t="inlineStr">
        <is>
          <t>Columnas base finales usadas por el meta-modelo en este horizonte.</t>
        </is>
      </c>
    </row>
    <row r="563" ht="15" customHeight="1" s="27">
      <c r="A563" s="61" t="inlineStr">
        <is>
          <t>2026-04-01 06:58:09</t>
        </is>
      </c>
      <c r="B563" s="61" t="inlineStr">
        <is>
          <t>E9_v1_clean</t>
        </is>
      </c>
      <c r="C563" s="61" t="inlineStr">
        <is>
          <t>E9</t>
        </is>
      </c>
      <c r="D563" s="61" t="inlineStr">
        <is>
          <t>predicciones</t>
        </is>
      </c>
      <c r="E563" s="61" t="inlineStr">
        <is>
          <t>predicciones_h2.csv</t>
        </is>
      </c>
      <c r="F563" s="61" t="inlineStr">
        <is>
          <t>Experimentos/runs/E9_v1_clean_20260401_065743/predicciones_h2.csv</t>
        </is>
      </c>
      <c r="G563" s="61" t="inlineStr">
        <is>
          <t>Predicciones OOF del meta-modelo de stacking sobre la base curada por horizonte. Incluye columnas base usadas por el meta-modelo.</t>
        </is>
      </c>
    </row>
    <row r="564" ht="15" customHeight="1" s="27">
      <c r="A564" s="61" t="inlineStr">
        <is>
          <t>2026-04-01 06:58:09</t>
        </is>
      </c>
      <c r="B564" s="61" t="inlineStr">
        <is>
          <t>E9_v1_clean</t>
        </is>
      </c>
      <c r="C564" s="61" t="inlineStr">
        <is>
          <t>E9</t>
        </is>
      </c>
      <c r="D564" s="61" t="inlineStr">
        <is>
          <t>stacking_features</t>
        </is>
      </c>
      <c r="E564" s="61" t="inlineStr">
        <is>
          <t>stacking_features_h2.csv</t>
        </is>
      </c>
      <c r="F564" s="61" t="inlineStr">
        <is>
          <t>Experimentos/runs/E9_v1_clean_20260401_065743/stacking_features_h2.csv</t>
        </is>
      </c>
      <c r="G564" s="61" t="inlineStr">
        <is>
          <t>Columnas base finales usadas por el meta-modelo en este horizonte.</t>
        </is>
      </c>
    </row>
    <row r="565" ht="15" customHeight="1" s="27">
      <c r="A565" s="61" t="inlineStr">
        <is>
          <t>2026-04-01 06:58:09</t>
        </is>
      </c>
      <c r="B565" s="61" t="inlineStr">
        <is>
          <t>E9_v1_clean</t>
        </is>
      </c>
      <c r="C565" s="61" t="inlineStr">
        <is>
          <t>E9</t>
        </is>
      </c>
      <c r="D565" s="61" t="inlineStr">
        <is>
          <t>predicciones</t>
        </is>
      </c>
      <c r="E565" s="61" t="inlineStr">
        <is>
          <t>predicciones_h3.csv</t>
        </is>
      </c>
      <c r="F565" s="61" t="inlineStr">
        <is>
          <t>Experimentos/runs/E9_v1_clean_20260401_065743/predicciones_h3.csv</t>
        </is>
      </c>
      <c r="G565" s="61" t="inlineStr">
        <is>
          <t>Predicciones OOF del meta-modelo de stacking sobre la base curada por horizonte. Incluye columnas base usadas por el meta-modelo.</t>
        </is>
      </c>
    </row>
    <row r="566" ht="15" customHeight="1" s="27">
      <c r="A566" s="61" t="inlineStr">
        <is>
          <t>2026-04-01 06:58:09</t>
        </is>
      </c>
      <c r="B566" s="61" t="inlineStr">
        <is>
          <t>E9_v1_clean</t>
        </is>
      </c>
      <c r="C566" s="61" t="inlineStr">
        <is>
          <t>E9</t>
        </is>
      </c>
      <c r="D566" s="61" t="inlineStr">
        <is>
          <t>stacking_features</t>
        </is>
      </c>
      <c r="E566" s="61" t="inlineStr">
        <is>
          <t>stacking_features_h3.csv</t>
        </is>
      </c>
      <c r="F566" s="61" t="inlineStr">
        <is>
          <t>Experimentos/runs/E9_v1_clean_20260401_065743/stacking_features_h3.csv</t>
        </is>
      </c>
      <c r="G566" s="61" t="inlineStr">
        <is>
          <t>Columnas base finales usadas por el meta-modelo en este horizonte.</t>
        </is>
      </c>
    </row>
    <row r="567" ht="15" customHeight="1" s="27">
      <c r="A567" s="61" t="inlineStr">
        <is>
          <t>2026-04-01 06:58:09</t>
        </is>
      </c>
      <c r="B567" s="61" t="inlineStr">
        <is>
          <t>E9_v1_clean</t>
        </is>
      </c>
      <c r="C567" s="61" t="inlineStr">
        <is>
          <t>E9</t>
        </is>
      </c>
      <c r="D567" s="61" t="inlineStr">
        <is>
          <t>predicciones</t>
        </is>
      </c>
      <c r="E567" s="61" t="inlineStr">
        <is>
          <t>predicciones_h4.csv</t>
        </is>
      </c>
      <c r="F567" s="61" t="inlineStr">
        <is>
          <t>Experimentos/runs/E9_v1_clean_20260401_065743/predicciones_h4.csv</t>
        </is>
      </c>
      <c r="G567" s="61" t="inlineStr">
        <is>
          <t>Predicciones OOF del meta-modelo de stacking sobre la base curada por horizonte. Incluye columnas base usadas por el meta-modelo.</t>
        </is>
      </c>
    </row>
    <row r="568" ht="15" customHeight="1" s="27">
      <c r="A568" s="61" t="inlineStr">
        <is>
          <t>2026-04-01 06:58:09</t>
        </is>
      </c>
      <c r="B568" s="61" t="inlineStr">
        <is>
          <t>E9_v1_clean</t>
        </is>
      </c>
      <c r="C568" s="61" t="inlineStr">
        <is>
          <t>E9</t>
        </is>
      </c>
      <c r="D568" s="61" t="inlineStr">
        <is>
          <t>stacking_features</t>
        </is>
      </c>
      <c r="E568" s="61" t="inlineStr">
        <is>
          <t>stacking_features_h4.csv</t>
        </is>
      </c>
      <c r="F568" s="61" t="inlineStr">
        <is>
          <t>Experimentos/runs/E9_v1_clean_20260401_065743/stacking_features_h4.csv</t>
        </is>
      </c>
      <c r="G568" s="61" t="inlineStr">
        <is>
          <t>Columnas base finales usadas por el meta-modelo en este horizonte.</t>
        </is>
      </c>
    </row>
    <row r="569" ht="15" customHeight="1" s="27">
      <c r="A569" s="61" t="inlineStr">
        <is>
          <t>2026-04-01 06:58:09</t>
        </is>
      </c>
      <c r="B569" s="61" t="inlineStr">
        <is>
          <t>E9_v1_clean</t>
        </is>
      </c>
      <c r="C569" s="61" t="inlineStr">
        <is>
          <t>E9</t>
        </is>
      </c>
      <c r="D569" s="61" t="inlineStr">
        <is>
          <t>resumen</t>
        </is>
      </c>
      <c r="E569" s="61" t="inlineStr">
        <is>
          <t>resumen_modeling_horizontes.json</t>
        </is>
      </c>
      <c r="F569" s="61" t="inlineStr">
        <is>
          <t>Experimentos/runs/E9_v1_clean_20260401_065743/resumen_modeling_horizontes.json</t>
        </is>
      </c>
      <c r="G569" s="61" t="inlineStr">
        <is>
          <t>Resumen de filas disponibles, filas evaluadas y columnas base por horizonte.</t>
        </is>
      </c>
    </row>
    <row r="570" ht="15" customHeight="1" s="27">
      <c r="A570" s="61" t="inlineStr">
        <is>
          <t>2026-04-01 06:58:09</t>
        </is>
      </c>
      <c r="B570" s="61" t="inlineStr">
        <is>
          <t>E9_v1_clean</t>
        </is>
      </c>
      <c r="C570" s="61" t="inlineStr">
        <is>
          <t>E9</t>
        </is>
      </c>
      <c r="D570" s="61" t="inlineStr">
        <is>
          <t>tuning</t>
        </is>
      </c>
      <c r="E570" s="61" t="inlineStr">
        <is>
          <t>alpha_tuning_horizontes.json</t>
        </is>
      </c>
      <c r="F570" s="61" t="inlineStr">
        <is>
          <t>Experimentos/runs/E9_v1_clean_20260401_065743/alpha_tuning_horizontes.json</t>
        </is>
      </c>
      <c r="G570" s="61" t="inlineStr">
        <is>
          <t>Traza de tuning temporal interno del meta-modelo por horizonte.</t>
        </is>
      </c>
    </row>
    <row r="571" ht="15" customHeight="1" s="27">
      <c r="A571" s="61" t="inlineStr">
        <is>
          <t>2026-04-01 06:58:09</t>
        </is>
      </c>
      <c r="B571" s="61" t="inlineStr">
        <is>
          <t>E9_v1_clean</t>
        </is>
      </c>
      <c r="C571" s="61" t="inlineStr">
        <is>
          <t>E9</t>
        </is>
      </c>
      <c r="D571" s="61" t="inlineStr">
        <is>
          <t>comparacion</t>
        </is>
      </c>
      <c r="E571" s="61" t="inlineStr">
        <is>
          <t>comparacion_bases_horizontes.json</t>
        </is>
      </c>
      <c r="F571" s="61" t="inlineStr">
        <is>
          <t>Experimentos/runs/E9_v1_clean_20260401_065743/comparacion_bases_horizontes.json</t>
        </is>
      </c>
      <c r="G571" s="61" t="inlineStr">
        <is>
          <t>Comparacion de E9 contra los modelos base sobre el mismo subset de evaluacion.</t>
        </is>
      </c>
    </row>
    <row r="572" ht="15" customHeight="1" s="27">
      <c r="A572" s="61" t="inlineStr">
        <is>
          <t>2026-04-01 06:58:09</t>
        </is>
      </c>
      <c r="B572" s="61" t="inlineStr">
        <is>
          <t>E9_v1_clean</t>
        </is>
      </c>
      <c r="C572" s="61" t="inlineStr">
        <is>
          <t>E9</t>
        </is>
      </c>
      <c r="D572" s="61" t="inlineStr">
        <is>
          <t>comparacion</t>
        </is>
      </c>
      <c r="E572" s="61" t="inlineStr">
        <is>
          <t>comparacion_vs_E1_v5_clean.json</t>
        </is>
      </c>
      <c r="F572" s="61" t="inlineStr">
        <is>
          <t>Experimentos/runs/E9_v1_clean_20260401_065743/comparacion_vs_E1_v5_clean.json</t>
        </is>
      </c>
      <c r="G572" s="61" t="inlineStr">
        <is>
          <t>Comparacion de la corrida clean contra E1_v5_clean.</t>
        </is>
      </c>
    </row>
    <row r="573" ht="15" customHeight="1" s="27">
      <c r="A573" s="61" t="inlineStr">
        <is>
          <t>2026-04-01 06:58:09</t>
        </is>
      </c>
      <c r="B573" s="61" t="inlineStr">
        <is>
          <t>E9_v1_clean</t>
        </is>
      </c>
      <c r="C573" s="61" t="inlineStr">
        <is>
          <t>E9</t>
        </is>
      </c>
      <c r="D573" s="61" t="inlineStr">
        <is>
          <t>comparacion</t>
        </is>
      </c>
      <c r="E573" s="61" t="inlineStr">
        <is>
          <t>comparacion_vs_E5_v4_clean.json</t>
        </is>
      </c>
      <c r="F573" s="61" t="inlineStr">
        <is>
          <t>Experimentos/runs/E9_v1_clean_20260401_065743/comparacion_vs_E5_v4_clean.json</t>
        </is>
      </c>
      <c r="G573" s="61" t="inlineStr">
        <is>
          <t>Comparacion de la corrida clean contra E5_v4_clean.</t>
        </is>
      </c>
    </row>
    <row r="574" ht="15" customHeight="1" s="27">
      <c r="A574" s="61" t="inlineStr">
        <is>
          <t>2026-04-01 06:58:09</t>
        </is>
      </c>
      <c r="B574" s="61" t="inlineStr">
        <is>
          <t>E9_v1_clean</t>
        </is>
      </c>
      <c r="C574" s="61" t="inlineStr">
        <is>
          <t>E9</t>
        </is>
      </c>
      <c r="D574" s="61" t="inlineStr">
        <is>
          <t>comparacion</t>
        </is>
      </c>
      <c r="E574" s="61" t="inlineStr">
        <is>
          <t>comparacion_vs_E3_v2_clean.json</t>
        </is>
      </c>
      <c r="F574" s="61" t="inlineStr">
        <is>
          <t>Experimentos/runs/E9_v1_clean_20260401_065743/comparacion_vs_E3_v2_clean.json</t>
        </is>
      </c>
      <c r="G574" s="61" t="inlineStr">
        <is>
          <t>Comparacion de la corrida clean contra E3_v2_clean.</t>
        </is>
      </c>
    </row>
    <row r="575" ht="15" customHeight="1" s="27">
      <c r="A575" s="61" t="inlineStr">
        <is>
          <t>2026-04-01 06:58:09</t>
        </is>
      </c>
      <c r="B575" s="61" t="inlineStr">
        <is>
          <t>E9_v1_clean</t>
        </is>
      </c>
      <c r="C575" s="61" t="inlineStr">
        <is>
          <t>E9</t>
        </is>
      </c>
      <c r="D575" s="61" t="inlineStr">
        <is>
          <t>comparacion</t>
        </is>
      </c>
      <c r="E575" s="61" t="inlineStr">
        <is>
          <t>comparacion_vs_E2_v3_clean.json</t>
        </is>
      </c>
      <c r="F575" s="61" t="inlineStr">
        <is>
          <t>Experimentos/runs/E9_v1_clean_20260401_065743/comparacion_vs_E2_v3_clean.json</t>
        </is>
      </c>
      <c r="G575" s="61" t="inlineStr">
        <is>
          <t>Comparacion de la corrida clean contra E2_v3_clean.</t>
        </is>
      </c>
    </row>
    <row r="576" ht="15" customHeight="1" s="27">
      <c r="A576" s="61" t="inlineStr">
        <is>
          <t>2026-04-01 06:58:09</t>
        </is>
      </c>
      <c r="B576" s="61" t="inlineStr">
        <is>
          <t>E9_v1_clean</t>
        </is>
      </c>
      <c r="C576" s="61" t="inlineStr">
        <is>
          <t>E9</t>
        </is>
      </c>
      <c r="D576" s="61" t="inlineStr">
        <is>
          <t>comparacion</t>
        </is>
      </c>
      <c r="E576" s="61" t="inlineStr">
        <is>
          <t>comparacion_vs_E7_v3_clean.json</t>
        </is>
      </c>
      <c r="F576" s="61" t="inlineStr">
        <is>
          <t>Experimentos/runs/E9_v1_clean_20260401_065743/comparacion_vs_E7_v3_clean.json</t>
        </is>
      </c>
      <c r="G576" s="61" t="inlineStr">
        <is>
          <t>Comparacion de la corrida clean contra E7_v3_clean.</t>
        </is>
      </c>
    </row>
    <row r="577" ht="15" customHeight="1" s="27">
      <c r="A577" s="61" t="inlineStr">
        <is>
          <t>2026-04-01 06:58:09</t>
        </is>
      </c>
      <c r="B577" s="61" t="inlineStr">
        <is>
          <t>E9_v1_clean</t>
        </is>
      </c>
      <c r="C577" s="61" t="inlineStr">
        <is>
          <t>E9</t>
        </is>
      </c>
      <c r="D577" s="61" t="inlineStr">
        <is>
          <t>metricas</t>
        </is>
      </c>
      <c r="E577" s="61" t="inlineStr">
        <is>
          <t>metricas_horizonte.json</t>
        </is>
      </c>
      <c r="F577" s="61" t="inlineStr">
        <is>
          <t>Experimentos/runs/E9_v1_clean_20260401_065743/metricas_horizonte.json</t>
        </is>
      </c>
      <c r="G577" s="61" t="inlineStr">
        <is>
          <t>Resumen estructurado por horizonte.</t>
        </is>
      </c>
    </row>
    <row r="578" ht="15" customHeight="1" s="27">
      <c r="A578" s="61" t="inlineStr">
        <is>
          <t>2026-04-01 06:58:09</t>
        </is>
      </c>
      <c r="B578" s="61" t="inlineStr">
        <is>
          <t>E9_v1_clean</t>
        </is>
      </c>
      <c r="C578" s="61" t="inlineStr">
        <is>
          <t>E9</t>
        </is>
      </c>
      <c r="D578" s="61" t="inlineStr">
        <is>
          <t>metadata</t>
        </is>
      </c>
      <c r="E578" s="61" t="inlineStr">
        <is>
          <t>metadata_run.json</t>
        </is>
      </c>
      <c r="F578" s="61" t="inlineStr">
        <is>
          <t>Experimentos/runs/E9_v1_clean_20260401_065743/metadata_run.json</t>
        </is>
      </c>
      <c r="G578" s="61" t="inlineStr">
        <is>
          <t>Metadata base del run.</t>
        </is>
      </c>
    </row>
    <row r="579" ht="15" customHeight="1" s="27">
      <c r="A579" s="61" t="inlineStr">
        <is>
          <t>2026-04-01 07:04:33</t>
        </is>
      </c>
      <c r="B579" s="61" t="inlineStr">
        <is>
          <t>E9_v2_clean</t>
        </is>
      </c>
      <c r="C579" s="61" t="inlineStr">
        <is>
          <t>E9</t>
        </is>
      </c>
      <c r="D579" s="61" t="inlineStr">
        <is>
          <t>script_snapshot</t>
        </is>
      </c>
      <c r="E579" s="61" t="inlineStr">
        <is>
          <t>run_e9_stacking.py</t>
        </is>
      </c>
      <c r="F579" s="61" t="inlineStr">
        <is>
          <t>Experimentos/runs/E9_v2_clean_20260401_070431/scripts/run_e9_stacking.py</t>
        </is>
      </c>
      <c r="G579" s="61" t="inlineStr">
        <is>
          <t>Copia del script ejecutado para reproducibilidad.</t>
        </is>
      </c>
    </row>
    <row r="580" ht="15" customHeight="1" s="27">
      <c r="A580" s="61" t="inlineStr">
        <is>
          <t>2026-04-01 07:04:33</t>
        </is>
      </c>
      <c r="B580" s="61" t="inlineStr">
        <is>
          <t>E9_v2_clean</t>
        </is>
      </c>
      <c r="C580" s="61" t="inlineStr">
        <is>
          <t>E9</t>
        </is>
      </c>
      <c r="D580" s="61" t="inlineStr">
        <is>
          <t>parametros</t>
        </is>
      </c>
      <c r="E580" s="61" t="inlineStr">
        <is>
          <t>parametros_run.json</t>
        </is>
      </c>
      <c r="F580" s="61" t="inlineStr">
        <is>
          <t>Experimentos/runs/E9_v2_clean_20260401_070431/parametros_run.json</t>
        </is>
      </c>
      <c r="G580" s="61" t="inlineStr">
        <is>
          <t>Parametros del experimento.</t>
        </is>
      </c>
    </row>
    <row r="581" ht="15" customHeight="1" s="27">
      <c r="A581" s="61" t="inlineStr">
        <is>
          <t>2026-04-01 07:04:33</t>
        </is>
      </c>
      <c r="B581" s="61" t="inlineStr">
        <is>
          <t>E9_v2_clean</t>
        </is>
      </c>
      <c r="C581" s="61" t="inlineStr">
        <is>
          <t>E9</t>
        </is>
      </c>
      <c r="D581" s="61" t="inlineStr">
        <is>
          <t>predicciones</t>
        </is>
      </c>
      <c r="E581" s="61" t="inlineStr">
        <is>
          <t>predicciones_h1.csv</t>
        </is>
      </c>
      <c r="F581" s="61" t="inlineStr">
        <is>
          <t>Experimentos/runs/E9_v2_clean_20260401_070431/predicciones_h1.csv</t>
        </is>
      </c>
      <c r="G581" s="61" t="inlineStr">
        <is>
          <t>Predicciones OOF del meta-modelo de stacking sobre la base curada por horizonte. Incluye columnas base usadas por el meta-modelo.</t>
        </is>
      </c>
    </row>
    <row r="582" ht="15" customHeight="1" s="27">
      <c r="A582" s="61" t="inlineStr">
        <is>
          <t>2026-04-01 07:04:33</t>
        </is>
      </c>
      <c r="B582" s="61" t="inlineStr">
        <is>
          <t>E9_v2_clean</t>
        </is>
      </c>
      <c r="C582" s="61" t="inlineStr">
        <is>
          <t>E9</t>
        </is>
      </c>
      <c r="D582" s="61" t="inlineStr">
        <is>
          <t>stacking_features</t>
        </is>
      </c>
      <c r="E582" s="61" t="inlineStr">
        <is>
          <t>stacking_features_h1.csv</t>
        </is>
      </c>
      <c r="F582" s="61" t="inlineStr">
        <is>
          <t>Experimentos/runs/E9_v2_clean_20260401_070431/stacking_features_h1.csv</t>
        </is>
      </c>
      <c r="G582" s="61" t="inlineStr">
        <is>
          <t>Columnas base finales usadas por el meta-modelo en este horizonte.</t>
        </is>
      </c>
    </row>
    <row r="583" ht="15" customHeight="1" s="27">
      <c r="A583" s="61" t="inlineStr">
        <is>
          <t>2026-04-01 07:04:33</t>
        </is>
      </c>
      <c r="B583" s="61" t="inlineStr">
        <is>
          <t>E9_v2_clean</t>
        </is>
      </c>
      <c r="C583" s="61" t="inlineStr">
        <is>
          <t>E9</t>
        </is>
      </c>
      <c r="D583" s="61" t="inlineStr">
        <is>
          <t>predicciones</t>
        </is>
      </c>
      <c r="E583" s="61" t="inlineStr">
        <is>
          <t>predicciones_h2.csv</t>
        </is>
      </c>
      <c r="F583" s="61" t="inlineStr">
        <is>
          <t>Experimentos/runs/E9_v2_clean_20260401_070431/predicciones_h2.csv</t>
        </is>
      </c>
      <c r="G583" s="61" t="inlineStr">
        <is>
          <t>Predicciones OOF del meta-modelo de stacking sobre la base curada por horizonte. Incluye columnas base usadas por el meta-modelo.</t>
        </is>
      </c>
    </row>
    <row r="584" ht="15" customHeight="1" s="27">
      <c r="A584" s="61" t="inlineStr">
        <is>
          <t>2026-04-01 07:04:33</t>
        </is>
      </c>
      <c r="B584" s="61" t="inlineStr">
        <is>
          <t>E9_v2_clean</t>
        </is>
      </c>
      <c r="C584" s="61" t="inlineStr">
        <is>
          <t>E9</t>
        </is>
      </c>
      <c r="D584" s="61" t="inlineStr">
        <is>
          <t>stacking_features</t>
        </is>
      </c>
      <c r="E584" s="61" t="inlineStr">
        <is>
          <t>stacking_features_h2.csv</t>
        </is>
      </c>
      <c r="F584" s="61" t="inlineStr">
        <is>
          <t>Experimentos/runs/E9_v2_clean_20260401_070431/stacking_features_h2.csv</t>
        </is>
      </c>
      <c r="G584" s="61" t="inlineStr">
        <is>
          <t>Columnas base finales usadas por el meta-modelo en este horizonte.</t>
        </is>
      </c>
    </row>
    <row r="585" ht="15" customHeight="1" s="27">
      <c r="A585" s="61" t="inlineStr">
        <is>
          <t>2026-04-01 07:04:33</t>
        </is>
      </c>
      <c r="B585" s="61" t="inlineStr">
        <is>
          <t>E9_v2_clean</t>
        </is>
      </c>
      <c r="C585" s="61" t="inlineStr">
        <is>
          <t>E9</t>
        </is>
      </c>
      <c r="D585" s="61" t="inlineStr">
        <is>
          <t>predicciones</t>
        </is>
      </c>
      <c r="E585" s="61" t="inlineStr">
        <is>
          <t>predicciones_h3.csv</t>
        </is>
      </c>
      <c r="F585" s="61" t="inlineStr">
        <is>
          <t>Experimentos/runs/E9_v2_clean_20260401_070431/predicciones_h3.csv</t>
        </is>
      </c>
      <c r="G585" s="61" t="inlineStr">
        <is>
          <t>Predicciones OOF del meta-modelo de stacking sobre la base curada por horizonte. Incluye columnas base usadas por el meta-modelo.</t>
        </is>
      </c>
    </row>
    <row r="586" ht="15" customHeight="1" s="27">
      <c r="A586" s="61" t="inlineStr">
        <is>
          <t>2026-04-01 07:04:33</t>
        </is>
      </c>
      <c r="B586" s="61" t="inlineStr">
        <is>
          <t>E9_v2_clean</t>
        </is>
      </c>
      <c r="C586" s="61" t="inlineStr">
        <is>
          <t>E9</t>
        </is>
      </c>
      <c r="D586" s="61" t="inlineStr">
        <is>
          <t>stacking_features</t>
        </is>
      </c>
      <c r="E586" s="61" t="inlineStr">
        <is>
          <t>stacking_features_h3.csv</t>
        </is>
      </c>
      <c r="F586" s="61" t="inlineStr">
        <is>
          <t>Experimentos/runs/E9_v2_clean_20260401_070431/stacking_features_h3.csv</t>
        </is>
      </c>
      <c r="G586" s="61" t="inlineStr">
        <is>
          <t>Columnas base finales usadas por el meta-modelo en este horizonte.</t>
        </is>
      </c>
    </row>
    <row r="587" ht="15" customHeight="1" s="27">
      <c r="A587" s="61" t="inlineStr">
        <is>
          <t>2026-04-01 07:04:33</t>
        </is>
      </c>
      <c r="B587" s="61" t="inlineStr">
        <is>
          <t>E9_v2_clean</t>
        </is>
      </c>
      <c r="C587" s="61" t="inlineStr">
        <is>
          <t>E9</t>
        </is>
      </c>
      <c r="D587" s="61" t="inlineStr">
        <is>
          <t>predicciones</t>
        </is>
      </c>
      <c r="E587" s="61" t="inlineStr">
        <is>
          <t>predicciones_h4.csv</t>
        </is>
      </c>
      <c r="F587" s="61" t="inlineStr">
        <is>
          <t>Experimentos/runs/E9_v2_clean_20260401_070431/predicciones_h4.csv</t>
        </is>
      </c>
      <c r="G587" s="61" t="inlineStr">
        <is>
          <t>Predicciones OOF del meta-modelo de stacking sobre la base curada por horizonte. Incluye columnas base usadas por el meta-modelo.</t>
        </is>
      </c>
    </row>
    <row r="588" ht="15" customHeight="1" s="27">
      <c r="A588" s="61" t="inlineStr">
        <is>
          <t>2026-04-01 07:04:33</t>
        </is>
      </c>
      <c r="B588" s="61" t="inlineStr">
        <is>
          <t>E9_v2_clean</t>
        </is>
      </c>
      <c r="C588" s="61" t="inlineStr">
        <is>
          <t>E9</t>
        </is>
      </c>
      <c r="D588" s="61" t="inlineStr">
        <is>
          <t>stacking_features</t>
        </is>
      </c>
      <c r="E588" s="61" t="inlineStr">
        <is>
          <t>stacking_features_h4.csv</t>
        </is>
      </c>
      <c r="F588" s="61" t="inlineStr">
        <is>
          <t>Experimentos/runs/E9_v2_clean_20260401_070431/stacking_features_h4.csv</t>
        </is>
      </c>
      <c r="G588" s="61" t="inlineStr">
        <is>
          <t>Columnas base finales usadas por el meta-modelo en este horizonte.</t>
        </is>
      </c>
    </row>
    <row r="589" ht="15" customHeight="1" s="27">
      <c r="A589" s="61" t="inlineStr">
        <is>
          <t>2026-04-01 07:04:33</t>
        </is>
      </c>
      <c r="B589" s="61" t="inlineStr">
        <is>
          <t>E9_v2_clean</t>
        </is>
      </c>
      <c r="C589" s="61" t="inlineStr">
        <is>
          <t>E9</t>
        </is>
      </c>
      <c r="D589" s="61" t="inlineStr">
        <is>
          <t>resumen</t>
        </is>
      </c>
      <c r="E589" s="61" t="inlineStr">
        <is>
          <t>resumen_modeling_horizontes.json</t>
        </is>
      </c>
      <c r="F589" s="61" t="inlineStr">
        <is>
          <t>Experimentos/runs/E9_v2_clean_20260401_070431/resumen_modeling_horizontes.json</t>
        </is>
      </c>
      <c r="G589" s="61" t="inlineStr">
        <is>
          <t>Resumen de filas disponibles, filas evaluadas y columnas base por horizonte.</t>
        </is>
      </c>
    </row>
    <row r="590" ht="15" customHeight="1" s="27">
      <c r="A590" s="61" t="inlineStr">
        <is>
          <t>2026-04-01 07:04:33</t>
        </is>
      </c>
      <c r="B590" s="61" t="inlineStr">
        <is>
          <t>E9_v2_clean</t>
        </is>
      </c>
      <c r="C590" s="61" t="inlineStr">
        <is>
          <t>E9</t>
        </is>
      </c>
      <c r="D590" s="61" t="inlineStr">
        <is>
          <t>tuning</t>
        </is>
      </c>
      <c r="E590" s="61" t="inlineStr">
        <is>
          <t>alpha_tuning_horizontes.json</t>
        </is>
      </c>
      <c r="F590" s="61" t="inlineStr">
        <is>
          <t>Experimentos/runs/E9_v2_clean_20260401_070431/alpha_tuning_horizontes.json</t>
        </is>
      </c>
      <c r="G590" s="61" t="inlineStr">
        <is>
          <t>Traza de tuning temporal interno del meta-modelo por horizonte.</t>
        </is>
      </c>
    </row>
    <row r="591" ht="15" customHeight="1" s="27">
      <c r="A591" s="61" t="inlineStr">
        <is>
          <t>2026-04-01 07:04:33</t>
        </is>
      </c>
      <c r="B591" s="61" t="inlineStr">
        <is>
          <t>E9_v2_clean</t>
        </is>
      </c>
      <c r="C591" s="61" t="inlineStr">
        <is>
          <t>E9</t>
        </is>
      </c>
      <c r="D591" s="61" t="inlineStr">
        <is>
          <t>comparacion</t>
        </is>
      </c>
      <c r="E591" s="61" t="inlineStr">
        <is>
          <t>comparacion_bases_horizontes.json</t>
        </is>
      </c>
      <c r="F591" s="61" t="inlineStr">
        <is>
          <t>Experimentos/runs/E9_v2_clean_20260401_070431/comparacion_bases_horizontes.json</t>
        </is>
      </c>
      <c r="G591" s="61" t="inlineStr">
        <is>
          <t>Comparacion de E9 contra los modelos base sobre el mismo subset de evaluacion.</t>
        </is>
      </c>
    </row>
    <row r="592" ht="15" customHeight="1" s="27">
      <c r="A592" s="61" t="inlineStr">
        <is>
          <t>2026-04-01 07:04:33</t>
        </is>
      </c>
      <c r="B592" s="61" t="inlineStr">
        <is>
          <t>E9_v2_clean</t>
        </is>
      </c>
      <c r="C592" s="61" t="inlineStr">
        <is>
          <t>E9</t>
        </is>
      </c>
      <c r="D592" s="61" t="inlineStr">
        <is>
          <t>comparacion</t>
        </is>
      </c>
      <c r="E592" s="61" t="inlineStr">
        <is>
          <t>comparacion_vs_E1_v5_clean.json</t>
        </is>
      </c>
      <c r="F592" s="61" t="inlineStr">
        <is>
          <t>Experimentos/runs/E9_v2_clean_20260401_070431/comparacion_vs_E1_v5_clean.json</t>
        </is>
      </c>
      <c r="G592" s="61" t="inlineStr">
        <is>
          <t>Comparacion de la corrida clean contra E1_v5_clean.</t>
        </is>
      </c>
    </row>
    <row r="593" ht="15" customHeight="1" s="27">
      <c r="A593" s="61" t="inlineStr">
        <is>
          <t>2026-04-01 07:04:33</t>
        </is>
      </c>
      <c r="B593" s="61" t="inlineStr">
        <is>
          <t>E9_v2_clean</t>
        </is>
      </c>
      <c r="C593" s="61" t="inlineStr">
        <is>
          <t>E9</t>
        </is>
      </c>
      <c r="D593" s="61" t="inlineStr">
        <is>
          <t>comparacion</t>
        </is>
      </c>
      <c r="E593" s="61" t="inlineStr">
        <is>
          <t>comparacion_vs_E5_v4_clean.json</t>
        </is>
      </c>
      <c r="F593" s="61" t="inlineStr">
        <is>
          <t>Experimentos/runs/E9_v2_clean_20260401_070431/comparacion_vs_E5_v4_clean.json</t>
        </is>
      </c>
      <c r="G593" s="61" t="inlineStr">
        <is>
          <t>Comparacion de la corrida clean contra E5_v4_clean.</t>
        </is>
      </c>
    </row>
    <row r="594" ht="15" customHeight="1" s="27">
      <c r="A594" s="61" t="inlineStr">
        <is>
          <t>2026-04-01 07:04:33</t>
        </is>
      </c>
      <c r="B594" s="61" t="inlineStr">
        <is>
          <t>E9_v2_clean</t>
        </is>
      </c>
      <c r="C594" s="61" t="inlineStr">
        <is>
          <t>E9</t>
        </is>
      </c>
      <c r="D594" s="61" t="inlineStr">
        <is>
          <t>comparacion</t>
        </is>
      </c>
      <c r="E594" s="61" t="inlineStr">
        <is>
          <t>comparacion_vs_E3_v2_clean.json</t>
        </is>
      </c>
      <c r="F594" s="61" t="inlineStr">
        <is>
          <t>Experimentos/runs/E9_v2_clean_20260401_070431/comparacion_vs_E3_v2_clean.json</t>
        </is>
      </c>
      <c r="G594" s="61" t="inlineStr">
        <is>
          <t>Comparacion de la corrida clean contra E3_v2_clean.</t>
        </is>
      </c>
    </row>
    <row r="595" ht="15" customHeight="1" s="27">
      <c r="A595" s="61" t="inlineStr">
        <is>
          <t>2026-04-01 07:04:33</t>
        </is>
      </c>
      <c r="B595" s="61" t="inlineStr">
        <is>
          <t>E9_v2_clean</t>
        </is>
      </c>
      <c r="C595" s="61" t="inlineStr">
        <is>
          <t>E9</t>
        </is>
      </c>
      <c r="D595" s="61" t="inlineStr">
        <is>
          <t>comparacion</t>
        </is>
      </c>
      <c r="E595" s="61" t="inlineStr">
        <is>
          <t>comparacion_vs_E2_v3_clean.json</t>
        </is>
      </c>
      <c r="F595" s="61" t="inlineStr">
        <is>
          <t>Experimentos/runs/E9_v2_clean_20260401_070431/comparacion_vs_E2_v3_clean.json</t>
        </is>
      </c>
      <c r="G595" s="61" t="inlineStr">
        <is>
          <t>Comparacion de la corrida clean contra E2_v3_clean.</t>
        </is>
      </c>
    </row>
    <row r="596" ht="15" customHeight="1" s="27">
      <c r="A596" s="61" t="inlineStr">
        <is>
          <t>2026-04-01 07:04:33</t>
        </is>
      </c>
      <c r="B596" s="61" t="inlineStr">
        <is>
          <t>E9_v2_clean</t>
        </is>
      </c>
      <c r="C596" s="61" t="inlineStr">
        <is>
          <t>E9</t>
        </is>
      </c>
      <c r="D596" s="61" t="inlineStr">
        <is>
          <t>comparacion</t>
        </is>
      </c>
      <c r="E596" s="61" t="inlineStr">
        <is>
          <t>comparacion_vs_E7_v3_clean.json</t>
        </is>
      </c>
      <c r="F596" s="61" t="inlineStr">
        <is>
          <t>Experimentos/runs/E9_v2_clean_20260401_070431/comparacion_vs_E7_v3_clean.json</t>
        </is>
      </c>
      <c r="G596" s="61" t="inlineStr">
        <is>
          <t>Comparacion de la corrida clean contra E7_v3_clean.</t>
        </is>
      </c>
    </row>
    <row r="597" ht="15" customHeight="1" s="27">
      <c r="A597" s="61" t="inlineStr">
        <is>
          <t>2026-04-01 07:04:33</t>
        </is>
      </c>
      <c r="B597" s="61" t="inlineStr">
        <is>
          <t>E9_v2_clean</t>
        </is>
      </c>
      <c r="C597" s="61" t="inlineStr">
        <is>
          <t>E9</t>
        </is>
      </c>
      <c r="D597" s="61" t="inlineStr">
        <is>
          <t>comparacion</t>
        </is>
      </c>
      <c r="E597" s="61" t="inlineStr">
        <is>
          <t>comparacion_vs_E9_v1_clean.json</t>
        </is>
      </c>
      <c r="F597" s="61" t="inlineStr">
        <is>
          <t>Experimentos/runs/E9_v2_clean_20260401_070431/comparacion_vs_E9_v1_clean.json</t>
        </is>
      </c>
      <c r="G597" s="61" t="inlineStr">
        <is>
          <t>Comparacion de la corrida clean contra E9_v1_clean.</t>
        </is>
      </c>
    </row>
    <row r="598" ht="15" customHeight="1" s="27">
      <c r="A598" s="61" t="inlineStr">
        <is>
          <t>2026-04-01 07:04:33</t>
        </is>
      </c>
      <c r="B598" s="61" t="inlineStr">
        <is>
          <t>E9_v2_clean</t>
        </is>
      </c>
      <c r="C598" s="61" t="inlineStr">
        <is>
          <t>E9</t>
        </is>
      </c>
      <c r="D598" s="61" t="inlineStr">
        <is>
          <t>metricas</t>
        </is>
      </c>
      <c r="E598" s="61" t="inlineStr">
        <is>
          <t>metricas_horizonte.json</t>
        </is>
      </c>
      <c r="F598" s="61" t="inlineStr">
        <is>
          <t>Experimentos/runs/E9_v2_clean_20260401_070431/metricas_horizonte.json</t>
        </is>
      </c>
      <c r="G598" s="61" t="inlineStr">
        <is>
          <t>Resumen estructurado por horizonte.</t>
        </is>
      </c>
    </row>
    <row r="599" ht="15" customHeight="1" s="27">
      <c r="A599" s="61" t="inlineStr">
        <is>
          <t>2026-04-01 07:04:33</t>
        </is>
      </c>
      <c r="B599" s="61" t="inlineStr">
        <is>
          <t>E9_v2_clean</t>
        </is>
      </c>
      <c r="C599" s="61" t="inlineStr">
        <is>
          <t>E9</t>
        </is>
      </c>
      <c r="D599" s="61" t="inlineStr">
        <is>
          <t>metadata</t>
        </is>
      </c>
      <c r="E599" s="61" t="inlineStr">
        <is>
          <t>metadata_run.json</t>
        </is>
      </c>
      <c r="F599" s="61" t="inlineStr">
        <is>
          <t>Experimentos/runs/E9_v2_clean_20260401_070431/metadata_run.json</t>
        </is>
      </c>
      <c r="G599" s="61" t="inlineStr">
        <is>
          <t>Metadata base del run.</t>
        </is>
      </c>
    </row>
    <row r="600" ht="15" customHeight="1" s="27">
      <c r="A600" s="61" t="inlineStr">
        <is>
          <t>2026-04-01 09:04:42</t>
        </is>
      </c>
      <c r="B600" s="61" t="inlineStr">
        <is>
          <t>E10_v1_clean</t>
        </is>
      </c>
      <c r="C600" s="61" t="inlineStr">
        <is>
          <t>E10</t>
        </is>
      </c>
      <c r="D600" s="61" t="inlineStr">
        <is>
          <t>script_snapshot</t>
        </is>
      </c>
      <c r="E600" s="61" t="inlineStr">
        <is>
          <t>run_e10_meta_selector.py</t>
        </is>
      </c>
      <c r="F600" s="61" t="inlineStr">
        <is>
          <t>Experimentos/runs/E10_v1_clean_20260401_090439/scripts/run_e10_meta_selector.py</t>
        </is>
      </c>
      <c r="G600" s="61" t="inlineStr">
        <is>
          <t>Copia del script ejecutado para reproducibilidad.</t>
        </is>
      </c>
    </row>
    <row r="601" ht="15" customHeight="1" s="27">
      <c r="A601" s="61" t="inlineStr">
        <is>
          <t>2026-04-01 09:04:42</t>
        </is>
      </c>
      <c r="B601" s="61" t="inlineStr">
        <is>
          <t>E10_v1_clean</t>
        </is>
      </c>
      <c r="C601" s="61" t="inlineStr">
        <is>
          <t>E10</t>
        </is>
      </c>
      <c r="D601" s="61" t="inlineStr">
        <is>
          <t>parametros</t>
        </is>
      </c>
      <c r="E601" s="61" t="inlineStr">
        <is>
          <t>parametros_run.json</t>
        </is>
      </c>
      <c r="F601" s="61" t="inlineStr">
        <is>
          <t>Experimentos/runs/E10_v1_clean_20260401_090439/parametros_run.json</t>
        </is>
      </c>
      <c r="G601" s="61" t="inlineStr">
        <is>
          <t>Parametros del experimento.</t>
        </is>
      </c>
    </row>
    <row r="602" ht="15" customHeight="1" s="27">
      <c r="A602" s="61" t="inlineStr">
        <is>
          <t>2026-04-01 09:04:42</t>
        </is>
      </c>
      <c r="B602" s="61" t="inlineStr">
        <is>
          <t>E10_v1_clean</t>
        </is>
      </c>
      <c r="C602" s="61" t="inlineStr">
        <is>
          <t>E10</t>
        </is>
      </c>
      <c r="D602" s="61" t="inlineStr">
        <is>
          <t>predicciones</t>
        </is>
      </c>
      <c r="E602" s="61" t="inlineStr">
        <is>
          <t>predicciones_h1.csv</t>
        </is>
      </c>
      <c r="F602" s="61" t="inlineStr">
        <is>
          <t>Experimentos/runs/E10_v1_clean_20260401_090439/predicciones_h1.csv</t>
        </is>
      </c>
      <c r="G602" s="61" t="inlineStr">
        <is>
          <t>Predicciones finales del selector, benchmarks y predicciones base por fila de test.</t>
        </is>
      </c>
    </row>
    <row r="603" ht="15" customHeight="1" s="27">
      <c r="A603" s="61" t="inlineStr">
        <is>
          <t>2026-04-01 09:04:42</t>
        </is>
      </c>
      <c r="B603" s="61" t="inlineStr">
        <is>
          <t>E10_v1_clean</t>
        </is>
      </c>
      <c r="C603" s="61" t="inlineStr">
        <is>
          <t>E10</t>
        </is>
      </c>
      <c r="D603" s="61" t="inlineStr">
        <is>
          <t>columnas</t>
        </is>
      </c>
      <c r="E603" s="61" t="inlineStr">
        <is>
          <t>columnas_entrenamiento_h1.csv</t>
        </is>
      </c>
      <c r="F603" s="61" t="inlineStr">
        <is>
          <t>Experimentos/runs/E10_v1_clean_20260401_090439/columnas_entrenamiento_h1.csv</t>
        </is>
      </c>
      <c r="G603" s="61" t="inlineStr">
        <is>
          <t>Columnas permitidas efectivamente usadas por fold en el selector E10.</t>
        </is>
      </c>
    </row>
    <row r="604" ht="15" customHeight="1" s="27">
      <c r="A604" s="61" t="inlineStr">
        <is>
          <t>2026-04-01 09:04:42</t>
        </is>
      </c>
      <c r="B604" s="61" t="inlineStr">
        <is>
          <t>E10_v1_clean</t>
        </is>
      </c>
      <c r="C604" s="61" t="inlineStr">
        <is>
          <t>E10</t>
        </is>
      </c>
      <c r="D604" s="61" t="inlineStr">
        <is>
          <t>columnas_excluidas</t>
        </is>
      </c>
      <c r="E604" s="61" t="inlineStr">
        <is>
          <t>columnas_excluidas_h1.csv</t>
        </is>
      </c>
      <c r="F604" s="61" t="inlineStr">
        <is>
          <t>Experimentos/runs/E10_v1_clean_20260401_090439/columnas_excluidas_h1.csv</t>
        </is>
      </c>
      <c r="G604" s="61" t="inlineStr">
        <is>
          <t>Columnas excluidas por fold y motivo exacto de exclusion.</t>
        </is>
      </c>
    </row>
    <row r="605" ht="15" customHeight="1" s="27">
      <c r="A605" s="61" t="inlineStr">
        <is>
          <t>2026-04-01 09:04:42</t>
        </is>
      </c>
      <c r="B605" s="61" t="inlineStr">
        <is>
          <t>E10_v1_clean</t>
        </is>
      </c>
      <c r="C605" s="61" t="inlineStr">
        <is>
          <t>E10</t>
        </is>
      </c>
      <c r="D605" s="61" t="inlineStr">
        <is>
          <t>confusion</t>
        </is>
      </c>
      <c r="E605" s="61" t="inlineStr">
        <is>
          <t>matriz_confusion_h1.json</t>
        </is>
      </c>
      <c r="F605" s="61" t="inlineStr">
        <is>
          <t>Experimentos/runs/E10_v1_clean_20260401_090439/matriz_confusion_h1.json</t>
        </is>
      </c>
      <c r="G605" s="61" t="inlineStr">
        <is>
          <t>Matriz de confusion y distribucion de clases del selector por horizonte.</t>
        </is>
      </c>
    </row>
    <row r="606" ht="15" customHeight="1" s="27">
      <c r="A606" s="61" t="inlineStr">
        <is>
          <t>2026-04-01 09:04:42</t>
        </is>
      </c>
      <c r="B606" s="61" t="inlineStr">
        <is>
          <t>E10_v1_clean</t>
        </is>
      </c>
      <c r="C606" s="61" t="inlineStr">
        <is>
          <t>E10</t>
        </is>
      </c>
      <c r="D606" s="61" t="inlineStr">
        <is>
          <t>metricas_horizonte_detalle</t>
        </is>
      </c>
      <c r="E606" s="61" t="inlineStr">
        <is>
          <t>metricas_h1.json</t>
        </is>
      </c>
      <c r="F606" s="61" t="inlineStr">
        <is>
          <t>Experimentos/runs/E10_v1_clean_20260401_090439/metricas_h1.json</t>
        </is>
      </c>
      <c r="G606" s="61" t="inlineStr">
        <is>
          <t>Metricas completas del selector y del sistema final para este horizonte.</t>
        </is>
      </c>
    </row>
    <row r="607" ht="15" customHeight="1" s="27">
      <c r="A607" s="61" t="inlineStr">
        <is>
          <t>2026-04-01 09:04:42</t>
        </is>
      </c>
      <c r="B607" s="61" t="inlineStr">
        <is>
          <t>E10_v1_clean</t>
        </is>
      </c>
      <c r="C607" s="61" t="inlineStr">
        <is>
          <t>E10</t>
        </is>
      </c>
      <c r="D607" s="61" t="inlineStr">
        <is>
          <t>trace_selector</t>
        </is>
      </c>
      <c r="E607" s="61" t="inlineStr">
        <is>
          <t>selector_trace_h1.json</t>
        </is>
      </c>
      <c r="F607" s="61" t="inlineStr">
        <is>
          <t>Experimentos/runs/E10_v1_clean_20260401_090439/selector_trace_h1.json</t>
        </is>
      </c>
      <c r="G607" s="61" t="inlineStr">
        <is>
          <t>Traza detallada por fold del meta-selector E10.</t>
        </is>
      </c>
    </row>
    <row r="608" ht="15" customHeight="1" s="27">
      <c r="A608" s="61" t="inlineStr">
        <is>
          <t>2026-04-01 09:04:42</t>
        </is>
      </c>
      <c r="B608" s="61" t="inlineStr">
        <is>
          <t>E10_v1_clean</t>
        </is>
      </c>
      <c r="C608" s="61" t="inlineStr">
        <is>
          <t>E10</t>
        </is>
      </c>
      <c r="D608" s="61" t="inlineStr">
        <is>
          <t>predicciones</t>
        </is>
      </c>
      <c r="E608" s="61" t="inlineStr">
        <is>
          <t>predicciones_h2.csv</t>
        </is>
      </c>
      <c r="F608" s="61" t="inlineStr">
        <is>
          <t>Experimentos/runs/E10_v1_clean_20260401_090439/predicciones_h2.csv</t>
        </is>
      </c>
      <c r="G608" s="61" t="inlineStr">
        <is>
          <t>Predicciones finales del selector, benchmarks y predicciones base por fila de test.</t>
        </is>
      </c>
    </row>
    <row r="609" ht="15" customHeight="1" s="27">
      <c r="A609" s="61" t="inlineStr">
        <is>
          <t>2026-04-01 09:04:42</t>
        </is>
      </c>
      <c r="B609" s="61" t="inlineStr">
        <is>
          <t>E10_v1_clean</t>
        </is>
      </c>
      <c r="C609" s="61" t="inlineStr">
        <is>
          <t>E10</t>
        </is>
      </c>
      <c r="D609" s="61" t="inlineStr">
        <is>
          <t>columnas</t>
        </is>
      </c>
      <c r="E609" s="61" t="inlineStr">
        <is>
          <t>columnas_entrenamiento_h2.csv</t>
        </is>
      </c>
      <c r="F609" s="61" t="inlineStr">
        <is>
          <t>Experimentos/runs/E10_v1_clean_20260401_090439/columnas_entrenamiento_h2.csv</t>
        </is>
      </c>
      <c r="G609" s="61" t="inlineStr">
        <is>
          <t>Columnas permitidas efectivamente usadas por fold en el selector E10.</t>
        </is>
      </c>
    </row>
    <row r="610" ht="15" customHeight="1" s="27">
      <c r="A610" s="61" t="inlineStr">
        <is>
          <t>2026-04-01 09:04:42</t>
        </is>
      </c>
      <c r="B610" s="61" t="inlineStr">
        <is>
          <t>E10_v1_clean</t>
        </is>
      </c>
      <c r="C610" s="61" t="inlineStr">
        <is>
          <t>E10</t>
        </is>
      </c>
      <c r="D610" s="61" t="inlineStr">
        <is>
          <t>columnas_excluidas</t>
        </is>
      </c>
      <c r="E610" s="61" t="inlineStr">
        <is>
          <t>columnas_excluidas_h2.csv</t>
        </is>
      </c>
      <c r="F610" s="61" t="inlineStr">
        <is>
          <t>Experimentos/runs/E10_v1_clean_20260401_090439/columnas_excluidas_h2.csv</t>
        </is>
      </c>
      <c r="G610" s="61" t="inlineStr">
        <is>
          <t>Columnas excluidas por fold y motivo exacto de exclusion.</t>
        </is>
      </c>
    </row>
    <row r="611" ht="15" customHeight="1" s="27">
      <c r="A611" s="61" t="inlineStr">
        <is>
          <t>2026-04-01 09:04:42</t>
        </is>
      </c>
      <c r="B611" s="61" t="inlineStr">
        <is>
          <t>E10_v1_clean</t>
        </is>
      </c>
      <c r="C611" s="61" t="inlineStr">
        <is>
          <t>E10</t>
        </is>
      </c>
      <c r="D611" s="61" t="inlineStr">
        <is>
          <t>confusion</t>
        </is>
      </c>
      <c r="E611" s="61" t="inlineStr">
        <is>
          <t>matriz_confusion_h2.json</t>
        </is>
      </c>
      <c r="F611" s="61" t="inlineStr">
        <is>
          <t>Experimentos/runs/E10_v1_clean_20260401_090439/matriz_confusion_h2.json</t>
        </is>
      </c>
      <c r="G611" s="61" t="inlineStr">
        <is>
          <t>Matriz de confusion y distribucion de clases del selector por horizonte.</t>
        </is>
      </c>
    </row>
    <row r="612" ht="15" customHeight="1" s="27">
      <c r="A612" s="61" t="inlineStr">
        <is>
          <t>2026-04-01 09:04:42</t>
        </is>
      </c>
      <c r="B612" s="61" t="inlineStr">
        <is>
          <t>E10_v1_clean</t>
        </is>
      </c>
      <c r="C612" s="61" t="inlineStr">
        <is>
          <t>E10</t>
        </is>
      </c>
      <c r="D612" s="61" t="inlineStr">
        <is>
          <t>metricas_horizonte_detalle</t>
        </is>
      </c>
      <c r="E612" s="61" t="inlineStr">
        <is>
          <t>metricas_h2.json</t>
        </is>
      </c>
      <c r="F612" s="61" t="inlineStr">
        <is>
          <t>Experimentos/runs/E10_v1_clean_20260401_090439/metricas_h2.json</t>
        </is>
      </c>
      <c r="G612" s="61" t="inlineStr">
        <is>
          <t>Metricas completas del selector y del sistema final para este horizonte.</t>
        </is>
      </c>
    </row>
    <row r="613" ht="15" customHeight="1" s="27">
      <c r="A613" s="61" t="inlineStr">
        <is>
          <t>2026-04-01 09:04:42</t>
        </is>
      </c>
      <c r="B613" s="61" t="inlineStr">
        <is>
          <t>E10_v1_clean</t>
        </is>
      </c>
      <c r="C613" s="61" t="inlineStr">
        <is>
          <t>E10</t>
        </is>
      </c>
      <c r="D613" s="61" t="inlineStr">
        <is>
          <t>trace_selector</t>
        </is>
      </c>
      <c r="E613" s="61" t="inlineStr">
        <is>
          <t>selector_trace_h2.json</t>
        </is>
      </c>
      <c r="F613" s="61" t="inlineStr">
        <is>
          <t>Experimentos/runs/E10_v1_clean_20260401_090439/selector_trace_h2.json</t>
        </is>
      </c>
      <c r="G613" s="61" t="inlineStr">
        <is>
          <t>Traza detallada por fold del meta-selector E10.</t>
        </is>
      </c>
    </row>
    <row r="614" ht="15" customHeight="1" s="27">
      <c r="A614" s="61" t="inlineStr">
        <is>
          <t>2026-04-01 09:04:42</t>
        </is>
      </c>
      <c r="B614" s="61" t="inlineStr">
        <is>
          <t>E10_v1_clean</t>
        </is>
      </c>
      <c r="C614" s="61" t="inlineStr">
        <is>
          <t>E10</t>
        </is>
      </c>
      <c r="D614" s="61" t="inlineStr">
        <is>
          <t>predicciones</t>
        </is>
      </c>
      <c r="E614" s="61" t="inlineStr">
        <is>
          <t>predicciones_h3.csv</t>
        </is>
      </c>
      <c r="F614" s="61" t="inlineStr">
        <is>
          <t>Experimentos/runs/E10_v1_clean_20260401_090439/predicciones_h3.csv</t>
        </is>
      </c>
      <c r="G614" s="61" t="inlineStr">
        <is>
          <t>Predicciones finales del selector, benchmarks y predicciones base por fila de test.</t>
        </is>
      </c>
    </row>
    <row r="615" ht="15" customHeight="1" s="27">
      <c r="A615" s="61" t="inlineStr">
        <is>
          <t>2026-04-01 09:04:42</t>
        </is>
      </c>
      <c r="B615" s="61" t="inlineStr">
        <is>
          <t>E10_v1_clean</t>
        </is>
      </c>
      <c r="C615" s="61" t="inlineStr">
        <is>
          <t>E10</t>
        </is>
      </c>
      <c r="D615" s="61" t="inlineStr">
        <is>
          <t>columnas</t>
        </is>
      </c>
      <c r="E615" s="61" t="inlineStr">
        <is>
          <t>columnas_entrenamiento_h3.csv</t>
        </is>
      </c>
      <c r="F615" s="61" t="inlineStr">
        <is>
          <t>Experimentos/runs/E10_v1_clean_20260401_090439/columnas_entrenamiento_h3.csv</t>
        </is>
      </c>
      <c r="G615" s="61" t="inlineStr">
        <is>
          <t>Columnas permitidas efectivamente usadas por fold en el selector E10.</t>
        </is>
      </c>
    </row>
    <row r="616" ht="15" customHeight="1" s="27">
      <c r="A616" s="61" t="inlineStr">
        <is>
          <t>2026-04-01 09:04:42</t>
        </is>
      </c>
      <c r="B616" s="61" t="inlineStr">
        <is>
          <t>E10_v1_clean</t>
        </is>
      </c>
      <c r="C616" s="61" t="inlineStr">
        <is>
          <t>E10</t>
        </is>
      </c>
      <c r="D616" s="61" t="inlineStr">
        <is>
          <t>columnas_excluidas</t>
        </is>
      </c>
      <c r="E616" s="61" t="inlineStr">
        <is>
          <t>columnas_excluidas_h3.csv</t>
        </is>
      </c>
      <c r="F616" s="61" t="inlineStr">
        <is>
          <t>Experimentos/runs/E10_v1_clean_20260401_090439/columnas_excluidas_h3.csv</t>
        </is>
      </c>
      <c r="G616" s="61" t="inlineStr">
        <is>
          <t>Columnas excluidas por fold y motivo exacto de exclusion.</t>
        </is>
      </c>
    </row>
    <row r="617" ht="15" customHeight="1" s="27">
      <c r="A617" s="61" t="inlineStr">
        <is>
          <t>2026-04-01 09:04:42</t>
        </is>
      </c>
      <c r="B617" s="61" t="inlineStr">
        <is>
          <t>E10_v1_clean</t>
        </is>
      </c>
      <c r="C617" s="61" t="inlineStr">
        <is>
          <t>E10</t>
        </is>
      </c>
      <c r="D617" s="61" t="inlineStr">
        <is>
          <t>confusion</t>
        </is>
      </c>
      <c r="E617" s="61" t="inlineStr">
        <is>
          <t>matriz_confusion_h3.json</t>
        </is>
      </c>
      <c r="F617" s="61" t="inlineStr">
        <is>
          <t>Experimentos/runs/E10_v1_clean_20260401_090439/matriz_confusion_h3.json</t>
        </is>
      </c>
      <c r="G617" s="61" t="inlineStr">
        <is>
          <t>Matriz de confusion y distribucion de clases del selector por horizonte.</t>
        </is>
      </c>
    </row>
    <row r="618" ht="15" customHeight="1" s="27">
      <c r="A618" s="61" t="inlineStr">
        <is>
          <t>2026-04-01 09:04:42</t>
        </is>
      </c>
      <c r="B618" s="61" t="inlineStr">
        <is>
          <t>E10_v1_clean</t>
        </is>
      </c>
      <c r="C618" s="61" t="inlineStr">
        <is>
          <t>E10</t>
        </is>
      </c>
      <c r="D618" s="61" t="inlineStr">
        <is>
          <t>metricas_horizonte_detalle</t>
        </is>
      </c>
      <c r="E618" s="61" t="inlineStr">
        <is>
          <t>metricas_h3.json</t>
        </is>
      </c>
      <c r="F618" s="61" t="inlineStr">
        <is>
          <t>Experimentos/runs/E10_v1_clean_20260401_090439/metricas_h3.json</t>
        </is>
      </c>
      <c r="G618" s="61" t="inlineStr">
        <is>
          <t>Metricas completas del selector y del sistema final para este horizonte.</t>
        </is>
      </c>
    </row>
    <row r="619" ht="15" customHeight="1" s="27">
      <c r="A619" s="61" t="inlineStr">
        <is>
          <t>2026-04-01 09:04:42</t>
        </is>
      </c>
      <c r="B619" s="61" t="inlineStr">
        <is>
          <t>E10_v1_clean</t>
        </is>
      </c>
      <c r="C619" s="61" t="inlineStr">
        <is>
          <t>E10</t>
        </is>
      </c>
      <c r="D619" s="61" t="inlineStr">
        <is>
          <t>trace_selector</t>
        </is>
      </c>
      <c r="E619" s="61" t="inlineStr">
        <is>
          <t>selector_trace_h3.json</t>
        </is>
      </c>
      <c r="F619" s="61" t="inlineStr">
        <is>
          <t>Experimentos/runs/E10_v1_clean_20260401_090439/selector_trace_h3.json</t>
        </is>
      </c>
      <c r="G619" s="61" t="inlineStr">
        <is>
          <t>Traza detallada por fold del meta-selector E10.</t>
        </is>
      </c>
    </row>
    <row r="620" ht="15" customHeight="1" s="27">
      <c r="A620" s="61" t="inlineStr">
        <is>
          <t>2026-04-01 09:04:42</t>
        </is>
      </c>
      <c r="B620" s="61" t="inlineStr">
        <is>
          <t>E10_v1_clean</t>
        </is>
      </c>
      <c r="C620" s="61" t="inlineStr">
        <is>
          <t>E10</t>
        </is>
      </c>
      <c r="D620" s="61" t="inlineStr">
        <is>
          <t>predicciones</t>
        </is>
      </c>
      <c r="E620" s="61" t="inlineStr">
        <is>
          <t>predicciones_h4.csv</t>
        </is>
      </c>
      <c r="F620" s="61" t="inlineStr">
        <is>
          <t>Experimentos/runs/E10_v1_clean_20260401_090439/predicciones_h4.csv</t>
        </is>
      </c>
      <c r="G620" s="61" t="inlineStr">
        <is>
          <t>Predicciones finales del selector, benchmarks y predicciones base por fila de test.</t>
        </is>
      </c>
    </row>
    <row r="621" ht="15" customHeight="1" s="27">
      <c r="A621" s="61" t="inlineStr">
        <is>
          <t>2026-04-01 09:04:42</t>
        </is>
      </c>
      <c r="B621" s="61" t="inlineStr">
        <is>
          <t>E10_v1_clean</t>
        </is>
      </c>
      <c r="C621" s="61" t="inlineStr">
        <is>
          <t>E10</t>
        </is>
      </c>
      <c r="D621" s="61" t="inlineStr">
        <is>
          <t>columnas</t>
        </is>
      </c>
      <c r="E621" s="61" t="inlineStr">
        <is>
          <t>columnas_entrenamiento_h4.csv</t>
        </is>
      </c>
      <c r="F621" s="61" t="inlineStr">
        <is>
          <t>Experimentos/runs/E10_v1_clean_20260401_090439/columnas_entrenamiento_h4.csv</t>
        </is>
      </c>
      <c r="G621" s="61" t="inlineStr">
        <is>
          <t>Columnas permitidas efectivamente usadas por fold en el selector E10.</t>
        </is>
      </c>
    </row>
    <row r="622" ht="15" customHeight="1" s="27">
      <c r="A622" s="61" t="inlineStr">
        <is>
          <t>2026-04-01 09:04:42</t>
        </is>
      </c>
      <c r="B622" s="61" t="inlineStr">
        <is>
          <t>E10_v1_clean</t>
        </is>
      </c>
      <c r="C622" s="61" t="inlineStr">
        <is>
          <t>E10</t>
        </is>
      </c>
      <c r="D622" s="61" t="inlineStr">
        <is>
          <t>columnas_excluidas</t>
        </is>
      </c>
      <c r="E622" s="61" t="inlineStr">
        <is>
          <t>columnas_excluidas_h4.csv</t>
        </is>
      </c>
      <c r="F622" s="61" t="inlineStr">
        <is>
          <t>Experimentos/runs/E10_v1_clean_20260401_090439/columnas_excluidas_h4.csv</t>
        </is>
      </c>
      <c r="G622" s="61" t="inlineStr">
        <is>
          <t>Columnas excluidas por fold y motivo exacto de exclusion.</t>
        </is>
      </c>
    </row>
    <row r="623" ht="15" customHeight="1" s="27">
      <c r="A623" s="61" t="inlineStr">
        <is>
          <t>2026-04-01 09:04:42</t>
        </is>
      </c>
      <c r="B623" s="61" t="inlineStr">
        <is>
          <t>E10_v1_clean</t>
        </is>
      </c>
      <c r="C623" s="61" t="inlineStr">
        <is>
          <t>E10</t>
        </is>
      </c>
      <c r="D623" s="61" t="inlineStr">
        <is>
          <t>confusion</t>
        </is>
      </c>
      <c r="E623" s="61" t="inlineStr">
        <is>
          <t>matriz_confusion_h4.json</t>
        </is>
      </c>
      <c r="F623" s="61" t="inlineStr">
        <is>
          <t>Experimentos/runs/E10_v1_clean_20260401_090439/matriz_confusion_h4.json</t>
        </is>
      </c>
      <c r="G623" s="61" t="inlineStr">
        <is>
          <t>Matriz de confusion y distribucion de clases del selector por horizonte.</t>
        </is>
      </c>
    </row>
    <row r="624" ht="15" customHeight="1" s="27">
      <c r="A624" s="61" t="inlineStr">
        <is>
          <t>2026-04-01 09:04:42</t>
        </is>
      </c>
      <c r="B624" s="61" t="inlineStr">
        <is>
          <t>E10_v1_clean</t>
        </is>
      </c>
      <c r="C624" s="61" t="inlineStr">
        <is>
          <t>E10</t>
        </is>
      </c>
      <c r="D624" s="61" t="inlineStr">
        <is>
          <t>metricas_horizonte_detalle</t>
        </is>
      </c>
      <c r="E624" s="61" t="inlineStr">
        <is>
          <t>metricas_h4.json</t>
        </is>
      </c>
      <c r="F624" s="61" t="inlineStr">
        <is>
          <t>Experimentos/runs/E10_v1_clean_20260401_090439/metricas_h4.json</t>
        </is>
      </c>
      <c r="G624" s="61" t="inlineStr">
        <is>
          <t>Metricas completas del selector y del sistema final para este horizonte.</t>
        </is>
      </c>
    </row>
    <row r="625" ht="15" customHeight="1" s="27">
      <c r="A625" s="61" t="inlineStr">
        <is>
          <t>2026-04-01 09:04:42</t>
        </is>
      </c>
      <c r="B625" s="61" t="inlineStr">
        <is>
          <t>E10_v1_clean</t>
        </is>
      </c>
      <c r="C625" s="61" t="inlineStr">
        <is>
          <t>E10</t>
        </is>
      </c>
      <c r="D625" s="61" t="inlineStr">
        <is>
          <t>trace_selector</t>
        </is>
      </c>
      <c r="E625" s="61" t="inlineStr">
        <is>
          <t>selector_trace_h4.json</t>
        </is>
      </c>
      <c r="F625" s="61" t="inlineStr">
        <is>
          <t>Experimentos/runs/E10_v1_clean_20260401_090439/selector_trace_h4.json</t>
        </is>
      </c>
      <c r="G625" s="61" t="inlineStr">
        <is>
          <t>Traza detallada por fold del meta-selector E10.</t>
        </is>
      </c>
    </row>
    <row r="626" ht="15" customHeight="1" s="27">
      <c r="A626" s="61" t="inlineStr">
        <is>
          <t>2026-04-01 09:04:42</t>
        </is>
      </c>
      <c r="B626" s="61" t="inlineStr">
        <is>
          <t>E10_v1_clean</t>
        </is>
      </c>
      <c r="C626" s="61" t="inlineStr">
        <is>
          <t>E10</t>
        </is>
      </c>
      <c r="D626" s="61" t="inlineStr">
        <is>
          <t>resumen</t>
        </is>
      </c>
      <c r="E626" s="61" t="inlineStr">
        <is>
          <t>resumen_modeling_horizontes.json</t>
        </is>
      </c>
      <c r="F626" s="61" t="inlineStr">
        <is>
          <t>Experimentos/runs/E10_v1_clean_20260401_090439/resumen_modeling_horizontes.json</t>
        </is>
      </c>
      <c r="G626" s="61" t="inlineStr">
        <is>
          <t>Resumen por horizonte de tamanos muestrales, clases y columnas usadas.</t>
        </is>
      </c>
    </row>
    <row r="627" ht="15" customHeight="1" s="27">
      <c r="A627" s="61" t="inlineStr">
        <is>
          <t>2026-04-01 09:04:42</t>
        </is>
      </c>
      <c r="B627" s="61" t="inlineStr">
        <is>
          <t>E10_v1_clean</t>
        </is>
      </c>
      <c r="C627" s="61" t="inlineStr">
        <is>
          <t>E10</t>
        </is>
      </c>
      <c r="D627" s="61" t="inlineStr">
        <is>
          <t>target_selector</t>
        </is>
      </c>
      <c r="E627" s="61" t="inlineStr">
        <is>
          <t>target_selector_diagnostico.json</t>
        </is>
      </c>
      <c r="F627" s="61" t="inlineStr">
        <is>
          <t>Experimentos/runs/E10_v1_clean_20260401_090439/target_selector_diagnostico.json</t>
        </is>
      </c>
      <c r="G627" s="61" t="inlineStr">
        <is>
          <t>Diagnostico del target del selector y comparacion contra mejor_modelo_operativo.</t>
        </is>
      </c>
    </row>
    <row r="628" ht="15" customHeight="1" s="27">
      <c r="A628" s="61" t="inlineStr">
        <is>
          <t>2026-04-01 09:04:42</t>
        </is>
      </c>
      <c r="B628" s="61" t="inlineStr">
        <is>
          <t>E10_v1_clean</t>
        </is>
      </c>
      <c r="C628" s="61" t="inlineStr">
        <is>
          <t>E10</t>
        </is>
      </c>
      <c r="D628" s="61" t="inlineStr">
        <is>
          <t>comparacion</t>
        </is>
      </c>
      <c r="E628" s="61" t="inlineStr">
        <is>
          <t>comparacion_vs_benchmarks.json</t>
        </is>
      </c>
      <c r="F628" s="61" t="inlineStr">
        <is>
          <t>Experimentos/runs/E10_v1_clean_20260401_090439/comparacion_vs_benchmarks.json</t>
        </is>
      </c>
      <c r="G628" s="61" t="inlineStr">
        <is>
          <t>Comparacion de E10 contra selector fijo, E1_v5_clean y E9_v2_clean sobre el mismo subset de evaluacion.</t>
        </is>
      </c>
    </row>
    <row r="629" ht="15" customHeight="1" s="27">
      <c r="A629" s="61" t="inlineStr">
        <is>
          <t>2026-04-01 09:04:42</t>
        </is>
      </c>
      <c r="B629" s="61" t="inlineStr">
        <is>
          <t>E10_v1_clean</t>
        </is>
      </c>
      <c r="C629" s="61" t="inlineStr">
        <is>
          <t>E10</t>
        </is>
      </c>
      <c r="D629" s="61" t="inlineStr">
        <is>
          <t>resumen_ejecucion</t>
        </is>
      </c>
      <c r="E629" s="61" t="inlineStr">
        <is>
          <t>resumen_ejecucion.md</t>
        </is>
      </c>
      <c r="F629" s="61" t="inlineStr">
        <is>
          <t>Experimentos/runs/E10_v1_clean_20260401_090439/resumen_ejecucion.md</t>
        </is>
      </c>
      <c r="G629" s="61" t="inlineStr">
        <is>
          <t>Resumen metodologico breve de la primera corrida canonica de E10.</t>
        </is>
      </c>
    </row>
    <row r="630" ht="15" customHeight="1" s="27">
      <c r="A630" s="61" t="inlineStr">
        <is>
          <t>2026-04-01 09:04:42</t>
        </is>
      </c>
      <c r="B630" s="61" t="inlineStr">
        <is>
          <t>E10_v1_clean</t>
        </is>
      </c>
      <c r="C630" s="61" t="inlineStr">
        <is>
          <t>E10</t>
        </is>
      </c>
      <c r="D630" s="61" t="inlineStr">
        <is>
          <t>comparacion</t>
        </is>
      </c>
      <c r="E630" s="61" t="inlineStr">
        <is>
          <t>comparacion_vs_E1_v5_clean.json</t>
        </is>
      </c>
      <c r="F630" s="61" t="inlineStr">
        <is>
          <t>Experimentos/runs/E10_v1_clean_20260401_090439/comparacion_vs_E1_v5_clean.json</t>
        </is>
      </c>
      <c r="G630" s="61" t="inlineStr">
        <is>
          <t>Comparacion de la corrida clean contra E1_v5_clean.</t>
        </is>
      </c>
    </row>
    <row r="631" ht="15" customHeight="1" s="27">
      <c r="A631" s="61" t="inlineStr">
        <is>
          <t>2026-04-01 09:04:42</t>
        </is>
      </c>
      <c r="B631" s="61" t="inlineStr">
        <is>
          <t>E10_v1_clean</t>
        </is>
      </c>
      <c r="C631" s="61" t="inlineStr">
        <is>
          <t>E10</t>
        </is>
      </c>
      <c r="D631" s="61" t="inlineStr">
        <is>
          <t>comparacion</t>
        </is>
      </c>
      <c r="E631" s="61" t="inlineStr">
        <is>
          <t>comparacion_vs_E9_v2_clean.json</t>
        </is>
      </c>
      <c r="F631" s="61" t="inlineStr">
        <is>
          <t>Experimentos/runs/E10_v1_clean_20260401_090439/comparacion_vs_E9_v2_clean.json</t>
        </is>
      </c>
      <c r="G631" s="61" t="inlineStr">
        <is>
          <t>Comparacion de la corrida clean contra E9_v2_clean.</t>
        </is>
      </c>
    </row>
    <row r="632" ht="15" customHeight="1" s="27">
      <c r="A632" s="61" t="inlineStr">
        <is>
          <t>2026-04-01 09:04:42</t>
        </is>
      </c>
      <c r="B632" s="61" t="inlineStr">
        <is>
          <t>E10_v1_clean</t>
        </is>
      </c>
      <c r="C632" s="61" t="inlineStr">
        <is>
          <t>E10</t>
        </is>
      </c>
      <c r="D632" s="61" t="inlineStr">
        <is>
          <t>metricas</t>
        </is>
      </c>
      <c r="E632" s="61" t="inlineStr">
        <is>
          <t>metricas_horizonte.json</t>
        </is>
      </c>
      <c r="F632" s="61" t="inlineStr">
        <is>
          <t>Experimentos/runs/E10_v1_clean_20260401_090439/metricas_horizonte.json</t>
        </is>
      </c>
      <c r="G632" s="61" t="inlineStr">
        <is>
          <t>Resumen estructurado por horizonte.</t>
        </is>
      </c>
    </row>
    <row r="633" ht="15" customHeight="1" s="27">
      <c r="A633" s="61" t="inlineStr">
        <is>
          <t>2026-04-01 09:04:42</t>
        </is>
      </c>
      <c r="B633" s="61" t="inlineStr">
        <is>
          <t>E10_v1_clean</t>
        </is>
      </c>
      <c r="C633" s="61" t="inlineStr">
        <is>
          <t>E10</t>
        </is>
      </c>
      <c r="D633" s="61" t="inlineStr">
        <is>
          <t>metadata</t>
        </is>
      </c>
      <c r="E633" s="61" t="inlineStr">
        <is>
          <t>metadata_run.json</t>
        </is>
      </c>
      <c r="F633" s="61" t="inlineStr">
        <is>
          <t>Experimentos/runs/E10_v1_clean_20260401_090439/metadata_run.json</t>
        </is>
      </c>
      <c r="G633" s="61" t="inlineStr">
        <is>
          <t>Metadata base del run.</t>
        </is>
      </c>
    </row>
    <row r="634" ht="15" customHeight="1" s="27">
      <c r="A634" s="61" t="inlineStr">
        <is>
          <t>2026-04-02 06:37:17</t>
        </is>
      </c>
      <c r="B634" s="61" t="inlineStr">
        <is>
          <t>E1_1_v1_bayesian_base</t>
        </is>
      </c>
      <c r="C634" s="61" t="inlineStr">
        <is>
          <t>E1</t>
        </is>
      </c>
      <c r="D634" s="61" t="inlineStr">
        <is>
          <t>script_snapshot</t>
        </is>
      </c>
      <c r="E634" s="61" t="inlineStr">
        <is>
          <t>run_e1_bayesian_ridge.py</t>
        </is>
      </c>
      <c r="F634" s="61" t="inlineStr">
        <is>
          <t>Experimentos/runs/E1_1_v1_bayesian_base_20260402_063714/scripts/run_e1_bayesian_ridge.py</t>
        </is>
      </c>
      <c r="G634" s="61" t="inlineStr">
        <is>
          <t>Copia del script ejecutado para reproducibilidad.</t>
        </is>
      </c>
    </row>
    <row r="635" ht="15" customHeight="1" s="27">
      <c r="A635" s="61" t="inlineStr">
        <is>
          <t>2026-04-02 06:37:17</t>
        </is>
      </c>
      <c r="B635" s="61" t="inlineStr">
        <is>
          <t>E1_1_v1_bayesian_base</t>
        </is>
      </c>
      <c r="C635" s="61" t="inlineStr">
        <is>
          <t>E1</t>
        </is>
      </c>
      <c r="D635" s="61" t="inlineStr">
        <is>
          <t>parametros</t>
        </is>
      </c>
      <c r="E635" s="61" t="inlineStr">
        <is>
          <t>parametros_run.json</t>
        </is>
      </c>
      <c r="F635" s="61" t="inlineStr">
        <is>
          <t>Experimentos/runs/E1_1_v1_bayesian_base_20260402_063714/parametros_run.json</t>
        </is>
      </c>
      <c r="G635" s="61" t="inlineStr">
        <is>
          <t>Parametros del experimento.</t>
        </is>
      </c>
    </row>
    <row r="636" ht="15" customHeight="1" s="27">
      <c r="A636" s="61" t="inlineStr">
        <is>
          <t>2026-04-02 06:37:17</t>
        </is>
      </c>
      <c r="B636" s="61" t="inlineStr">
        <is>
          <t>E1_1_v1_bayesian_base</t>
        </is>
      </c>
      <c r="C636" s="61" t="inlineStr">
        <is>
          <t>E1</t>
        </is>
      </c>
      <c r="D636" s="61" t="inlineStr">
        <is>
          <t>seleccion_features</t>
        </is>
      </c>
      <c r="E636" s="61" t="inlineStr">
        <is>
          <t>features_seleccionadas_h1.csv</t>
        </is>
      </c>
      <c r="F636" s="61" t="inlineStr">
        <is>
          <t>Experimentos/runs/E1_1_v1_bayesian_base_20260402_063714/features_seleccionadas_h1.csv</t>
        </is>
      </c>
      <c r="G636" s="61" t="inlineStr">
        <is>
          <t>Resumen de combinaciones de features seleccionadas por fold externo. El filtro se calcula solo con el train de cada fold externo.</t>
        </is>
      </c>
    </row>
    <row r="637" ht="15" customHeight="1" s="27">
      <c r="A637" s="61" t="inlineStr">
        <is>
          <t>2026-04-02 06:37:17</t>
        </is>
      </c>
      <c r="B637" s="61" t="inlineStr">
        <is>
          <t>E1_1_v1_bayesian_base</t>
        </is>
      </c>
      <c r="C637" s="61" t="inlineStr">
        <is>
          <t>E1</t>
        </is>
      </c>
      <c r="D637" s="61" t="inlineStr">
        <is>
          <t>seleccion_features</t>
        </is>
      </c>
      <c r="E637" s="61" t="inlineStr">
        <is>
          <t>features_seleccionadas_h2.csv</t>
        </is>
      </c>
      <c r="F637" s="61" t="inlineStr">
        <is>
          <t>Experimentos/runs/E1_1_v1_bayesian_base_20260402_063714/features_seleccionadas_h2.csv</t>
        </is>
      </c>
      <c r="G637" s="61" t="inlineStr">
        <is>
          <t>Resumen de combinaciones de features seleccionadas por fold externo. El filtro se calcula solo con el train de cada fold externo.</t>
        </is>
      </c>
    </row>
    <row r="638" ht="15" customHeight="1" s="27">
      <c r="A638" s="61" t="inlineStr">
        <is>
          <t>2026-04-02 06:37:17</t>
        </is>
      </c>
      <c r="B638" s="61" t="inlineStr">
        <is>
          <t>E1_1_v1_bayesian_base</t>
        </is>
      </c>
      <c r="C638" s="61" t="inlineStr">
        <is>
          <t>E1</t>
        </is>
      </c>
      <c r="D638" s="61" t="inlineStr">
        <is>
          <t>seleccion_features</t>
        </is>
      </c>
      <c r="E638" s="61" t="inlineStr">
        <is>
          <t>features_seleccionadas_h3.csv</t>
        </is>
      </c>
      <c r="F638" s="61" t="inlineStr">
        <is>
          <t>Experimentos/runs/E1_1_v1_bayesian_base_20260402_063714/features_seleccionadas_h3.csv</t>
        </is>
      </c>
      <c r="G638" s="61" t="inlineStr">
        <is>
          <t>Resumen de combinaciones de features seleccionadas por fold externo. El filtro se calcula solo con el train de cada fold externo.</t>
        </is>
      </c>
    </row>
    <row r="639" ht="15" customHeight="1" s="27">
      <c r="A639" s="61" t="inlineStr">
        <is>
          <t>2026-04-02 06:37:17</t>
        </is>
      </c>
      <c r="B639" s="61" t="inlineStr">
        <is>
          <t>E1_1_v1_bayesian_base</t>
        </is>
      </c>
      <c r="C639" s="61" t="inlineStr">
        <is>
          <t>E1</t>
        </is>
      </c>
      <c r="D639" s="61" t="inlineStr">
        <is>
          <t>seleccion_features</t>
        </is>
      </c>
      <c r="E639" s="61" t="inlineStr">
        <is>
          <t>features_seleccionadas_h4.csv</t>
        </is>
      </c>
      <c r="F639" s="61" t="inlineStr">
        <is>
          <t>Experimentos/runs/E1_1_v1_bayesian_base_20260402_063714/features_seleccionadas_h4.csv</t>
        </is>
      </c>
      <c r="G639" s="61" t="inlineStr">
        <is>
          <t>Resumen de combinaciones de features seleccionadas por fold externo. El filtro se calcula solo con el train de cada fold externo.</t>
        </is>
      </c>
    </row>
    <row r="640" ht="15" customHeight="1" s="27">
      <c r="A640" s="61" t="inlineStr">
        <is>
          <t>2026-04-02 06:37:17</t>
        </is>
      </c>
      <c r="B640" s="61" t="inlineStr">
        <is>
          <t>E1_1_v1_bayesian_base</t>
        </is>
      </c>
      <c r="C640" s="61" t="inlineStr">
        <is>
          <t>E1</t>
        </is>
      </c>
      <c r="D640" s="61" t="inlineStr">
        <is>
          <t>predicciones</t>
        </is>
      </c>
      <c r="E640" s="61" t="inlineStr">
        <is>
          <t>predicciones_h1.csv</t>
        </is>
      </c>
      <c r="F640" s="61" t="inlineStr">
        <is>
          <t>Experimentos/runs/E1_1_v1_bayesian_base_20260402_063714/predicciones_h1.csv</t>
        </is>
      </c>
      <c r="G640" s="61" t="inlineStr">
        <is>
          <t>Predicciones walk-forward para horizonte 1.</t>
        </is>
      </c>
    </row>
    <row r="641" ht="15" customHeight="1" s="27">
      <c r="A641" s="61" t="inlineStr">
        <is>
          <t>2026-04-02 06:37:17</t>
        </is>
      </c>
      <c r="B641" s="61" t="inlineStr">
        <is>
          <t>E1_1_v1_bayesian_base</t>
        </is>
      </c>
      <c r="C641" s="61" t="inlineStr">
        <is>
          <t>E1</t>
        </is>
      </c>
      <c r="D641" s="61" t="inlineStr">
        <is>
          <t>predicciones</t>
        </is>
      </c>
      <c r="E641" s="61" t="inlineStr">
        <is>
          <t>predicciones_h2.csv</t>
        </is>
      </c>
      <c r="F641" s="61" t="inlineStr">
        <is>
          <t>Experimentos/runs/E1_1_v1_bayesian_base_20260402_063714/predicciones_h2.csv</t>
        </is>
      </c>
      <c r="G641" s="61" t="inlineStr">
        <is>
          <t>Predicciones walk-forward para horizonte 2.</t>
        </is>
      </c>
    </row>
    <row r="642" ht="15" customHeight="1" s="27">
      <c r="A642" s="61" t="inlineStr">
        <is>
          <t>2026-04-02 06:37:17</t>
        </is>
      </c>
      <c r="B642" s="61" t="inlineStr">
        <is>
          <t>E1_1_v1_bayesian_base</t>
        </is>
      </c>
      <c r="C642" s="61" t="inlineStr">
        <is>
          <t>E1</t>
        </is>
      </c>
      <c r="D642" s="61" t="inlineStr">
        <is>
          <t>predicciones</t>
        </is>
      </c>
      <c r="E642" s="61" t="inlineStr">
        <is>
          <t>predicciones_h3.csv</t>
        </is>
      </c>
      <c r="F642" s="61" t="inlineStr">
        <is>
          <t>Experimentos/runs/E1_1_v1_bayesian_base_20260402_063714/predicciones_h3.csv</t>
        </is>
      </c>
      <c r="G642" s="61" t="inlineStr">
        <is>
          <t>Predicciones walk-forward para horizonte 3.</t>
        </is>
      </c>
    </row>
    <row r="643" ht="15" customHeight="1" s="27">
      <c r="A643" s="61" t="inlineStr">
        <is>
          <t>2026-04-02 06:37:17</t>
        </is>
      </c>
      <c r="B643" s="61" t="inlineStr">
        <is>
          <t>E1_1_v1_bayesian_base</t>
        </is>
      </c>
      <c r="C643" s="61" t="inlineStr">
        <is>
          <t>E1</t>
        </is>
      </c>
      <c r="D643" s="61" t="inlineStr">
        <is>
          <t>predicciones</t>
        </is>
      </c>
      <c r="E643" s="61" t="inlineStr">
        <is>
          <t>predicciones_h4.csv</t>
        </is>
      </c>
      <c r="F643" s="61" t="inlineStr">
        <is>
          <t>Experimentos/runs/E1_1_v1_bayesian_base_20260402_063714/predicciones_h4.csv</t>
        </is>
      </c>
      <c r="G643" s="61" t="inlineStr">
        <is>
          <t>Predicciones walk-forward para horizonte 4.</t>
        </is>
      </c>
    </row>
    <row r="644" ht="15" customHeight="1" s="27">
      <c r="A644" s="61" t="inlineStr">
        <is>
          <t>2026-04-02 06:37:17</t>
        </is>
      </c>
      <c r="B644" s="61" t="inlineStr">
        <is>
          <t>E1_1_v1_bayesian_base</t>
        </is>
      </c>
      <c r="C644" s="61" t="inlineStr">
        <is>
          <t>E1</t>
        </is>
      </c>
      <c r="D644" s="61" t="inlineStr">
        <is>
          <t>resumen</t>
        </is>
      </c>
      <c r="E644" s="61" t="inlineStr">
        <is>
          <t>resumen_modeling_horizontes.json</t>
        </is>
      </c>
      <c r="F644" s="61" t="inlineStr">
        <is>
          <t>Experimentos/runs/E1_1_v1_bayesian_base_20260402_063714/resumen_modeling_horizontes.json</t>
        </is>
      </c>
      <c r="G644" s="61" t="inlineStr">
        <is>
          <t>Resumen de tamanos y seleccion de features por horizonte.</t>
        </is>
      </c>
    </row>
    <row r="645" ht="15" customHeight="1" s="27">
      <c r="A645" s="61" t="inlineStr">
        <is>
          <t>2026-04-02 06:37:17</t>
        </is>
      </c>
      <c r="B645" s="61" t="inlineStr">
        <is>
          <t>E1_1_v1_bayesian_base</t>
        </is>
      </c>
      <c r="C645" s="61" t="inlineStr">
        <is>
          <t>E1</t>
        </is>
      </c>
      <c r="D645" s="61" t="inlineStr">
        <is>
          <t>comparacion</t>
        </is>
      </c>
      <c r="E645" s="61" t="inlineStr">
        <is>
          <t>comparacion_vs_E1_v5_clean.json</t>
        </is>
      </c>
      <c r="F645" s="61" t="inlineStr">
        <is>
          <t>Experimentos/runs/E1_1_v1_bayesian_base_20260402_063714/comparacion_vs_E1_v5_clean.json</t>
        </is>
      </c>
      <c r="G645" s="61" t="inlineStr">
        <is>
          <t>Comparacion de la corrida clean contra E1_v5_clean.</t>
        </is>
      </c>
    </row>
    <row r="646" ht="15" customHeight="1" s="27">
      <c r="A646" s="61" t="inlineStr">
        <is>
          <t>2026-04-02 06:37:17</t>
        </is>
      </c>
      <c r="B646" s="61" t="inlineStr">
        <is>
          <t>E1_1_v1_bayesian_base</t>
        </is>
      </c>
      <c r="C646" s="61" t="inlineStr">
        <is>
          <t>E1</t>
        </is>
      </c>
      <c r="D646" s="61" t="inlineStr">
        <is>
          <t>comparacion</t>
        </is>
      </c>
      <c r="E646" s="61" t="inlineStr">
        <is>
          <t>comparacion_vs_E1_v4_clean.json</t>
        </is>
      </c>
      <c r="F646" s="61" t="inlineStr">
        <is>
          <t>Experimentos/runs/E1_1_v1_bayesian_base_20260402_063714/comparacion_vs_E1_v4_clean.json</t>
        </is>
      </c>
      <c r="G646" s="61" t="inlineStr">
        <is>
          <t>Comparacion de la corrida clean contra E1_v4_clean.</t>
        </is>
      </c>
    </row>
    <row r="647" ht="15" customHeight="1" s="27">
      <c r="A647" s="61" t="inlineStr">
        <is>
          <t>2026-04-02 06:37:17</t>
        </is>
      </c>
      <c r="B647" s="61" t="inlineStr">
        <is>
          <t>E1_1_v1_bayesian_base</t>
        </is>
      </c>
      <c r="C647" s="61" t="inlineStr">
        <is>
          <t>E1</t>
        </is>
      </c>
      <c r="D647" s="61" t="inlineStr">
        <is>
          <t>comparacion</t>
        </is>
      </c>
      <c r="E647" s="61" t="inlineStr">
        <is>
          <t>comparacion_vs_E1_v2_clean.json</t>
        </is>
      </c>
      <c r="F647" s="61" t="inlineStr">
        <is>
          <t>Experimentos/runs/E1_1_v1_bayesian_base_20260402_063714/comparacion_vs_E1_v2_clean.json</t>
        </is>
      </c>
      <c r="G647" s="61" t="inlineStr">
        <is>
          <t>Comparacion de la corrida clean contra E1_v2_clean.</t>
        </is>
      </c>
    </row>
    <row r="648" ht="15" customHeight="1" s="27">
      <c r="A648" s="61" t="inlineStr">
        <is>
          <t>2026-04-02 06:37:17</t>
        </is>
      </c>
      <c r="B648" s="61" t="inlineStr">
        <is>
          <t>E1_1_v1_bayesian_base</t>
        </is>
      </c>
      <c r="C648" s="61" t="inlineStr">
        <is>
          <t>E1</t>
        </is>
      </c>
      <c r="D648" s="61" t="inlineStr">
        <is>
          <t>metricas</t>
        </is>
      </c>
      <c r="E648" s="61" t="inlineStr">
        <is>
          <t>metricas_horizonte.json</t>
        </is>
      </c>
      <c r="F648" s="61" t="inlineStr">
        <is>
          <t>Experimentos/runs/E1_1_v1_bayesian_base_20260402_063714/metricas_horizonte.json</t>
        </is>
      </c>
      <c r="G648" s="61" t="inlineStr">
        <is>
          <t>Resumen estructurado por horizonte.</t>
        </is>
      </c>
    </row>
    <row r="649" ht="15" customHeight="1" s="27">
      <c r="A649" s="61" t="inlineStr">
        <is>
          <t>2026-04-02 06:37:17</t>
        </is>
      </c>
      <c r="B649" s="61" t="inlineStr">
        <is>
          <t>E1_1_v1_bayesian_base</t>
        </is>
      </c>
      <c r="C649" s="61" t="inlineStr">
        <is>
          <t>E1</t>
        </is>
      </c>
      <c r="D649" s="61" t="inlineStr">
        <is>
          <t>metadata</t>
        </is>
      </c>
      <c r="E649" s="61" t="inlineStr">
        <is>
          <t>metadata_run.json</t>
        </is>
      </c>
      <c r="F649" s="61" t="inlineStr">
        <is>
          <t>Experimentos/runs/E1_1_v1_bayesian_base_20260402_063714/metadata_run.json</t>
        </is>
      </c>
      <c r="G649" s="61" t="inlineStr">
        <is>
          <t>Metadata base del run.</t>
        </is>
      </c>
    </row>
    <row r="650" ht="15" customHeight="1" s="27">
      <c r="A650" s="61" t="inlineStr">
        <is>
          <t>2026-04-14 05:00:29</t>
        </is>
      </c>
      <c r="B650" s="61" t="inlineStr">
        <is>
          <t>OP_W14_CONTROLLED</t>
        </is>
      </c>
      <c r="C650" s="61" t="inlineStr">
        <is>
          <t>E1</t>
        </is>
      </c>
      <c r="D650" s="61" t="inlineStr">
        <is>
          <t>script_snapshot</t>
        </is>
      </c>
      <c r="E650" s="61" t="inlineStr">
        <is>
          <t>run_e1_ridge_clean.py</t>
        </is>
      </c>
      <c r="F650" s="61" t="inlineStr">
        <is>
          <t>experiments/runs/OP_W14_CONTROLLED_20260414_050018/scripts/run_e1_ridge_clean.py</t>
        </is>
      </c>
      <c r="G650" s="61" t="inlineStr">
        <is>
          <t>Copia del script ejecutado para reproducibilidad.</t>
        </is>
      </c>
    </row>
    <row r="651" ht="15" customHeight="1" s="27">
      <c r="A651" s="61" t="inlineStr">
        <is>
          <t>2026-04-14 05:00:29</t>
        </is>
      </c>
      <c r="B651" s="61" t="inlineStr">
        <is>
          <t>OP_W14_CONTROLLED</t>
        </is>
      </c>
      <c r="C651" s="61" t="inlineStr">
        <is>
          <t>E1</t>
        </is>
      </c>
      <c r="D651" s="61" t="inlineStr">
        <is>
          <t>parametros</t>
        </is>
      </c>
      <c r="E651" s="61" t="inlineStr">
        <is>
          <t>parametros_run.json</t>
        </is>
      </c>
      <c r="F651" s="61" t="inlineStr">
        <is>
          <t>experiments/runs/OP_W14_CONTROLLED_20260414_050018/parametros_run.json</t>
        </is>
      </c>
      <c r="G651" s="61" t="inlineStr">
        <is>
          <t>Parametros del experimento.</t>
        </is>
      </c>
    </row>
    <row r="652" ht="15" customHeight="1" s="27">
      <c r="A652" s="61" t="inlineStr">
        <is>
          <t>2026-04-14 05:00:29</t>
        </is>
      </c>
      <c r="B652" s="61" t="inlineStr">
        <is>
          <t>OP_W14_CONTROLLED</t>
        </is>
      </c>
      <c r="C652" s="61" t="inlineStr">
        <is>
          <t>E1</t>
        </is>
      </c>
      <c r="D652" s="61" t="inlineStr">
        <is>
          <t>predicciones</t>
        </is>
      </c>
      <c r="E652" s="61" t="inlineStr">
        <is>
          <t>predicciones_h1.csv</t>
        </is>
      </c>
      <c r="F652" s="61" t="inlineStr">
        <is>
          <t>experiments/runs/OP_W14_CONTROLLED_20260414_050018/predicciones_h1.csv</t>
        </is>
      </c>
      <c r="G652" s="61" t="inlineStr">
        <is>
          <t>Predicciones walk-forward para horizonte 1.</t>
        </is>
      </c>
    </row>
    <row r="653" ht="15" customHeight="1" s="27">
      <c r="A653" s="61" t="inlineStr">
        <is>
          <t>2026-04-14 05:00:29</t>
        </is>
      </c>
      <c r="B653" s="61" t="inlineStr">
        <is>
          <t>OP_W14_CONTROLLED</t>
        </is>
      </c>
      <c r="C653" s="61" t="inlineStr">
        <is>
          <t>E1</t>
        </is>
      </c>
      <c r="D653" s="61" t="inlineStr">
        <is>
          <t>resumen</t>
        </is>
      </c>
      <c r="E653" s="61" t="inlineStr">
        <is>
          <t>resumen_modeling_horizontes.json</t>
        </is>
      </c>
      <c r="F653" s="61" t="inlineStr">
        <is>
          <t>experiments/runs/OP_W14_CONTROLLED_20260414_050018/resumen_modeling_horizontes.json</t>
        </is>
      </c>
      <c r="G653" s="61" t="inlineStr">
        <is>
          <t>Resumen de tamanos y seleccion de features por horizonte.</t>
        </is>
      </c>
    </row>
    <row r="654" ht="15" customHeight="1" s="27">
      <c r="A654" s="61" t="inlineStr">
        <is>
          <t>2026-04-14 05:00:29</t>
        </is>
      </c>
      <c r="B654" s="61" t="inlineStr">
        <is>
          <t>OP_W14_CONTROLLED</t>
        </is>
      </c>
      <c r="C654" s="61" t="inlineStr">
        <is>
          <t>E1</t>
        </is>
      </c>
      <c r="D654" s="61" t="inlineStr">
        <is>
          <t>tuning</t>
        </is>
      </c>
      <c r="E654" s="61" t="inlineStr">
        <is>
          <t>alpha_tuning_horizontes.json</t>
        </is>
      </c>
      <c r="F654" s="61" t="inlineStr">
        <is>
          <t>experiments/runs/OP_W14_CONTROLLED_20260414_050018/alpha_tuning_horizontes.json</t>
        </is>
      </c>
      <c r="G654" s="61" t="inlineStr">
        <is>
          <t>Best alpha por fold externo y resumen por horizonte.</t>
        </is>
      </c>
    </row>
    <row r="655" ht="15" customHeight="1" s="27">
      <c r="A655" s="61" t="inlineStr">
        <is>
          <t>2026-04-14 05:00:29</t>
        </is>
      </c>
      <c r="B655" s="61" t="inlineStr">
        <is>
          <t>OP_W14_CONTROLLED</t>
        </is>
      </c>
      <c r="C655" s="61" t="inlineStr">
        <is>
          <t>E1</t>
        </is>
      </c>
      <c r="D655" s="61" t="inlineStr">
        <is>
          <t>comparacion</t>
        </is>
      </c>
      <c r="E655" s="61" t="inlineStr">
        <is>
          <t>comparacion_vs_E1_v2_clean.json</t>
        </is>
      </c>
      <c r="F655" s="61" t="inlineStr">
        <is>
          <t>experiments/runs/OP_W14_CONTROLLED_20260414_050018/comparacion_vs_E1_v2_clean.json</t>
        </is>
      </c>
      <c r="G655" s="61" t="inlineStr">
        <is>
          <t>Comparacion de la corrida clean contra E1_v2_clean.</t>
        </is>
      </c>
    </row>
    <row r="656" ht="15" customHeight="1" s="27">
      <c r="A656" s="61" t="inlineStr">
        <is>
          <t>2026-04-14 05:00:29</t>
        </is>
      </c>
      <c r="B656" s="61" t="inlineStr">
        <is>
          <t>OP_W14_CONTROLLED</t>
        </is>
      </c>
      <c r="C656" s="61" t="inlineStr">
        <is>
          <t>E1</t>
        </is>
      </c>
      <c r="D656" s="61" t="inlineStr">
        <is>
          <t>metricas</t>
        </is>
      </c>
      <c r="E656" s="61" t="inlineStr">
        <is>
          <t>metricas_horizonte.json</t>
        </is>
      </c>
      <c r="F656" s="61" t="inlineStr">
        <is>
          <t>experiments/runs/OP_W14_CONTROLLED_20260414_050018/metricas_horizonte.json</t>
        </is>
      </c>
      <c r="G656" s="61" t="inlineStr">
        <is>
          <t>Resumen estructurado por horizonte.</t>
        </is>
      </c>
    </row>
    <row r="657" ht="15" customHeight="1" s="27">
      <c r="A657" s="61" t="inlineStr">
        <is>
          <t>2026-04-14 05:00:29</t>
        </is>
      </c>
      <c r="B657" s="61" t="inlineStr">
        <is>
          <t>OP_W14_CONTROLLED</t>
        </is>
      </c>
      <c r="C657" s="61" t="inlineStr">
        <is>
          <t>E1</t>
        </is>
      </c>
      <c r="D657" s="61" t="inlineStr">
        <is>
          <t>metadata</t>
        </is>
      </c>
      <c r="E657" s="61" t="inlineStr">
        <is>
          <t>metadata_run.json</t>
        </is>
      </c>
      <c r="F657" s="61" t="inlineStr">
        <is>
          <t>experiments/runs/OP_W14_CONTROLLED_20260414_050018/metadata_run.json</t>
        </is>
      </c>
      <c r="G657" s="61" t="inlineStr">
        <is>
          <t>Metadata base del run.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es-ES</dc:language>
  <dcterms:created xmlns:dcterms="http://purl.org/dc/terms/" xmlns:xsi="http://www.w3.org/2001/XMLSchema-instance" xsi:type="dcterms:W3CDTF">2026-03-21T12:00:44Z</dcterms:created>
  <dcterms:modified xmlns:dcterms="http://purl.org/dc/terms/" xmlns:xsi="http://www.w3.org/2001/XMLSchema-instance" xsi:type="dcterms:W3CDTF">2026-04-14T11:00:29+00:00Z</dcterms:modified>
  <cp:revision>2</cp:revision>
</cp:coreProperties>
</file>