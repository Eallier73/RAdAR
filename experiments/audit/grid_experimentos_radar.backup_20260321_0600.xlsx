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2694b0867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ab18474db54d5f"/>
    <x:sheet xmlns:r="http://schemas.openxmlformats.org/officeDocument/2006/relationships" name="CONFIG_REFERENCIA" sheetId="2" r:id="Re912d6f593bb40c4"/>
    <x:sheet xmlns:r="http://schemas.openxmlformats.org/officeDocument/2006/relationships" name="CATALOGO_EXPERIMENTOS" sheetId="3" r:id="R078799a64cd04a55"/>
    <x:sheet xmlns:r="http://schemas.openxmlformats.org/officeDocument/2006/relationships" name="RESULTADOS_GRID" sheetId="4" r:id="R3f2caac900b545e1"/>
    <x:sheet xmlns:r="http://schemas.openxmlformats.org/officeDocument/2006/relationships" name="RUN_SUMMARY" sheetId="5" r:id="Rc04ad1ea58a947c6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S1" authorId="0">
      <x:text>
        <x:r>
          <x:t>Peso del horizonte traído desde CONFIG_REFERENCIA según Horizonte_sem</x:t>
        </x:r>
      </x:text>
    </x:comment>
    <x:comment ref="X1" authorId="0">
      <x:text>
        <x:r>
          <x:t>Loss_h = w_h × (alpha×L_num + beta×L_trend + gamma×L_risk + delta×L_tol)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I1" authorId="0">
      <x:text>
        <x:r>
          <x:t>L_total_Radar = Σ Loss_h + eta × L_coh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00"/>
  </x:numFmts>
  <x:fonts count="7">
    <x:font>
      <x:sz val="11"/>
      <x:color theme="1"/>
      <x:name val="Calibri"/>
      <x:family val="2"/>
      <x:scheme val="minor"/>
    </x:font>
    <x:font>
      <x:b/>
      <x:sz val="16"/>
      <x:color rgb="001F4E78"/>
      <x:name val="Calibri"/>
    </x:font>
    <x:font>
      <x:sz val="10"/>
      <x:color rgb="00000000"/>
      <x:name val="Calibri"/>
    </x:font>
    <x:font>
      <x:b/>
      <x:sz val="11"/>
      <x:color rgb="00FFFFFF"/>
      <x:name val="Calibri"/>
    </x:font>
    <x:font>
      <x:sz val="10"/>
      <x:color rgb="00666666"/>
      <x:name val="Calibri"/>
    </x:font>
    <x:font>
      <x:sz val="10"/>
      <x:color rgb="007030A0"/>
      <x:name val="Calibri"/>
    </x:font>
    <x:font>
      <x:sz val="10"/>
      <x:color rgb="000000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DCF8"/>
      </x:patternFill>
    </x:fill>
    <x:fill>
      <x:patternFill patternType="solid">
        <x:fgColor rgb="00E7E6E6"/>
      </x:patternFill>
    </x:fill>
    <x:fill>
      <x:patternFill patternType="solid">
        <x:fgColor rgb="00F5F5F5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medium">
        <x:color rgb="001F4E7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2" fillId="0" borderId="0" xfId="0" applyAlignment="1">
      <x:alignment wrapText="1"/>
    </x:xf>
    <x:xf numFmtId="0" fontId="3" fillId="2" borderId="1" xfId="0" applyAlignment="1">
      <x:alignment horizontal="center" vertical="center" wrapText="1"/>
    </x:xf>
    <x:xf numFmtId="0" fontId="4" fillId="0" borderId="0" xfId="0"/>
    <x:xf numFmtId="164" fontId="5" fillId="3" borderId="0" xfId="0"/>
    <x:xf numFmtId="0" fontId="4" fillId="4" borderId="0" xfId="0"/>
    <x:xf numFmtId="0" fontId="4" fillId="4" borderId="0" xfId="0" applyAlignment="1">
      <x:alignment vertical="top" wrapText="1"/>
    </x:xf>
    <x:xf numFmtId="0" fontId="4" fillId="5" borderId="0" xfId="0" applyAlignment="1">
      <x:alignment vertical="top" wrapText="1"/>
    </x:xf>
    <x:xf numFmtId="0" fontId="6" fillId="6" borderId="0" xfId="0" applyAlignment="1">
      <x:alignment vertical="top" wrapText="1"/>
    </x:xf>
    <x:xf numFmtId="164" fontId="2" fillId="5" borderId="0" xfId="0" applyAlignment="1">
      <x:alignment vertical="top" wrapText="1"/>
    </x:xf>
    <x:xf numFmtId="164" fontId="5" fillId="3" borderId="0" xfId="0" applyAlignment="1">
      <x:alignment vertical="top" wrapText="1"/>
    </x:xf>
    <x:xf numFmtId="165" fontId="6" fillId="6" borderId="0" xfId="0" applyAlignment="1">
      <x:alignment vertical="top" wrapText="1"/>
    </x:xf>
    <x:xf numFmtId="165" fontId="2" fillId="5" borderId="0" xfId="0" applyAlignment="1">
      <x:alignment vertical="top" wrapText="1"/>
    </x:xf>
    <x:xf numFmtId="164" fontId="6" fillId="6" borderId="0" xfId="0" applyAlignment="1">
      <x:alignment vertical="top" wrapText="1"/>
    </x:xf>
    <x:xf numFmtId="0" fontId="2" fillId="5" borderId="0" xfId="0" applyAlignment="1">
      <x:alignment vertical="top" wrapText="1"/>
    </x:xf>
    <x:xf numFmtId="164" fontId="5" fillId="5" borderId="0" xfId="0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00FDE9D9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5f59f6a0d4e6e" /><Relationship Type="http://schemas.openxmlformats.org/officeDocument/2006/relationships/theme" Target="/xl/theme/theme1.xml" Id="R2f8031c19c734ded" /><Relationship Type="http://schemas.openxmlformats.org/officeDocument/2006/relationships/sharedStrings" Target="/xl/sharedStrings.xml" Id="Refd25584f4b842c2" /><Relationship Type="http://schemas.openxmlformats.org/officeDocument/2006/relationships/worksheet" Target="/xl/worksheets/sheet1.xml" Id="R61ab18474db54d5f" /><Relationship Type="http://schemas.openxmlformats.org/officeDocument/2006/relationships/worksheet" Target="/xl/worksheets/sheet2.xml" Id="Re912d6f593bb40c4" /><Relationship Type="http://schemas.openxmlformats.org/officeDocument/2006/relationships/worksheet" Target="/xl/worksheets/sheet3.xml" Id="R078799a64cd04a55" /><Relationship Type="http://schemas.openxmlformats.org/officeDocument/2006/relationships/worksheet" Target="/xl/worksheets/sheet4.xml" Id="R3f2caac900b545e1" /><Relationship Type="http://schemas.openxmlformats.org/officeDocument/2006/relationships/worksheet" Target="/xl/worksheets/sheet5.xml" Id="Rc04ad1ea58a947c6" /><Relationship Type="http://schemas.microsoft.com/office/2017/10/relationships/person" Target="/xl/persons/person.xml" Id="R0bc1acccaeba42d8" /></Relationships>
</file>

<file path=xl/persons/person.xml><?xml version="1.0" encoding="utf-8"?>
<xltc:personList xmlns:xltc="http://schemas.microsoft.com/office/spreadsheetml/2018/threadedcomments">
  <xltc:person displayName="OpenAI" id="{CCF42EDA-9D0B-3355-127C-B735C42C8D75}"/>
  <xltc:person displayName="OpenAI" id="{8868488D-FD0A-095C-8B74-DD5729E758E8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c934b4a415014f11" /><Relationship Type="http://schemas.openxmlformats.org/officeDocument/2006/relationships/vmlDrawing" Target="/xl/drawings/vmldrawing.vml" Id="Re4d950ee0cc64f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5b7f99ea4b824f76" /><Relationship Type="http://schemas.openxmlformats.org/officeDocument/2006/relationships/vmlDrawing" Target="/xl/drawings/vmldrawing2.vml" Id="R2d60cc1848b545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 ht="26" customHeight="1">
      <x:c r="A1" s="1" t="inlineStr">
        <x:is>
          <x:t xml:space="preserve">Grid de experimentos del Radar</x:t>
        </x:is>
      </x:c>
    </x:row>
    <x:row r="2" ht="20" customHeight="1"/>
    <x:row r="3" ht="20" customHeight="1">
      <x:c r="A3" s="2" t="inlineStr">
        <x:is>
          <x:t xml:space="preserve">Basado en el esquema del archivo subido: Funcion_Perdida_Radar_y_Grid_Experimentos.docx</x:t>
        </x:is>
      </x:c>
    </x:row>
    <x:row r="4" ht="20" customHeight="1"/>
    <x:row r="5" ht="20" customHeight="1">
      <x:c r="A5" s="3" t="inlineStr">
        <x:is>
          <x:t xml:space="preserve">Cómo usar este archivo</x:t>
        </x:is>
      </x:c>
    </x:row>
    <x:row r="6" ht="20" customHeight="1">
      <x:c r="A6" s="4" t="inlineStr">
        <x:is>
          <x:t xml:space="preserve">1) En 'RESULTADOS_GRID', cada fila representa un resultado por horizonte (1, 2, 3 o 4 semanas) para un run.</x:t>
        </x:is>
      </x:c>
    </x:row>
    <x:row r="7" ht="20" customHeight="1">
      <x:c r="A7" s="4" t="inlineStr">
        <x:is>
          <x:t xml:space="preserve">2) Completa métricas de entrada: L_num, L_trend, L_risk, L_tol, MAE, RMSE, dirección accuracy y detección de caídas.</x:t>
        </x:is>
      </x:c>
    </x:row>
    <x:row r="8" ht="20" customHeight="1">
      <x:c r="A8" s="4" t="inlineStr">
        <x:is>
          <x:t xml:space="preserve">3) Los pesos alpha, beta, gamma, delta y w_h se traen automáticamente desde 'CONFIG_REFERENCIA'.</x:t>
        </x:is>
      </x:c>
    </x:row>
    <x:row r="9" ht="20" customHeight="1">
      <x:c r="A9" s="4" t="inlineStr">
        <x:is>
          <x:t xml:space="preserve">4) En 'RUN_SUMMARY' se consolida el score multi-horizonte por Run_ID y se calcula L_total_Radar = Σ Loss_h + eta × L_coh.</x:t>
        </x:is>
      </x:c>
    </x:row>
    <x:row r="10" ht="20" customHeight="1">
      <x:c r="A10" s="4" t="inlineStr">
        <x:is>
          <x:t xml:space="preserve">5) Usa 'CATALOGO_EXPERIMENTOS' como plantilla base (E1–E10) y duplica o añade runs según vayas probando variantes.</x:t>
        </x:is>
      </x:c>
    </x:row>
    <x:row r="11" ht="20" customHeight="1"/>
    <x:row r="12" ht="20" customHeight="1">
      <x:c r="A12" s="3" t="inlineStr">
        <x:is>
          <x:t xml:space="preserve">Notas</x:t>
        </x:is>
      </x:c>
    </x:row>
    <x:row r="13" ht="20" customHeight="1">
      <x:c r="A13" s="2" t="inlineStr">
        <x:is>
          <x:t xml:space="preserve">• Horizonte sugerido: 1, 2, 3 y 4 semanas.</x:t>
        </x:is>
      </x:c>
    </x:row>
    <x:row r="14" ht="20" customHeight="1">
      <x:c r="A14" s="2" t="inlineStr">
        <x:is>
          <x:t xml:space="preserve">• Pesos iniciales del documento: w1=30%, w2=25%, w3=30%, w4=15%; alpha=35%, beta=25%, gamma=25%, delta=10%, eta=5%.</x:t>
        </x:is>
      </x:c>
    </x:row>
    <x:row r="15" ht="20" customHeight="1">
      <x:c r="A15" s="2" t="inlineStr">
        <x:is>
          <x:t xml:space="preserve">• Puedes cambiar los pesos en 'CONFIG_REFERENCIA' y todas las fórmulas se actualizarán.</x:t>
        </x:is>
      </x:c>
    </x:row>
    <x:row r="16" ht="20" customHeight="1"/>
    <x:row r="17" ht="20" customHeight="1">
      <x:c r="A17" s="3" t="inlineStr">
        <x:is>
          <x:t xml:space="preserve">Convención visual</x:t>
        </x:is>
      </x:c>
    </x:row>
    <x:row r="18" ht="20" customHeight="1">
      <x:c r="A18" s="2" t="inlineStr">
        <x:is>
          <x:t xml:space="preserve">Azul = input editable</x:t>
        </x:is>
      </x:c>
    </x:row>
    <x:row r="19" ht="20" customHeight="1">
      <x:c r="A19" s="2" t="inlineStr">
        <x:is>
          <x:t xml:space="preserve">Negro = fórmula / cálculo</x:t>
        </x:is>
      </x:c>
    </x:row>
    <x:row r="20" ht="20" customHeight="1">
      <x:c r="A20" s="2" t="inlineStr">
        <x:is>
          <x:t xml:space="preserve">Gris = texto o catálogo base</x:t>
        </x:is>
      </x:c>
    </x:row>
    <x:row r="21" ht="20" customHeight="1">
      <x:c r="A21" s="2" t="inlineStr">
        <x:is>
          <x:t xml:space="preserve">Morado = control / lógica</x:t>
        </x:is>
      </x:c>
    </x:row>
    <x:row r="22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0" customWidth="1"/>
    <x:col min="4" max="4" width="14" customWidth="1"/>
    <x:col min="5" max="5" width="10" customWidth="1"/>
    <x:col min="7" max="7" width="18" customWidth="1"/>
    <x:col min="8" max="8" width="14" customWidth="1"/>
    <x:col min="9" max="9" width="18" customWidth="1"/>
    <x:col min="10" max="10" width="20" customWidth="1"/>
    <x:col min="11" max="11" width="18" customWidth="1"/>
    <x:col min="12" max="12" width="14" customWidth="1"/>
    <x:col min="13" max="13" width="14" customWidth="1"/>
    <x:col min="15" max="15" width="95" customWidth="1"/>
  </x:cols>
  <x:sheetData>
    <x:row r="1" ht="20" customHeight="1">
      <x:c r="A1" s="3" t="inlineStr">
        <x:is>
          <x:t xml:space="preserve">Pesos por horizonte</x:t>
        </x:is>
      </x:c>
      <x:c r="D1" s="3" t="inlineStr">
        <x:is>
          <x:t xml:space="preserve">Pesos internos de la pérdida</x:t>
        </x:is>
      </x:c>
      <x:c r="G1" s="3" t="inlineStr">
        <x:is>
          <x:t xml:space="preserve">Catálogos / listas</x:t>
        </x:is>
      </x:c>
      <x:c r="O1" s="3" t="inlineStr">
        <x:is>
          <x:t xml:space="preserve">Formula de referencia</x:t>
        </x:is>
      </x:c>
    </x:row>
    <x:row r="2" ht="20" customHeight="1">
      <x:c r="A2" s="5" t="inlineStr">
        <x:is>
          <x:t xml:space="preserve">Horizonte_sem</x:t>
        </x:is>
      </x:c>
      <x:c r="B2" s="5" t="inlineStr">
        <x:is>
          <x:t xml:space="preserve">Peso_w</x:t>
        </x:is>
      </x:c>
      <x:c r="C2" s="5" t="n"/>
      <x:c r="D2" s="5" t="inlineStr">
        <x:is>
          <x:t xml:space="preserve">Parametro</x:t>
        </x:is>
      </x:c>
      <x:c r="E2" s="5" t="inlineStr">
        <x:is>
          <x:t xml:space="preserve">Valor</x:t>
        </x:is>
      </x:c>
      <x:c r="G2" s="3" t="inlineStr">
        <x:is>
          <x:t xml:space="preserve">Familia</x:t>
        </x:is>
      </x:c>
      <x:c r="H2" s="3" t="inlineStr">
        <x:is>
          <x:t xml:space="preserve">Target</x:t>
        </x:is>
      </x:c>
      <x:c r="I2" s="3" t="inlineStr">
        <x:is>
          <x:t xml:space="preserve">Transformacion</x:t>
        </x:is>
      </x:c>
      <x:c r="J2" s="3" t="inlineStr">
        <x:is>
          <x:t xml:space="preserve">Seleccion_variables</x:t>
        </x:is>
      </x:c>
      <x:c r="K2" s="3" t="inlineStr">
        <x:is>
          <x:t xml:space="preserve">Validacion</x:t>
        </x:is>
      </x:c>
      <x:c r="L2" s="3" t="inlineStr">
        <x:is>
          <x:t xml:space="preserve">Estado</x:t>
        </x:is>
      </x:c>
      <x:c r="M2" s="3" t="inlineStr">
        <x:is>
          <x:t xml:space="preserve">Decision</x:t>
        </x:is>
      </x:c>
      <x:c r="O2" s="2" t="inlineStr">
        <x:is>
          <x:t xml:space="preserve">Loss_h = w_h × (alpha×L_num + beta×L_trend + gamma×L_risk + delta×L_tol)</x:t>
        </x:is>
      </x:c>
    </x:row>
    <x:row r="3" ht="20" customHeight="1">
      <x:c r="A3" s="6" t="n">
        <x:v>1</x:v>
      </x:c>
      <x:c r="B3" s="7" t="n">
        <x:v>0.3</x:v>
      </x:c>
      <x:c r="D3" s="6" t="inlineStr">
        <x:is>
          <x:t xml:space="preserve">alpha</x:t>
        </x:is>
      </x:c>
      <x:c r="E3" s="7" t="n">
        <x:v>0.35</x:v>
      </x:c>
      <x:c r="G3" s="8" t="inlineStr">
        <x:is>
          <x:t xml:space="preserve">lineal</x:t>
        </x:is>
      </x:c>
      <x:c r="H3" s="8" t="inlineStr">
        <x:is>
          <x:t xml:space="preserve">nivel</x:t>
        </x:is>
      </x:c>
      <x:c r="I3" s="8" t="inlineStr">
        <x:is>
          <x:t xml:space="preserve">original</x:t>
        </x:is>
      </x:c>
      <x:c r="J3" s="8" t="inlineStr">
        <x:is>
          <x:t xml:space="preserve">todas</x:t>
        </x:is>
      </x:c>
      <x:c r="K3" s="8" t="inlineStr">
        <x:is>
          <x:t xml:space="preserve">walk-forward</x:t>
        </x:is>
      </x:c>
      <x:c r="L3" s="8" t="inlineStr">
        <x:is>
          <x:t xml:space="preserve">pendiente</x:t>
        </x:is>
      </x:c>
      <x:c r="M3" s="8" t="inlineStr">
        <x:is>
          <x:t xml:space="preserve">descartar</x:t>
        </x:is>
      </x:c>
      <x:c r="O3" s="2" t="inlineStr">
        <x:is>
          <x:t xml:space="preserve">L_total_Radar = Σ Loss_h + eta × L_coh</x:t>
        </x:is>
      </x:c>
    </x:row>
    <x:row r="4" ht="20" customHeight="1">
      <x:c r="A4" s="6" t="n">
        <x:v>2</x:v>
      </x:c>
      <x:c r="B4" s="7" t="n">
        <x:v>0.25</x:v>
      </x:c>
      <x:c r="D4" s="6" t="inlineStr">
        <x:is>
          <x:t xml:space="preserve">beta</x:t>
        </x:is>
      </x:c>
      <x:c r="E4" s="7" t="n">
        <x:v>0.25</x:v>
      </x:c>
      <x:c r="G4" s="8" t="inlineStr">
        <x:is>
          <x:t xml:space="preserve">robusto</x:t>
        </x:is>
      </x:c>
      <x:c r="H4" s="8" t="inlineStr">
        <x:is>
          <x:t xml:space="preserve">delta</x:t>
        </x:is>
      </x:c>
      <x:c r="I4" s="8" t="inlineStr">
        <x:is>
          <x:t xml:space="preserve">estandarizada</x:t>
        </x:is>
      </x:c>
      <x:c r="J4" s="8" t="inlineStr">
        <x:is>
          <x:t xml:space="preserve">correlacion</x:t>
        </x:is>
      </x:c>
      <x:c r="K4" s="8" t="inlineStr">
        <x:is>
          <x:t xml:space="preserve">expanding_window</x:t>
        </x:is>
      </x:c>
      <x:c r="L4" s="8" t="inlineStr">
        <x:is>
          <x:t xml:space="preserve">correr</x:t>
        </x:is>
      </x:c>
      <x:c r="M4" s="8" t="inlineStr">
        <x:is>
          <x:t xml:space="preserve">contender</x:t>
        </x:is>
      </x:c>
    </x:row>
    <x:row r="5" ht="20" customHeight="1">
      <x:c r="A5" s="6" t="n">
        <x:v>3</x:v>
      </x:c>
      <x:c r="B5" s="7" t="n">
        <x:v>0.3</x:v>
      </x:c>
      <x:c r="D5" s="6" t="inlineStr">
        <x:is>
          <x:t xml:space="preserve">gamma</x:t>
        </x:is>
      </x:c>
      <x:c r="E5" s="7" t="n">
        <x:v>0.25</x:v>
      </x:c>
      <x:c r="G5" s="8" t="inlineStr">
        <x:is>
          <x:t xml:space="preserve">boosting</x:t>
        </x:is>
      </x:c>
      <x:c r="H5" s="8" t="inlineStr">
        <x:is>
          <x:t xml:space="preserve">ambos</x:t>
        </x:is>
      </x:c>
      <x:c r="I5" s="8" t="inlineStr">
        <x:is>
          <x:t xml:space="preserve">log</x:t>
        </x:is>
      </x:c>
      <x:c r="J5" s="8" t="inlineStr">
        <x:is>
          <x:t xml:space="preserve">lasso</x:t>
        </x:is>
      </x:c>
      <x:c r="K5" s="8" t="inlineStr">
        <x:is>
          <x:t xml:space="preserve">rolling_window</x:t>
        </x:is>
      </x:c>
      <x:c r="L5" s="8" t="inlineStr">
        <x:is>
          <x:t xml:space="preserve">corrido</x:t>
        </x:is>
      </x:c>
      <x:c r="M5" s="8" t="inlineStr">
        <x:is>
          <x:t xml:space="preserve">finalista</x:t>
        </x:is>
      </x:c>
    </x:row>
    <x:row r="6" ht="20" customHeight="1">
      <x:c r="A6" s="6" t="n">
        <x:v>4</x:v>
      </x:c>
      <x:c r="B6" s="7" t="n">
        <x:v>0.15</x:v>
      </x:c>
      <x:c r="D6" s="6" t="inlineStr">
        <x:is>
          <x:t xml:space="preserve">delta</x:t>
        </x:is>
      </x:c>
      <x:c r="E6" s="7" t="n">
        <x:v>0.1</x:v>
      </x:c>
      <x:c r="G6" s="8" t="inlineStr">
        <x:is>
          <x:t xml:space="preserve">temporal</x:t>
        </x:is>
      </x:c>
      <x:c r="I6" s="8" t="inlineStr">
        <x:is>
          <x:t xml:space="preserve">robusta</x:t>
        </x:is>
      </x:c>
      <x:c r="J6" s="8" t="inlineStr">
        <x:is>
          <x:t xml:space="preserve">importancia_arboles</x:t>
        </x:is>
      </x:c>
      <x:c r="L6" s="8" t="inlineStr">
        <x:is>
          <x:t xml:space="preserve">revisar</x:t>
        </x:is>
      </x:c>
      <x:c r="M6" s="8" t="inlineStr">
        <x:is>
          <x:t xml:space="preserve">ganador</x:t>
        </x:is>
      </x:c>
    </x:row>
    <x:row r="7" ht="20" customHeight="1">
      <x:c r="D7" s="6" t="inlineStr">
        <x:is>
          <x:t xml:space="preserve">eta</x:t>
        </x:is>
      </x:c>
      <x:c r="E7" s="7" t="n">
        <x:v>0.05</x:v>
      </x:c>
      <x:c r="G7" s="8" t="inlineStr">
        <x:is>
          <x:t xml:space="preserve">hibrido</x:t>
        </x:is>
      </x:c>
      <x:c r="I7" s="8" t="inlineStr">
        <x:is>
          <x:t xml:space="preserve">winsorizada</x:t>
        </x:is>
      </x:c>
    </x:row>
    <x:row r="8" ht="20" customHeight="1">
      <x:c r="G8" s="8" t="inlineStr">
        <x:is>
          <x:t xml:space="preserve">ensemble</x:t>
        </x:is>
      </x:c>
    </x:row>
    <x:row r="9" ht="20" customHeight="1"/>
    <x:row r="10" ht="20" customHeight="1"/>
    <x:row r="11" ht="20" customHeight="1"/>
    <x:row r="12" ht="20" customHeight="1"/>
    <x:row r="13" ht="20" customHeight="1"/>
    <x:row r="14" ht="20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2" customWidth="1"/>
    <x:col min="3" max="3" width="28" customWidth="1"/>
    <x:col min="4" max="4" width="36" customWidth="1"/>
    <x:col min="5" max="5" width="28" customWidth="1"/>
    <x:col min="6" max="6" width="24" customWidth="1"/>
    <x:col min="7" max="7" width="34" customWidth="1"/>
  </x:cols>
  <x:sheetData>
    <x:row r="1">
      <x:c r="A1" s="5" t="inlineStr">
        <x:is>
          <x:t xml:space="preserve">Experiment_ID</x:t>
        </x:is>
      </x:c>
      <x:c r="B1" s="5" t="inlineStr">
        <x:is>
          <x:t xml:space="preserve">Familia</x:t>
        </x:is>
      </x:c>
      <x:c r="C1" s="5" t="inlineStr">
        <x:is>
          <x:t xml:space="preserve">Modelo_base</x:t>
        </x:is>
      </x:c>
      <x:c r="D1" s="5" t="inlineStr">
        <x:is>
          <x:t xml:space="preserve">Objetivo</x:t>
        </x:is>
      </x:c>
      <x:c r="E1" s="5" t="inlineStr">
        <x:is>
          <x:t xml:space="preserve">Variables_base</x:t>
        </x:is>
      </x:c>
      <x:c r="F1" s="5" t="inlineStr">
        <x:is>
          <x:t xml:space="preserve">Validacion_recomendada</x:t>
        </x:is>
      </x:c>
      <x:c r="G1" s="5" t="inlineStr">
        <x:is>
          <x:t xml:space="preserve">Notas</x:t>
        </x:is>
      </x:c>
    </x:row>
    <x:row r="2">
      <x:c r="A2" s="9" t="inlineStr">
        <x:is>
          <x:t xml:space="preserve">E1</x:t>
        </x:is>
      </x:c>
      <x:c r="B2" s="9" t="inlineStr">
        <x:is>
          <x:t xml:space="preserve">lineal</x:t>
        </x:is>
      </x:c>
      <x:c r="C2" s="9" t="inlineStr">
        <x:is>
          <x:t xml:space="preserve">Ridge / Elastic Net</x:t>
        </x:is>
      </x:c>
      <x:c r="D2" s="10" t="inlineStr">
        <x:is>
          <x:t xml:space="preserve">Baseline interpretable por horizonte</x:t>
        </x:is>
      </x:c>
      <x:c r="E2" s="10" t="inlineStr">
        <x:is>
          <x:t xml:space="preserve">Lags del IAD + variables tematicas</x:t>
        </x:is>
      </x:c>
      <x:c r="F2" s="9" t="inlineStr">
        <x:is>
          <x:t xml:space="preserve">walk-forward</x:t>
        </x:is>
      </x:c>
      <x:c r="G2" s="10" t="inlineStr">
        <x:is>
          <x:t xml:space="preserve">Buen baseline para señal real e interpretabilidad</x:t>
        </x:is>
      </x:c>
    </x:row>
    <x:row r="3">
      <x:c r="A3" s="9" t="inlineStr">
        <x:is>
          <x:t xml:space="preserve">E2</x:t>
        </x:is>
      </x:c>
      <x:c r="B3" s="9" t="inlineStr">
        <x:is>
          <x:t xml:space="preserve">robusto</x:t>
        </x:is>
      </x:c>
      <x:c r="C3" s="9" t="inlineStr">
        <x:is>
          <x:t xml:space="preserve">Huber Regressor</x:t>
        </x:is>
      </x:c>
      <x:c r="D3" s="10" t="inlineStr">
        <x:is>
          <x:t xml:space="preserve">Baseline robusto a ruido y outliers</x:t>
        </x:is>
      </x:c>
      <x:c r="E3" s="10" t="inlineStr">
        <x:is>
          <x:t xml:space="preserve">Lags del IAD + variables tematicas</x:t>
        </x:is>
      </x:c>
      <x:c r="F3" s="9" t="inlineStr">
        <x:is>
          <x:t xml:space="preserve">walk-forward</x:t>
        </x:is>
      </x:c>
      <x:c r="G3" s="10" t="inlineStr">
        <x:is>
          <x:t xml:space="preserve">Útil si hay ruido, shocks y colas</x:t>
        </x:is>
      </x:c>
    </x:row>
    <x:row r="4">
      <x:c r="A4" s="9" t="inlineStr">
        <x:is>
          <x:t xml:space="preserve">E3</x:t>
        </x:is>
      </x:c>
      <x:c r="B4" s="9" t="inlineStr">
        <x:is>
          <x:t xml:space="preserve">boosting</x:t>
        </x:is>
      </x:c>
      <x:c r="C4" s="9" t="inlineStr">
        <x:is>
          <x:t xml:space="preserve">Random Forest</x:t>
        </x:is>
      </x:c>
      <x:c r="D4" s="10" t="inlineStr">
        <x:is>
          <x:t xml:space="preserve">Explorar no linealidades básicas</x:t>
        </x:is>
      </x:c>
      <x:c r="E4" s="10" t="inlineStr">
        <x:is>
          <x:t xml:space="preserve">Variables temporales y tematicas</x:t>
        </x:is>
      </x:c>
      <x:c r="F4" s="9" t="inlineStr">
        <x:is>
          <x:t xml:space="preserve">walk-forward</x:t>
        </x:is>
      </x:c>
      <x:c r="G4" s="10" t="inlineStr">
        <x:is>
          <x:t xml:space="preserve">Puede captar interacciones sin mucho tuning</x:t>
        </x:is>
      </x:c>
    </x:row>
    <x:row r="5">
      <x:c r="A5" s="9" t="inlineStr">
        <x:is>
          <x:t xml:space="preserve">E4</x:t>
        </x:is>
      </x:c>
      <x:c r="B5" s="9" t="inlineStr">
        <x:is>
          <x:t xml:space="preserve">boosting</x:t>
        </x:is>
      </x:c>
      <x:c r="C5" s="9" t="inlineStr">
        <x:is>
          <x:t xml:space="preserve">XGBoost / LightGBM</x:t>
        </x:is>
      </x:c>
      <x:c r="D5" s="10" t="inlineStr">
        <x:is>
          <x:t xml:space="preserve">Candidato fuerte para tabular multi-factor</x:t>
        </x:is>
      </x:c>
      <x:c r="E5" s="10" t="inlineStr">
        <x:is>
          <x:t xml:space="preserve">Variables temporales y tematicas</x:t>
        </x:is>
      </x:c>
      <x:c r="F5" s="9" t="inlineStr">
        <x:is>
          <x:t xml:space="preserve">walk-forward</x:t>
        </x:is>
      </x:c>
      <x:c r="G5" s="10" t="inlineStr">
        <x:is>
          <x:t xml:space="preserve">Muy buen candidato para desempeño</x:t>
        </x:is>
      </x:c>
    </x:row>
    <x:row r="6">
      <x:c r="A6" s="9" t="inlineStr">
        <x:is>
          <x:t xml:space="preserve">E5</x:t>
        </x:is>
      </x:c>
      <x:c r="B6" s="9" t="inlineStr">
        <x:is>
          <x:t xml:space="preserve">boosting</x:t>
        </x:is>
      </x:c>
      <x:c r="C6" s="9" t="inlineStr">
        <x:is>
          <x:t xml:space="preserve">CatBoost</x:t>
        </x:is>
      </x:c>
      <x:c r="D6" s="10" t="inlineStr">
        <x:is>
          <x:t xml:space="preserve">Comparar boosting con regularización</x:t>
        </x:is>
      </x:c>
      <x:c r="E6" s="10" t="inlineStr">
        <x:is>
          <x:t xml:space="preserve">Variables mixtas</x:t>
        </x:is>
      </x:c>
      <x:c r="F6" s="9" t="inlineStr">
        <x:is>
          <x:t xml:space="preserve">walk-forward</x:t>
        </x:is>
      </x:c>
      <x:c r="G6" s="10" t="inlineStr">
        <x:is>
          <x:t xml:space="preserve">Suele funcionar bien con estructura tabular</x:t>
        </x:is>
      </x:c>
    </x:row>
    <x:row r="7">
      <x:c r="A7" s="9" t="inlineStr">
        <x:is>
          <x:t xml:space="preserve">E6</x:t>
        </x:is>
      </x:c>
      <x:c r="B7" s="9" t="inlineStr">
        <x:is>
          <x:t xml:space="preserve">temporal</x:t>
        </x:is>
      </x:c>
      <x:c r="C7" s="9" t="inlineStr">
        <x:is>
          <x:t xml:space="preserve">ARIMAX / SARIMAX</x:t>
        </x:is>
      </x:c>
      <x:c r="D7" s="10" t="inlineStr">
        <x:is>
          <x:t xml:space="preserve">Evaluar fuerza de la dinámica temporal</x:t>
        </x:is>
      </x:c>
      <x:c r="E7" s="10" t="inlineStr">
        <x:is>
          <x:t xml:space="preserve">Serie + regresores digitales</x:t>
        </x:is>
      </x:c>
      <x:c r="F7" s="9" t="inlineStr">
        <x:is>
          <x:t xml:space="preserve">walk-forward</x:t>
        </x:is>
      </x:c>
      <x:c r="G7" s="10" t="inlineStr">
        <x:is>
          <x:t xml:space="preserve">Capta bien tendencia/autocorrelación</x:t>
        </x:is>
      </x:c>
    </x:row>
    <x:row r="8">
      <x:c r="A8" s="9" t="inlineStr">
        <x:is>
          <x:t xml:space="preserve">E7</x:t>
        </x:is>
      </x:c>
      <x:c r="B8" s="9" t="inlineStr">
        <x:is>
          <x:t xml:space="preserve">temporal</x:t>
        </x:is>
      </x:c>
      <x:c r="C8" s="9" t="inlineStr">
        <x:is>
          <x:t xml:space="preserve">Prophet + regresores</x:t>
        </x:is>
      </x:c>
      <x:c r="D8" s="10" t="inlineStr">
        <x:is>
          <x:t xml:space="preserve">Alternativa temporal más flexible</x:t>
        </x:is>
      </x:c>
      <x:c r="E8" s="10" t="inlineStr">
        <x:is>
          <x:t xml:space="preserve">Serie + regresores</x:t>
        </x:is>
      </x:c>
      <x:c r="F8" s="9" t="inlineStr">
        <x:is>
          <x:t xml:space="preserve">walk-forward</x:t>
        </x:is>
      </x:c>
      <x:c r="G8" s="10" t="inlineStr">
        <x:is>
          <x:t xml:space="preserve">Útil como benchmark temporal flexible</x:t>
        </x:is>
      </x:c>
    </x:row>
    <x:row r="9">
      <x:c r="A9" s="9" t="inlineStr">
        <x:is>
          <x:t xml:space="preserve">E8</x:t>
        </x:is>
      </x:c>
      <x:c r="B9" s="9" t="inlineStr">
        <x:is>
          <x:t xml:space="preserve">hibrido</x:t>
        </x:is>
      </x:c>
      <x:c r="C9" s="9" t="inlineStr">
        <x:is>
          <x:t xml:space="preserve">Temporal + boosting residuales</x:t>
        </x:is>
      </x:c>
      <x:c r="D9" s="10" t="inlineStr">
        <x:is>
          <x:t xml:space="preserve">Captar tendencia base + shocks no lineales</x:t>
        </x:is>
      </x:c>
      <x:c r="E9" s="10" t="inlineStr">
        <x:is>
          <x:t xml:space="preserve">Temporal + tabular</x:t>
        </x:is>
      </x:c>
      <x:c r="F9" s="9" t="inlineStr">
        <x:is>
          <x:t xml:space="preserve">walk-forward</x:t>
        </x:is>
      </x:c>
      <x:c r="G9" s="10" t="inlineStr">
        <x:is>
          <x:t xml:space="preserve">Enfoque híbrido de alto potencial</x:t>
        </x:is>
      </x:c>
    </x:row>
    <x:row r="10">
      <x:c r="A10" s="9" t="inlineStr">
        <x:is>
          <x:t xml:space="preserve">E9</x:t>
        </x:is>
      </x:c>
      <x:c r="B10" s="9" t="inlineStr">
        <x:is>
          <x:t xml:space="preserve">hibrido</x:t>
        </x:is>
      </x:c>
      <x:c r="C10" s="9" t="inlineStr">
        <x:is>
          <x:t xml:space="preserve">Stacking lineal + boosting + temporal</x:t>
        </x:is>
      </x:c>
      <x:c r="D10" s="10" t="inlineStr">
        <x:is>
          <x:t xml:space="preserve">Combinar señales complementarias</x:t>
        </x:is>
      </x:c>
      <x:c r="E10" s="10" t="inlineStr">
        <x:is>
          <x:t xml:space="preserve">Modelos base complementarios</x:t>
        </x:is>
      </x:c>
      <x:c r="F10" s="9" t="inlineStr">
        <x:is>
          <x:t xml:space="preserve">walk-forward</x:t>
        </x:is>
      </x:c>
      <x:c r="G10" s="10" t="inlineStr">
        <x:is>
          <x:t xml:space="preserve">Conviene si hay ganadores distintos por horizonte</x:t>
        </x:is>
      </x:c>
    </x:row>
    <x:row r="11">
      <x:c r="A11" s="9" t="inlineStr">
        <x:is>
          <x:t xml:space="preserve">E10</x:t>
        </x:is>
      </x:c>
      <x:c r="B11" s="9" t="inlineStr">
        <x:is>
          <x:t xml:space="preserve">ensemble</x:t>
        </x:is>
      </x:c>
      <x:c r="C11" s="9" t="inlineStr">
        <x:is>
          <x:t xml:space="preserve">Mejor modelo por horizonte + ensemble final</x:t>
        </x:is>
      </x:c>
      <x:c r="D11" s="10" t="inlineStr">
        <x:is>
          <x:t xml:space="preserve">Maximizar desempeño operativo</x:t>
        </x:is>
      </x:c>
      <x:c r="E11" s="10" t="inlineStr">
        <x:is>
          <x:t xml:space="preserve">Ganadores por horizonte</x:t>
        </x:is>
      </x:c>
      <x:c r="F11" s="9" t="inlineStr">
        <x:is>
          <x:t xml:space="preserve">walk-forward</x:t>
        </x:is>
      </x:c>
      <x:c r="G11" s="10" t="inlineStr">
        <x:is>
          <x:t xml:space="preserve">Cierre natural del banco de modelos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3" customWidth="1"/>
    <x:col min="4" max="4" width="16" customWidth="1"/>
    <x:col min="5" max="5" width="28" customWidth="1"/>
    <x:col min="6" max="6" width="12" customWidth="1"/>
    <x:col min="7" max="7" width="12" customWidth="1"/>
    <x:col min="8" max="8" width="24" customWidth="1"/>
    <x:col min="9" max="9" width="24" customWidth="1"/>
    <x:col min="10" max="10" width="16" customWidth="1"/>
    <x:col min="11" max="11" width="20" customWidth="1"/>
    <x:col min="12" max="12" width="18" customWidth="1"/>
    <x:col min="13" max="13" width="18" customWidth="1"/>
    <x:col min="14" max="14" width="24" customWidth="1"/>
    <x:col min="15" max="15" width="8" customWidth="1"/>
    <x:col min="16" max="16" width="8" customWidth="1"/>
    <x:col min="17" max="17" width="8" customWidth="1"/>
    <x:col min="18" max="18" width="8" customWidth="1"/>
    <x:col min="19" max="19" width="8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6" customWidth="1"/>
    <x:col min="28" max="28" width="16" customWidth="1"/>
    <x:col min="29" max="29" width="12" customWidth="1"/>
    <x:col min="30" max="30" width="32" customWidth="1"/>
  </x:cols>
  <x:sheetData>
    <x:row r="1">
      <x:c r="A1" s="5" t="inlineStr">
        <x:is>
          <x:t xml:space="preserve">Fecha</x:t>
        </x:is>
      </x:c>
      <x:c r="B1" s="5" t="inlineStr">
        <x:is>
          <x:t xml:space="preserve">Run_ID</x:t>
        </x:is>
      </x:c>
      <x:c r="C1" s="5" t="inlineStr">
        <x:is>
          <x:t xml:space="preserve">Experiment_ID</x:t>
        </x:is>
      </x:c>
      <x:c r="D1" s="5" t="inlineStr">
        <x:is>
          <x:t xml:space="preserve">Familia_modelo</x:t>
        </x:is>
      </x:c>
      <x:c r="E1" s="5" t="inlineStr">
        <x:is>
          <x:t xml:space="preserve">Modelo</x:t>
        </x:is>
      </x:c>
      <x:c r="F1" s="5" t="inlineStr">
        <x:is>
          <x:t xml:space="preserve">Horizonte_sem</x:t>
        </x:is>
      </x:c>
      <x:c r="G1" s="5" t="inlineStr">
        <x:is>
          <x:t xml:space="preserve">Target</x:t>
        </x:is>
      </x:c>
      <x:c r="H1" s="5" t="inlineStr">
        <x:is>
          <x:t xml:space="preserve">Variables_temporales</x:t>
        </x:is>
      </x:c>
      <x:c r="I1" s="5" t="inlineStr">
        <x:is>
          <x:t xml:space="preserve">Variables_tematicas</x:t>
        </x:is>
      </x:c>
      <x:c r="J1" s="5" t="inlineStr">
        <x:is>
          <x:t xml:space="preserve">Transformacion</x:t>
        </x:is>
      </x:c>
      <x:c r="K1" s="5" t="inlineStr">
        <x:is>
          <x:t xml:space="preserve">Seleccion_variables</x:t>
        </x:is>
      </x:c>
      <x:c r="L1" s="5" t="inlineStr">
        <x:is>
          <x:t xml:space="preserve">Validacion</x:t>
        </x:is>
      </x:c>
      <x:c r="M1" s="5" t="inlineStr">
        <x:is>
          <x:t xml:space="preserve">Dataset_Periodo</x:t>
        </x:is>
      </x:c>
      <x:c r="N1" s="5" t="inlineStr">
        <x:is>
          <x:t xml:space="preserve">Notas_config</x:t>
        </x:is>
      </x:c>
      <x:c r="O1" s="5" t="inlineStr">
        <x:is>
          <x:t xml:space="preserve">alpha</x:t>
        </x:is>
      </x:c>
      <x:c r="P1" s="5" t="inlineStr">
        <x:is>
          <x:t xml:space="preserve">beta</x:t>
        </x:is>
      </x:c>
      <x:c r="Q1" s="5" t="inlineStr">
        <x:is>
          <x:t xml:space="preserve">gamma</x:t>
        </x:is>
      </x:c>
      <x:c r="R1" s="5" t="inlineStr">
        <x:is>
          <x:t xml:space="preserve">delta</x:t>
        </x:is>
      </x:c>
      <x:c r="S1" s="5" t="inlineStr">
        <x:is>
          <x:t xml:space="preserve">w_h</x:t>
        </x:is>
      </x:c>
      <x:c r="T1" s="5" t="inlineStr">
        <x:is>
          <x:t xml:space="preserve">L_num</x:t>
        </x:is>
      </x:c>
      <x:c r="U1" s="5" t="inlineStr">
        <x:is>
          <x:t xml:space="preserve">L_trend</x:t>
        </x:is>
      </x:c>
      <x:c r="V1" s="5" t="inlineStr">
        <x:is>
          <x:t xml:space="preserve">L_risk</x:t>
        </x:is>
      </x:c>
      <x:c r="W1" s="5" t="inlineStr">
        <x:is>
          <x:t xml:space="preserve">L_tol</x:t>
        </x:is>
      </x:c>
      <x:c r="X1" s="5" t="inlineStr">
        <x:is>
          <x:t xml:space="preserve">Loss_h</x:t>
        </x:is>
      </x:c>
      <x:c r="Y1" s="5" t="inlineStr">
        <x:is>
          <x:t xml:space="preserve">MAE</x:t>
        </x:is>
      </x:c>
      <x:c r="Z1" s="5" t="inlineStr">
        <x:is>
          <x:t xml:space="preserve">RMSE</x:t>
        </x:is>
      </x:c>
      <x:c r="AA1" s="5" t="inlineStr">
        <x:is>
          <x:t xml:space="preserve">Direccion_accuracy</x:t>
        </x:is>
      </x:c>
      <x:c r="AB1" s="5" t="inlineStr">
        <x:is>
          <x:t xml:space="preserve">Deteccion_caidas</x:t>
        </x:is>
      </x:c>
      <x:c r="AC1" s="5" t="inlineStr">
        <x:is>
          <x:t xml:space="preserve">Estado</x:t>
        </x:is>
      </x:c>
      <x:c r="AD1" s="5" t="inlineStr">
        <x:is>
          <x:t xml:space="preserve">Comentarios</x:t>
        </x:is>
      </x:c>
    </x:row>
    <x:row r="2">
      <x:c r="A2" s="11" t="inlineStr">
        <x:is>
          <x:t xml:space="preserve"/>
        </x:is>
      </x:c>
      <x:c r="B2" s="11" t="inlineStr">
        <x:is>
          <x:t xml:space="preserve">E1_v1</x:t>
        </x:is>
      </x:c>
      <x:c r="C2" s="9" t="inlineStr">
        <x:is>
          <x:t xml:space="preserve">E1</x:t>
        </x:is>
      </x:c>
      <x:c r="D2" s="9" t="inlineStr">
        <x:is>
          <x:t xml:space="preserve">lineal</x:t>
        </x:is>
      </x:c>
      <x:c r="E2" s="9" t="inlineStr">
        <x:is>
          <x:t xml:space="preserve">Ridge / Elastic Net</x:t>
        </x:is>
      </x:c>
      <x:c r="F2" s="9" t="n">
        <x:v>1</x:v>
      </x:c>
      <x:c r="G2" s="11" t="inlineStr">
        <x:is>
          <x:t xml:space="preserve"/>
        </x:is>
      </x:c>
      <x:c r="H2" s="9" t="inlineStr">
        <x:is>
          <x:t xml:space="preserve">lags IAD, MA, momentum</x:t>
        </x:is>
      </x:c>
      <x:c r="I2" s="9" t="inlineStr">
        <x:is>
          <x:t xml:space="preserve">indices tematicos / sentimiento</x:t>
        </x:is>
      </x:c>
      <x:c r="J2" s="9" t="inlineStr">
        <x:is>
          <x:t xml:space="preserve">original</x:t>
        </x:is>
      </x:c>
      <x:c r="K2" s="9" t="inlineStr">
        <x:is>
          <x:t xml:space="preserve">todas</x:t>
        </x:is>
      </x:c>
      <x:c r="L2" s="9" t="inlineStr">
        <x:is>
          <x:t xml:space="preserve">walk-forward</x:t>
        </x:is>
      </x:c>
      <x:c r="M2" s="11" t="inlineStr">
        <x:is>
          <x:t xml:space="preserve"/>
        </x:is>
      </x:c>
      <x:c r="N2" s="11" t="inlineStr">
        <x:is>
          <x:t xml:space="preserve"/>
        </x:is>
      </x:c>
      <x:c r="O2" s="12">
        <x:f>CONFIG_REFERENCIA!$E$3</x:f>
        <x:v>0.35</x:v>
      </x:c>
      <x:c r="P2" s="12">
        <x:f>CONFIG_REFERENCIA!$E$4</x:f>
        <x:v>0.25</x:v>
      </x:c>
      <x:c r="Q2" s="12">
        <x:f>CONFIG_REFERENCIA!$E$5</x:f>
        <x:v>0.25</x:v>
      </x:c>
      <x:c r="R2" s="12">
        <x:f>CONFIG_REFERENCIA!$E$6</x:f>
        <x:v>0.1</x:v>
      </x:c>
      <x:c r="S2" s="13">
        <x:f>IF($F2="","",INDEX(CONFIG_REFERENCIA!$B$3:$B$6,MATCH($F2,CONFIG_REFERENCIA!$A$3:$A$6,0)))</x:f>
        <x:v>0.3</x:v>
      </x:c>
      <x:c r="T2" s="14" t="inlineStr">
        <x:is>
          <x:t xml:space="preserve"/>
        </x:is>
      </x:c>
      <x:c r="U2" s="14" t="inlineStr">
        <x:is>
          <x:t xml:space="preserve"/>
        </x:is>
      </x:c>
      <x:c r="V2" s="14" t="inlineStr">
        <x:is>
          <x:t xml:space="preserve"/>
        </x:is>
      </x:c>
      <x:c r="W2" s="14" t="inlineStr">
        <x:is>
          <x:t xml:space="preserve"/>
        </x:is>
      </x:c>
      <x:c r="X2" s="15">
        <x:f>IF(COUNTA($T2:$W2)&lt;4,"",$S2*($O2*$T2+$P2*$U2+$Q2*$V2+$R2*$W2))</x:f>
      </x:c>
      <x:c r="Y2" s="14" t="inlineStr">
        <x:is>
          <x:t xml:space="preserve"/>
        </x:is>
      </x:c>
      <x:c r="Z2" s="14" t="inlineStr">
        <x:is>
          <x:t xml:space="preserve"/>
        </x:is>
      </x:c>
      <x:c r="AA2" s="16" t="inlineStr">
        <x:is>
          <x:t xml:space="preserve"/>
        </x:is>
      </x:c>
      <x:c r="AB2" s="16" t="inlineStr">
        <x:is>
          <x:t xml:space="preserve"/>
        </x:is>
      </x:c>
      <x:c r="AC2" s="11" t="inlineStr">
        <x:is>
          <x:t xml:space="preserve">pendiente</x:t>
        </x:is>
      </x:c>
      <x:c r="AD2" s="11" t="inlineStr">
        <x:is>
          <x:t xml:space="preserve"/>
        </x:is>
      </x:c>
    </x:row>
    <x:row r="3">
      <x:c r="A3" s="11" t="inlineStr">
        <x:is>
          <x:t xml:space="preserve"/>
        </x:is>
      </x:c>
      <x:c r="B3" s="11" t="inlineStr">
        <x:is>
          <x:t xml:space="preserve">E1_v1</x:t>
        </x:is>
      </x:c>
      <x:c r="C3" s="9" t="inlineStr">
        <x:is>
          <x:t xml:space="preserve">E1</x:t>
        </x:is>
      </x:c>
      <x:c r="D3" s="9" t="inlineStr">
        <x:is>
          <x:t xml:space="preserve">lineal</x:t>
        </x:is>
      </x:c>
      <x:c r="E3" s="9" t="inlineStr">
        <x:is>
          <x:t xml:space="preserve">Ridge / Elastic Net</x:t>
        </x:is>
      </x:c>
      <x:c r="F3" s="9" t="n">
        <x:v>2</x:v>
      </x:c>
      <x:c r="G3" s="11" t="inlineStr">
        <x:is>
          <x:t xml:space="preserve"/>
        </x:is>
      </x:c>
      <x:c r="H3" s="9" t="inlineStr">
        <x:is>
          <x:t xml:space="preserve">lags IAD, MA, momentum</x:t>
        </x:is>
      </x:c>
      <x:c r="I3" s="9" t="inlineStr">
        <x:is>
          <x:t xml:space="preserve">indices tematicos / sentimiento</x:t>
        </x:is>
      </x:c>
      <x:c r="J3" s="9" t="inlineStr">
        <x:is>
          <x:t xml:space="preserve">original</x:t>
        </x:is>
      </x:c>
      <x:c r="K3" s="9" t="inlineStr">
        <x:is>
          <x:t xml:space="preserve">todas</x:t>
        </x:is>
      </x:c>
      <x:c r="L3" s="9" t="inlineStr">
        <x:is>
          <x:t xml:space="preserve">walk-forward</x:t>
        </x:is>
      </x:c>
      <x:c r="M3" s="11" t="inlineStr">
        <x:is>
          <x:t xml:space="preserve"/>
        </x:is>
      </x:c>
      <x:c r="N3" s="11" t="inlineStr">
        <x:is>
          <x:t xml:space="preserve"/>
        </x:is>
      </x:c>
      <x:c r="O3" s="12">
        <x:f>CONFIG_REFERENCIA!$E$3</x:f>
        <x:v>0.35</x:v>
      </x:c>
      <x:c r="P3" s="12">
        <x:f>CONFIG_REFERENCIA!$E$4</x:f>
        <x:v>0.25</x:v>
      </x:c>
      <x:c r="Q3" s="12">
        <x:f>CONFIG_REFERENCIA!$E$5</x:f>
        <x:v>0.25</x:v>
      </x:c>
      <x:c r="R3" s="12">
        <x:f>CONFIG_REFERENCIA!$E$6</x:f>
        <x:v>0.1</x:v>
      </x:c>
      <x:c r="S3" s="13">
        <x:f>IF($F3="","",INDEX(CONFIG_REFERENCIA!$B$3:$B$6,MATCH($F3,CONFIG_REFERENCIA!$A$3:$A$6,0)))</x:f>
        <x:v>0.25</x:v>
      </x:c>
      <x:c r="T3" s="14" t="inlineStr">
        <x:is>
          <x:t xml:space="preserve"/>
        </x:is>
      </x:c>
      <x:c r="U3" s="14" t="inlineStr">
        <x:is>
          <x:t xml:space="preserve"/>
        </x:is>
      </x:c>
      <x:c r="V3" s="14" t="inlineStr">
        <x:is>
          <x:t xml:space="preserve"/>
        </x:is>
      </x:c>
      <x:c r="W3" s="14" t="inlineStr">
        <x:is>
          <x:t xml:space="preserve"/>
        </x:is>
      </x:c>
      <x:c r="X3" s="15">
        <x:f>IF(COUNTA($T3:$W3)&lt;4,"",$S3*($O3*$T3+$P3*$U3+$Q3*$V3+$R3*$W3))</x:f>
      </x:c>
      <x:c r="Y3" s="14" t="inlineStr">
        <x:is>
          <x:t xml:space="preserve"/>
        </x:is>
      </x:c>
      <x:c r="Z3" s="14" t="inlineStr">
        <x:is>
          <x:t xml:space="preserve"/>
        </x:is>
      </x:c>
      <x:c r="AA3" s="16" t="inlineStr">
        <x:is>
          <x:t xml:space="preserve"/>
        </x:is>
      </x:c>
      <x:c r="AB3" s="16" t="inlineStr">
        <x:is>
          <x:t xml:space="preserve"/>
        </x:is>
      </x:c>
      <x:c r="AC3" s="11" t="inlineStr">
        <x:is>
          <x:t xml:space="preserve">pendiente</x:t>
        </x:is>
      </x:c>
      <x:c r="AD3" s="11" t="inlineStr">
        <x:is>
          <x:t xml:space="preserve"/>
        </x:is>
      </x:c>
    </x:row>
    <x:row r="4">
      <x:c r="A4" s="11" t="inlineStr">
        <x:is>
          <x:t xml:space="preserve"/>
        </x:is>
      </x:c>
      <x:c r="B4" s="11" t="inlineStr">
        <x:is>
          <x:t xml:space="preserve">E1_v1</x:t>
        </x:is>
      </x:c>
      <x:c r="C4" s="9" t="inlineStr">
        <x:is>
          <x:t xml:space="preserve">E1</x:t>
        </x:is>
      </x:c>
      <x:c r="D4" s="9" t="inlineStr">
        <x:is>
          <x:t xml:space="preserve">lineal</x:t>
        </x:is>
      </x:c>
      <x:c r="E4" s="9" t="inlineStr">
        <x:is>
          <x:t xml:space="preserve">Ridge / Elastic Net</x:t>
        </x:is>
      </x:c>
      <x:c r="F4" s="9" t="n">
        <x:v>3</x:v>
      </x:c>
      <x:c r="G4" s="11" t="inlineStr">
        <x:is>
          <x:t xml:space="preserve"/>
        </x:is>
      </x:c>
      <x:c r="H4" s="9" t="inlineStr">
        <x:is>
          <x:t xml:space="preserve">lags IAD, MA, momentum</x:t>
        </x:is>
      </x:c>
      <x:c r="I4" s="9" t="inlineStr">
        <x:is>
          <x:t xml:space="preserve">indices tematicos / sentimiento</x:t>
        </x:is>
      </x:c>
      <x:c r="J4" s="9" t="inlineStr">
        <x:is>
          <x:t xml:space="preserve">original</x:t>
        </x:is>
      </x:c>
      <x:c r="K4" s="9" t="inlineStr">
        <x:is>
          <x:t xml:space="preserve">todas</x:t>
        </x:is>
      </x:c>
      <x:c r="L4" s="9" t="inlineStr">
        <x:is>
          <x:t xml:space="preserve">walk-forward</x:t>
        </x:is>
      </x:c>
      <x:c r="M4" s="11" t="inlineStr">
        <x:is>
          <x:t xml:space="preserve"/>
        </x:is>
      </x:c>
      <x:c r="N4" s="11" t="inlineStr">
        <x:is>
          <x:t xml:space="preserve"/>
        </x:is>
      </x:c>
      <x:c r="O4" s="12">
        <x:f>CONFIG_REFERENCIA!$E$3</x:f>
        <x:v>0.35</x:v>
      </x:c>
      <x:c r="P4" s="12">
        <x:f>CONFIG_REFERENCIA!$E$4</x:f>
        <x:v>0.25</x:v>
      </x:c>
      <x:c r="Q4" s="12">
        <x:f>CONFIG_REFERENCIA!$E$5</x:f>
        <x:v>0.25</x:v>
      </x:c>
      <x:c r="R4" s="12">
        <x:f>CONFIG_REFERENCIA!$E$6</x:f>
        <x:v>0.1</x:v>
      </x:c>
      <x:c r="S4" s="13">
        <x:f>IF($F4="","",INDEX(CONFIG_REFERENCIA!$B$3:$B$6,MATCH($F4,CONFIG_REFERENCIA!$A$3:$A$6,0)))</x:f>
        <x:v>0.3</x:v>
      </x:c>
      <x:c r="T4" s="14" t="inlineStr">
        <x:is>
          <x:t xml:space="preserve"/>
        </x:is>
      </x:c>
      <x:c r="U4" s="14" t="inlineStr">
        <x:is>
          <x:t xml:space="preserve"/>
        </x:is>
      </x:c>
      <x:c r="V4" s="14" t="inlineStr">
        <x:is>
          <x:t xml:space="preserve"/>
        </x:is>
      </x:c>
      <x:c r="W4" s="14" t="inlineStr">
        <x:is>
          <x:t xml:space="preserve"/>
        </x:is>
      </x:c>
      <x:c r="X4" s="15">
        <x:f>IF(COUNTA($T4:$W4)&lt;4,"",$S4*($O4*$T4+$P4*$U4+$Q4*$V4+$R4*$W4))</x:f>
      </x:c>
      <x:c r="Y4" s="14" t="inlineStr">
        <x:is>
          <x:t xml:space="preserve"/>
        </x:is>
      </x:c>
      <x:c r="Z4" s="14" t="inlineStr">
        <x:is>
          <x:t xml:space="preserve"/>
        </x:is>
      </x:c>
      <x:c r="AA4" s="16" t="inlineStr">
        <x:is>
          <x:t xml:space="preserve"/>
        </x:is>
      </x:c>
      <x:c r="AB4" s="16" t="inlineStr">
        <x:is>
          <x:t xml:space="preserve"/>
        </x:is>
      </x:c>
      <x:c r="AC4" s="11" t="inlineStr">
        <x:is>
          <x:t xml:space="preserve">pendiente</x:t>
        </x:is>
      </x:c>
      <x:c r="AD4" s="11" t="inlineStr">
        <x:is>
          <x:t xml:space="preserve"/>
        </x:is>
      </x:c>
    </x:row>
    <x:row r="5">
      <x:c r="A5" s="11" t="inlineStr">
        <x:is>
          <x:t xml:space="preserve"/>
        </x:is>
      </x:c>
      <x:c r="B5" s="11" t="inlineStr">
        <x:is>
          <x:t xml:space="preserve">E1_v1</x:t>
        </x:is>
      </x:c>
      <x:c r="C5" s="9" t="inlineStr">
        <x:is>
          <x:t xml:space="preserve">E1</x:t>
        </x:is>
      </x:c>
      <x:c r="D5" s="9" t="inlineStr">
        <x:is>
          <x:t xml:space="preserve">lineal</x:t>
        </x:is>
      </x:c>
      <x:c r="E5" s="9" t="inlineStr">
        <x:is>
          <x:t xml:space="preserve">Ridge / Elastic Net</x:t>
        </x:is>
      </x:c>
      <x:c r="F5" s="9" t="n">
        <x:v>4</x:v>
      </x:c>
      <x:c r="G5" s="11" t="inlineStr">
        <x:is>
          <x:t xml:space="preserve"/>
        </x:is>
      </x:c>
      <x:c r="H5" s="9" t="inlineStr">
        <x:is>
          <x:t xml:space="preserve">lags IAD, MA, momentum</x:t>
        </x:is>
      </x:c>
      <x:c r="I5" s="9" t="inlineStr">
        <x:is>
          <x:t xml:space="preserve">indices tematicos / sentimiento</x:t>
        </x:is>
      </x:c>
      <x:c r="J5" s="9" t="inlineStr">
        <x:is>
          <x:t xml:space="preserve">original</x:t>
        </x:is>
      </x:c>
      <x:c r="K5" s="9" t="inlineStr">
        <x:is>
          <x:t xml:space="preserve">todas</x:t>
        </x:is>
      </x:c>
      <x:c r="L5" s="9" t="inlineStr">
        <x:is>
          <x:t xml:space="preserve">walk-forward</x:t>
        </x:is>
      </x:c>
      <x:c r="M5" s="11" t="inlineStr">
        <x:is>
          <x:t xml:space="preserve"/>
        </x:is>
      </x:c>
      <x:c r="N5" s="11" t="inlineStr">
        <x:is>
          <x:t xml:space="preserve"/>
        </x:is>
      </x:c>
      <x:c r="O5" s="12">
        <x:f>CONFIG_REFERENCIA!$E$3</x:f>
        <x:v>0.35</x:v>
      </x:c>
      <x:c r="P5" s="12">
        <x:f>CONFIG_REFERENCIA!$E$4</x:f>
        <x:v>0.25</x:v>
      </x:c>
      <x:c r="Q5" s="12">
        <x:f>CONFIG_REFERENCIA!$E$5</x:f>
        <x:v>0.25</x:v>
      </x:c>
      <x:c r="R5" s="12">
        <x:f>CONFIG_REFERENCIA!$E$6</x:f>
        <x:v>0.1</x:v>
      </x:c>
      <x:c r="S5" s="13">
        <x:f>IF($F5="","",INDEX(CONFIG_REFERENCIA!$B$3:$B$6,MATCH($F5,CONFIG_REFERENCIA!$A$3:$A$6,0)))</x:f>
        <x:v>0.15</x:v>
      </x:c>
      <x:c r="T5" s="14" t="inlineStr">
        <x:is>
          <x:t xml:space="preserve"/>
        </x:is>
      </x:c>
      <x:c r="U5" s="14" t="inlineStr">
        <x:is>
          <x:t xml:space="preserve"/>
        </x:is>
      </x:c>
      <x:c r="V5" s="14" t="inlineStr">
        <x:is>
          <x:t xml:space="preserve"/>
        </x:is>
      </x:c>
      <x:c r="W5" s="14" t="inlineStr">
        <x:is>
          <x:t xml:space="preserve"/>
        </x:is>
      </x:c>
      <x:c r="X5" s="15">
        <x:f>IF(COUNTA($T5:$W5)&lt;4,"",$S5*($O5*$T5+$P5*$U5+$Q5*$V5+$R5*$W5))</x:f>
      </x:c>
      <x:c r="Y5" s="14" t="inlineStr">
        <x:is>
          <x:t xml:space="preserve"/>
        </x:is>
      </x:c>
      <x:c r="Z5" s="14" t="inlineStr">
        <x:is>
          <x:t xml:space="preserve"/>
        </x:is>
      </x:c>
      <x:c r="AA5" s="16" t="inlineStr">
        <x:is>
          <x:t xml:space="preserve"/>
        </x:is>
      </x:c>
      <x:c r="AB5" s="16" t="inlineStr">
        <x:is>
          <x:t xml:space="preserve"/>
        </x:is>
      </x:c>
      <x:c r="AC5" s="11" t="inlineStr">
        <x:is>
          <x:t xml:space="preserve">pendiente</x:t>
        </x:is>
      </x:c>
      <x:c r="AD5" s="11" t="inlineStr">
        <x:is>
          <x:t xml:space="preserve"/>
        </x:is>
      </x:c>
    </x:row>
    <x:row r="6">
      <x:c r="A6" s="11" t="inlineStr">
        <x:is>
          <x:t xml:space="preserve"/>
        </x:is>
      </x:c>
      <x:c r="B6" s="11" t="inlineStr">
        <x:is>
          <x:t xml:space="preserve">E2_v1</x:t>
        </x:is>
      </x:c>
      <x:c r="C6" s="9" t="inlineStr">
        <x:is>
          <x:t xml:space="preserve">E2</x:t>
        </x:is>
      </x:c>
      <x:c r="D6" s="9" t="inlineStr">
        <x:is>
          <x:t xml:space="preserve">robusto</x:t>
        </x:is>
      </x:c>
      <x:c r="E6" s="9" t="inlineStr">
        <x:is>
          <x:t xml:space="preserve">Huber Regressor</x:t>
        </x:is>
      </x:c>
      <x:c r="F6" s="9" t="n">
        <x:v>1</x:v>
      </x:c>
      <x:c r="G6" s="11" t="inlineStr">
        <x:is>
          <x:t xml:space="preserve"/>
        </x:is>
      </x:c>
      <x:c r="H6" s="9" t="inlineStr">
        <x:is>
          <x:t xml:space="preserve">lags IAD, MA, momentum</x:t>
        </x:is>
      </x:c>
      <x:c r="I6" s="9" t="inlineStr">
        <x:is>
          <x:t xml:space="preserve">indices tematicos / sentimiento</x:t>
        </x:is>
      </x:c>
      <x:c r="J6" s="9" t="inlineStr">
        <x:is>
          <x:t xml:space="preserve">robusta</x:t>
        </x:is>
      </x:c>
      <x:c r="K6" s="9" t="inlineStr">
        <x:is>
          <x:t xml:space="preserve">todas</x:t>
        </x:is>
      </x:c>
      <x:c r="L6" s="9" t="inlineStr">
        <x:is>
          <x:t xml:space="preserve">walk-forward</x:t>
        </x:is>
      </x:c>
      <x:c r="M6" s="11" t="inlineStr">
        <x:is>
          <x:t xml:space="preserve"/>
        </x:is>
      </x:c>
      <x:c r="N6" s="11" t="inlineStr">
        <x:is>
          <x:t xml:space="preserve"/>
        </x:is>
      </x:c>
      <x:c r="O6" s="12">
        <x:f>CONFIG_REFERENCIA!$E$3</x:f>
        <x:v>0.35</x:v>
      </x:c>
      <x:c r="P6" s="12">
        <x:f>CONFIG_REFERENCIA!$E$4</x:f>
        <x:v>0.25</x:v>
      </x:c>
      <x:c r="Q6" s="12">
        <x:f>CONFIG_REFERENCIA!$E$5</x:f>
        <x:v>0.25</x:v>
      </x:c>
      <x:c r="R6" s="12">
        <x:f>CONFIG_REFERENCIA!$E$6</x:f>
        <x:v>0.1</x:v>
      </x:c>
      <x:c r="S6" s="13">
        <x:f>IF($F6="","",INDEX(CONFIG_REFERENCIA!$B$3:$B$6,MATCH($F6,CONFIG_REFERENCIA!$A$3:$A$6,0)))</x:f>
        <x:v>0.3</x:v>
      </x:c>
      <x:c r="T6" s="14" t="inlineStr">
        <x:is>
          <x:t xml:space="preserve"/>
        </x:is>
      </x:c>
      <x:c r="U6" s="14" t="inlineStr">
        <x:is>
          <x:t xml:space="preserve"/>
        </x:is>
      </x:c>
      <x:c r="V6" s="14" t="inlineStr">
        <x:is>
          <x:t xml:space="preserve"/>
        </x:is>
      </x:c>
      <x:c r="W6" s="14" t="inlineStr">
        <x:is>
          <x:t xml:space="preserve"/>
        </x:is>
      </x:c>
      <x:c r="X6" s="15">
        <x:f>IF(COUNTA($T6:$W6)&lt;4,"",$S6*($O6*$T6+$P6*$U6+$Q6*$V6+$R6*$W6))</x:f>
      </x:c>
      <x:c r="Y6" s="14" t="inlineStr">
        <x:is>
          <x:t xml:space="preserve"/>
        </x:is>
      </x:c>
      <x:c r="Z6" s="14" t="inlineStr">
        <x:is>
          <x:t xml:space="preserve"/>
        </x:is>
      </x:c>
      <x:c r="AA6" s="16" t="inlineStr">
        <x:is>
          <x:t xml:space="preserve"/>
        </x:is>
      </x:c>
      <x:c r="AB6" s="16" t="inlineStr">
        <x:is>
          <x:t xml:space="preserve"/>
        </x:is>
      </x:c>
      <x:c r="AC6" s="11" t="inlineStr">
        <x:is>
          <x:t xml:space="preserve">pendiente</x:t>
        </x:is>
      </x:c>
      <x:c r="AD6" s="11" t="inlineStr">
        <x:is>
          <x:t xml:space="preserve"/>
        </x:is>
      </x:c>
    </x:row>
    <x:row r="7">
      <x:c r="A7" s="11" t="inlineStr">
        <x:is>
          <x:t xml:space="preserve"/>
        </x:is>
      </x:c>
      <x:c r="B7" s="11" t="inlineStr">
        <x:is>
          <x:t xml:space="preserve">E2_v1</x:t>
        </x:is>
      </x:c>
      <x:c r="C7" s="9" t="inlineStr">
        <x:is>
          <x:t xml:space="preserve">E2</x:t>
        </x:is>
      </x:c>
      <x:c r="D7" s="9" t="inlineStr">
        <x:is>
          <x:t xml:space="preserve">robusto</x:t>
        </x:is>
      </x:c>
      <x:c r="E7" s="9" t="inlineStr">
        <x:is>
          <x:t xml:space="preserve">Huber Regressor</x:t>
        </x:is>
      </x:c>
      <x:c r="F7" s="9" t="n">
        <x:v>2</x:v>
      </x:c>
      <x:c r="G7" s="11" t="inlineStr">
        <x:is>
          <x:t xml:space="preserve"/>
        </x:is>
      </x:c>
      <x:c r="H7" s="9" t="inlineStr">
        <x:is>
          <x:t xml:space="preserve">lags IAD, MA, momentum</x:t>
        </x:is>
      </x:c>
      <x:c r="I7" s="9" t="inlineStr">
        <x:is>
          <x:t xml:space="preserve">indices tematicos / sentimiento</x:t>
        </x:is>
      </x:c>
      <x:c r="J7" s="9" t="inlineStr">
        <x:is>
          <x:t xml:space="preserve">robusta</x:t>
        </x:is>
      </x:c>
      <x:c r="K7" s="9" t="inlineStr">
        <x:is>
          <x:t xml:space="preserve">todas</x:t>
        </x:is>
      </x:c>
      <x:c r="L7" s="9" t="inlineStr">
        <x:is>
          <x:t xml:space="preserve">walk-forward</x:t>
        </x:is>
      </x:c>
      <x:c r="M7" s="11" t="inlineStr">
        <x:is>
          <x:t xml:space="preserve"/>
        </x:is>
      </x:c>
      <x:c r="N7" s="11" t="inlineStr">
        <x:is>
          <x:t xml:space="preserve"/>
        </x:is>
      </x:c>
      <x:c r="O7" s="12">
        <x:f>CONFIG_REFERENCIA!$E$3</x:f>
        <x:v>0.35</x:v>
      </x:c>
      <x:c r="P7" s="12">
        <x:f>CONFIG_REFERENCIA!$E$4</x:f>
        <x:v>0.25</x:v>
      </x:c>
      <x:c r="Q7" s="12">
        <x:f>CONFIG_REFERENCIA!$E$5</x:f>
        <x:v>0.25</x:v>
      </x:c>
      <x:c r="R7" s="12">
        <x:f>CONFIG_REFERENCIA!$E$6</x:f>
        <x:v>0.1</x:v>
      </x:c>
      <x:c r="S7" s="13">
        <x:f>IF($F7="","",INDEX(CONFIG_REFERENCIA!$B$3:$B$6,MATCH($F7,CONFIG_REFERENCIA!$A$3:$A$6,0)))</x:f>
        <x:v>0.25</x:v>
      </x:c>
      <x:c r="T7" s="14" t="inlineStr">
        <x:is>
          <x:t xml:space="preserve"/>
        </x:is>
      </x:c>
      <x:c r="U7" s="14" t="inlineStr">
        <x:is>
          <x:t xml:space="preserve"/>
        </x:is>
      </x:c>
      <x:c r="V7" s="14" t="inlineStr">
        <x:is>
          <x:t xml:space="preserve"/>
        </x:is>
      </x:c>
      <x:c r="W7" s="14" t="inlineStr">
        <x:is>
          <x:t xml:space="preserve"/>
        </x:is>
      </x:c>
      <x:c r="X7" s="15">
        <x:f>IF(COUNTA($T7:$W7)&lt;4,"",$S7*($O7*$T7+$P7*$U7+$Q7*$V7+$R7*$W7))</x:f>
      </x:c>
      <x:c r="Y7" s="14" t="inlineStr">
        <x:is>
          <x:t xml:space="preserve"/>
        </x:is>
      </x:c>
      <x:c r="Z7" s="14" t="inlineStr">
        <x:is>
          <x:t xml:space="preserve"/>
        </x:is>
      </x:c>
      <x:c r="AA7" s="16" t="inlineStr">
        <x:is>
          <x:t xml:space="preserve"/>
        </x:is>
      </x:c>
      <x:c r="AB7" s="16" t="inlineStr">
        <x:is>
          <x:t xml:space="preserve"/>
        </x:is>
      </x:c>
      <x:c r="AC7" s="11" t="inlineStr">
        <x:is>
          <x:t xml:space="preserve">pendiente</x:t>
        </x:is>
      </x:c>
      <x:c r="AD7" s="11" t="inlineStr">
        <x:is>
          <x:t xml:space="preserve"/>
        </x:is>
      </x:c>
    </x:row>
    <x:row r="8">
      <x:c r="A8" s="11" t="inlineStr">
        <x:is>
          <x:t xml:space="preserve"/>
        </x:is>
      </x:c>
      <x:c r="B8" s="11" t="inlineStr">
        <x:is>
          <x:t xml:space="preserve">E2_v1</x:t>
        </x:is>
      </x:c>
      <x:c r="C8" s="9" t="inlineStr">
        <x:is>
          <x:t xml:space="preserve">E2</x:t>
        </x:is>
      </x:c>
      <x:c r="D8" s="9" t="inlineStr">
        <x:is>
          <x:t xml:space="preserve">robusto</x:t>
        </x:is>
      </x:c>
      <x:c r="E8" s="9" t="inlineStr">
        <x:is>
          <x:t xml:space="preserve">Huber Regressor</x:t>
        </x:is>
      </x:c>
      <x:c r="F8" s="9" t="n">
        <x:v>3</x:v>
      </x:c>
      <x:c r="G8" s="11" t="inlineStr">
        <x:is>
          <x:t xml:space="preserve"/>
        </x:is>
      </x:c>
      <x:c r="H8" s="9" t="inlineStr">
        <x:is>
          <x:t xml:space="preserve">lags IAD, MA, momentum</x:t>
        </x:is>
      </x:c>
      <x:c r="I8" s="9" t="inlineStr">
        <x:is>
          <x:t xml:space="preserve">indices tematicos / sentimiento</x:t>
        </x:is>
      </x:c>
      <x:c r="J8" s="9" t="inlineStr">
        <x:is>
          <x:t xml:space="preserve">robusta</x:t>
        </x:is>
      </x:c>
      <x:c r="K8" s="9" t="inlineStr">
        <x:is>
          <x:t xml:space="preserve">todas</x:t>
        </x:is>
      </x:c>
      <x:c r="L8" s="9" t="inlineStr">
        <x:is>
          <x:t xml:space="preserve">walk-forward</x:t>
        </x:is>
      </x:c>
      <x:c r="M8" s="11" t="inlineStr">
        <x:is>
          <x:t xml:space="preserve"/>
        </x:is>
      </x:c>
      <x:c r="N8" s="11" t="inlineStr">
        <x:is>
          <x:t xml:space="preserve"/>
        </x:is>
      </x:c>
      <x:c r="O8" s="12">
        <x:f>CONFIG_REFERENCIA!$E$3</x:f>
        <x:v>0.35</x:v>
      </x:c>
      <x:c r="P8" s="12">
        <x:f>CONFIG_REFERENCIA!$E$4</x:f>
        <x:v>0.25</x:v>
      </x:c>
      <x:c r="Q8" s="12">
        <x:f>CONFIG_REFERENCIA!$E$5</x:f>
        <x:v>0.25</x:v>
      </x:c>
      <x:c r="R8" s="12">
        <x:f>CONFIG_REFERENCIA!$E$6</x:f>
        <x:v>0.1</x:v>
      </x:c>
      <x:c r="S8" s="13">
        <x:f>IF($F8="","",INDEX(CONFIG_REFERENCIA!$B$3:$B$6,MATCH($F8,CONFIG_REFERENCIA!$A$3:$A$6,0)))</x:f>
        <x:v>0.3</x:v>
      </x:c>
      <x:c r="T8" s="14" t="inlineStr">
        <x:is>
          <x:t xml:space="preserve"/>
        </x:is>
      </x:c>
      <x:c r="U8" s="14" t="inlineStr">
        <x:is>
          <x:t xml:space="preserve"/>
        </x:is>
      </x:c>
      <x:c r="V8" s="14" t="inlineStr">
        <x:is>
          <x:t xml:space="preserve"/>
        </x:is>
      </x:c>
      <x:c r="W8" s="14" t="inlineStr">
        <x:is>
          <x:t xml:space="preserve"/>
        </x:is>
      </x:c>
      <x:c r="X8" s="15">
        <x:f>IF(COUNTA($T8:$W8)&lt;4,"",$S8*($O8*$T8+$P8*$U8+$Q8*$V8+$R8*$W8))</x:f>
      </x:c>
      <x:c r="Y8" s="14" t="inlineStr">
        <x:is>
          <x:t xml:space="preserve"/>
        </x:is>
      </x:c>
      <x:c r="Z8" s="14" t="inlineStr">
        <x:is>
          <x:t xml:space="preserve"/>
        </x:is>
      </x:c>
      <x:c r="AA8" s="16" t="inlineStr">
        <x:is>
          <x:t xml:space="preserve"/>
        </x:is>
      </x:c>
      <x:c r="AB8" s="16" t="inlineStr">
        <x:is>
          <x:t xml:space="preserve"/>
        </x:is>
      </x:c>
      <x:c r="AC8" s="11" t="inlineStr">
        <x:is>
          <x:t xml:space="preserve">pendiente</x:t>
        </x:is>
      </x:c>
      <x:c r="AD8" s="11" t="inlineStr">
        <x:is>
          <x:t xml:space="preserve"/>
        </x:is>
      </x:c>
    </x:row>
    <x:row r="9">
      <x:c r="A9" s="11" t="inlineStr">
        <x:is>
          <x:t xml:space="preserve"/>
        </x:is>
      </x:c>
      <x:c r="B9" s="11" t="inlineStr">
        <x:is>
          <x:t xml:space="preserve">E2_v1</x:t>
        </x:is>
      </x:c>
      <x:c r="C9" s="9" t="inlineStr">
        <x:is>
          <x:t xml:space="preserve">E2</x:t>
        </x:is>
      </x:c>
      <x:c r="D9" s="9" t="inlineStr">
        <x:is>
          <x:t xml:space="preserve">robusto</x:t>
        </x:is>
      </x:c>
      <x:c r="E9" s="9" t="inlineStr">
        <x:is>
          <x:t xml:space="preserve">Huber Regressor</x:t>
        </x:is>
      </x:c>
      <x:c r="F9" s="9" t="n">
        <x:v>4</x:v>
      </x:c>
      <x:c r="G9" s="11" t="inlineStr">
        <x:is>
          <x:t xml:space="preserve"/>
        </x:is>
      </x:c>
      <x:c r="H9" s="9" t="inlineStr">
        <x:is>
          <x:t xml:space="preserve">lags IAD, MA, momentum</x:t>
        </x:is>
      </x:c>
      <x:c r="I9" s="9" t="inlineStr">
        <x:is>
          <x:t xml:space="preserve">indices tematicos / sentimiento</x:t>
        </x:is>
      </x:c>
      <x:c r="J9" s="9" t="inlineStr">
        <x:is>
          <x:t xml:space="preserve">robusta</x:t>
        </x:is>
      </x:c>
      <x:c r="K9" s="9" t="inlineStr">
        <x:is>
          <x:t xml:space="preserve">todas</x:t>
        </x:is>
      </x:c>
      <x:c r="L9" s="9" t="inlineStr">
        <x:is>
          <x:t xml:space="preserve">walk-forward</x:t>
        </x:is>
      </x:c>
      <x:c r="M9" s="11" t="inlineStr">
        <x:is>
          <x:t xml:space="preserve"/>
        </x:is>
      </x:c>
      <x:c r="N9" s="11" t="inlineStr">
        <x:is>
          <x:t xml:space="preserve"/>
        </x:is>
      </x:c>
      <x:c r="O9" s="12">
        <x:f>CONFIG_REFERENCIA!$E$3</x:f>
        <x:v>0.35</x:v>
      </x:c>
      <x:c r="P9" s="12">
        <x:f>CONFIG_REFERENCIA!$E$4</x:f>
        <x:v>0.25</x:v>
      </x:c>
      <x:c r="Q9" s="12">
        <x:f>CONFIG_REFERENCIA!$E$5</x:f>
        <x:v>0.25</x:v>
      </x:c>
      <x:c r="R9" s="12">
        <x:f>CONFIG_REFERENCIA!$E$6</x:f>
        <x:v>0.1</x:v>
      </x:c>
      <x:c r="S9" s="13">
        <x:f>IF($F9="","",INDEX(CONFIG_REFERENCIA!$B$3:$B$6,MATCH($F9,CONFIG_REFERENCIA!$A$3:$A$6,0)))</x:f>
        <x:v>0.15</x:v>
      </x:c>
      <x:c r="T9" s="14" t="inlineStr">
        <x:is>
          <x:t xml:space="preserve"/>
        </x:is>
      </x:c>
      <x:c r="U9" s="14" t="inlineStr">
        <x:is>
          <x:t xml:space="preserve"/>
        </x:is>
      </x:c>
      <x:c r="V9" s="14" t="inlineStr">
        <x:is>
          <x:t xml:space="preserve"/>
        </x:is>
      </x:c>
      <x:c r="W9" s="14" t="inlineStr">
        <x:is>
          <x:t xml:space="preserve"/>
        </x:is>
      </x:c>
      <x:c r="X9" s="15">
        <x:f>IF(COUNTA($T9:$W9)&lt;4,"",$S9*($O9*$T9+$P9*$U9+$Q9*$V9+$R9*$W9))</x:f>
      </x:c>
      <x:c r="Y9" s="14" t="inlineStr">
        <x:is>
          <x:t xml:space="preserve"/>
        </x:is>
      </x:c>
      <x:c r="Z9" s="14" t="inlineStr">
        <x:is>
          <x:t xml:space="preserve"/>
        </x:is>
      </x:c>
      <x:c r="AA9" s="16" t="inlineStr">
        <x:is>
          <x:t xml:space="preserve"/>
        </x:is>
      </x:c>
      <x:c r="AB9" s="16" t="inlineStr">
        <x:is>
          <x:t xml:space="preserve"/>
        </x:is>
      </x:c>
      <x:c r="AC9" s="11" t="inlineStr">
        <x:is>
          <x:t xml:space="preserve">pendiente</x:t>
        </x:is>
      </x:c>
      <x:c r="AD9" s="11" t="inlineStr">
        <x:is>
          <x:t xml:space="preserve"/>
        </x:is>
      </x:c>
    </x:row>
    <x:row r="10">
      <x:c r="A10" s="11" t="inlineStr">
        <x:is>
          <x:t xml:space="preserve"/>
        </x:is>
      </x:c>
      <x:c r="B10" s="11" t="inlineStr">
        <x:is>
          <x:t xml:space="preserve">E3_v1</x:t>
        </x:is>
      </x:c>
      <x:c r="C10" s="9" t="inlineStr">
        <x:is>
          <x:t xml:space="preserve">E3</x:t>
        </x:is>
      </x:c>
      <x:c r="D10" s="9" t="inlineStr">
        <x:is>
          <x:t xml:space="preserve">boosting</x:t>
        </x:is>
      </x:c>
      <x:c r="E10" s="9" t="inlineStr">
        <x:is>
          <x:t xml:space="preserve">Random Forest</x:t>
        </x:is>
      </x:c>
      <x:c r="F10" s="9" t="n">
        <x:v>1</x:v>
      </x:c>
      <x:c r="G10" s="11" t="inlineStr">
        <x:is>
          <x:t xml:space="preserve"/>
        </x:is>
      </x:c>
      <x:c r="H10" s="9" t="inlineStr">
        <x:is>
          <x:t xml:space="preserve">lags, MA, volatilidad</x:t>
        </x:is>
      </x:c>
      <x:c r="I10" s="9" t="inlineStr">
        <x:is>
          <x:t xml:space="preserve">variables tematicas</x:t>
        </x:is>
      </x:c>
      <x:c r="J10" s="9" t="inlineStr">
        <x:is>
          <x:t xml:space="preserve">original</x:t>
        </x:is>
      </x:c>
      <x:c r="K10" s="9" t="inlineStr">
        <x:is>
          <x:t xml:space="preserve">importancia_arboles</x:t>
        </x:is>
      </x:c>
      <x:c r="L10" s="9" t="inlineStr">
        <x:is>
          <x:t xml:space="preserve">walk-forward</x:t>
        </x:is>
      </x:c>
      <x:c r="M10" s="11" t="inlineStr">
        <x:is>
          <x:t xml:space="preserve"/>
        </x:is>
      </x:c>
      <x:c r="N10" s="11" t="inlineStr">
        <x:is>
          <x:t xml:space="preserve"/>
        </x:is>
      </x:c>
      <x:c r="O10" s="12">
        <x:f>CONFIG_REFERENCIA!$E$3</x:f>
        <x:v>0.35</x:v>
      </x:c>
      <x:c r="P10" s="12">
        <x:f>CONFIG_REFERENCIA!$E$4</x:f>
        <x:v>0.25</x:v>
      </x:c>
      <x:c r="Q10" s="12">
        <x:f>CONFIG_REFERENCIA!$E$5</x:f>
        <x:v>0.25</x:v>
      </x:c>
      <x:c r="R10" s="12">
        <x:f>CONFIG_REFERENCIA!$E$6</x:f>
        <x:v>0.1</x:v>
      </x:c>
      <x:c r="S10" s="13">
        <x:f>IF($F10="","",INDEX(CONFIG_REFERENCIA!$B$3:$B$6,MATCH($F10,CONFIG_REFERENCIA!$A$3:$A$6,0)))</x:f>
        <x:v>0.3</x:v>
      </x:c>
      <x:c r="T10" s="14" t="inlineStr">
        <x:is>
          <x:t xml:space="preserve"/>
        </x:is>
      </x:c>
      <x:c r="U10" s="14" t="inlineStr">
        <x:is>
          <x:t xml:space="preserve"/>
        </x:is>
      </x:c>
      <x:c r="V10" s="14" t="inlineStr">
        <x:is>
          <x:t xml:space="preserve"/>
        </x:is>
      </x:c>
      <x:c r="W10" s="14" t="inlineStr">
        <x:is>
          <x:t xml:space="preserve"/>
        </x:is>
      </x:c>
      <x:c r="X10" s="15">
        <x:f>IF(COUNTA($T10:$W10)&lt;4,"",$S10*($O10*$T10+$P10*$U10+$Q10*$V10+$R10*$W10))</x:f>
      </x:c>
      <x:c r="Y10" s="14" t="inlineStr">
        <x:is>
          <x:t xml:space="preserve"/>
        </x:is>
      </x:c>
      <x:c r="Z10" s="14" t="inlineStr">
        <x:is>
          <x:t xml:space="preserve"/>
        </x:is>
      </x:c>
      <x:c r="AA10" s="16" t="inlineStr">
        <x:is>
          <x:t xml:space="preserve"/>
        </x:is>
      </x:c>
      <x:c r="AB10" s="16" t="inlineStr">
        <x:is>
          <x:t xml:space="preserve"/>
        </x:is>
      </x:c>
      <x:c r="AC10" s="11" t="inlineStr">
        <x:is>
          <x:t xml:space="preserve">pendiente</x:t>
        </x:is>
      </x:c>
      <x:c r="AD10" s="11" t="inlineStr">
        <x:is>
          <x:t xml:space="preserve"/>
        </x:is>
      </x:c>
    </x:row>
    <x:row r="11">
      <x:c r="A11" s="11" t="inlineStr">
        <x:is>
          <x:t xml:space="preserve"/>
        </x:is>
      </x:c>
      <x:c r="B11" s="11" t="inlineStr">
        <x:is>
          <x:t xml:space="preserve">E3_v1</x:t>
        </x:is>
      </x:c>
      <x:c r="C11" s="9" t="inlineStr">
        <x:is>
          <x:t xml:space="preserve">E3</x:t>
        </x:is>
      </x:c>
      <x:c r="D11" s="9" t="inlineStr">
        <x:is>
          <x:t xml:space="preserve">boosting</x:t>
        </x:is>
      </x:c>
      <x:c r="E11" s="9" t="inlineStr">
        <x:is>
          <x:t xml:space="preserve">Random Forest</x:t>
        </x:is>
      </x:c>
      <x:c r="F11" s="9" t="n">
        <x:v>2</x:v>
      </x:c>
      <x:c r="G11" s="11" t="inlineStr">
        <x:is>
          <x:t xml:space="preserve"/>
        </x:is>
      </x:c>
      <x:c r="H11" s="9" t="inlineStr">
        <x:is>
          <x:t xml:space="preserve">lags, MA, volatilidad</x:t>
        </x:is>
      </x:c>
      <x:c r="I11" s="9" t="inlineStr">
        <x:is>
          <x:t xml:space="preserve">variables tematicas</x:t>
        </x:is>
      </x:c>
      <x:c r="J11" s="9" t="inlineStr">
        <x:is>
          <x:t xml:space="preserve">original</x:t>
        </x:is>
      </x:c>
      <x:c r="K11" s="9" t="inlineStr">
        <x:is>
          <x:t xml:space="preserve">importancia_arboles</x:t>
        </x:is>
      </x:c>
      <x:c r="L11" s="9" t="inlineStr">
        <x:is>
          <x:t xml:space="preserve">walk-forward</x:t>
        </x:is>
      </x:c>
      <x:c r="M11" s="11" t="inlineStr">
        <x:is>
          <x:t xml:space="preserve"/>
        </x:is>
      </x:c>
      <x:c r="N11" s="11" t="inlineStr">
        <x:is>
          <x:t xml:space="preserve"/>
        </x:is>
      </x:c>
      <x:c r="O11" s="12">
        <x:f>CONFIG_REFERENCIA!$E$3</x:f>
        <x:v>0.35</x:v>
      </x:c>
      <x:c r="P11" s="12">
        <x:f>CONFIG_REFERENCIA!$E$4</x:f>
        <x:v>0.25</x:v>
      </x:c>
      <x:c r="Q11" s="12">
        <x:f>CONFIG_REFERENCIA!$E$5</x:f>
        <x:v>0.25</x:v>
      </x:c>
      <x:c r="R11" s="12">
        <x:f>CONFIG_REFERENCIA!$E$6</x:f>
        <x:v>0.1</x:v>
      </x:c>
      <x:c r="S11" s="13">
        <x:f>IF($F11="","",INDEX(CONFIG_REFERENCIA!$B$3:$B$6,MATCH($F11,CONFIG_REFERENCIA!$A$3:$A$6,0)))</x:f>
        <x:v>0.25</x:v>
      </x:c>
      <x:c r="T11" s="14" t="inlineStr">
        <x:is>
          <x:t xml:space="preserve"/>
        </x:is>
      </x:c>
      <x:c r="U11" s="14" t="inlineStr">
        <x:is>
          <x:t xml:space="preserve"/>
        </x:is>
      </x:c>
      <x:c r="V11" s="14" t="inlineStr">
        <x:is>
          <x:t xml:space="preserve"/>
        </x:is>
      </x:c>
      <x:c r="W11" s="14" t="inlineStr">
        <x:is>
          <x:t xml:space="preserve"/>
        </x:is>
      </x:c>
      <x:c r="X11" s="15">
        <x:f>IF(COUNTA($T11:$W11)&lt;4,"",$S11*($O11*$T11+$P11*$U11+$Q11*$V11+$R11*$W11))</x:f>
      </x:c>
      <x:c r="Y11" s="14" t="inlineStr">
        <x:is>
          <x:t xml:space="preserve"/>
        </x:is>
      </x:c>
      <x:c r="Z11" s="14" t="inlineStr">
        <x:is>
          <x:t xml:space="preserve"/>
        </x:is>
      </x:c>
      <x:c r="AA11" s="16" t="inlineStr">
        <x:is>
          <x:t xml:space="preserve"/>
        </x:is>
      </x:c>
      <x:c r="AB11" s="16" t="inlineStr">
        <x:is>
          <x:t xml:space="preserve"/>
        </x:is>
      </x:c>
      <x:c r="AC11" s="11" t="inlineStr">
        <x:is>
          <x:t xml:space="preserve">pendiente</x:t>
        </x:is>
      </x:c>
      <x:c r="AD11" s="11" t="inlineStr">
        <x:is>
          <x:t xml:space="preserve"/>
        </x:is>
      </x:c>
    </x:row>
    <x:row r="12">
      <x:c r="A12" s="11" t="inlineStr">
        <x:is>
          <x:t xml:space="preserve"/>
        </x:is>
      </x:c>
      <x:c r="B12" s="11" t="inlineStr">
        <x:is>
          <x:t xml:space="preserve">E3_v1</x:t>
        </x:is>
      </x:c>
      <x:c r="C12" s="9" t="inlineStr">
        <x:is>
          <x:t xml:space="preserve">E3</x:t>
        </x:is>
      </x:c>
      <x:c r="D12" s="9" t="inlineStr">
        <x:is>
          <x:t xml:space="preserve">boosting</x:t>
        </x:is>
      </x:c>
      <x:c r="E12" s="9" t="inlineStr">
        <x:is>
          <x:t xml:space="preserve">Random Forest</x:t>
        </x:is>
      </x:c>
      <x:c r="F12" s="9" t="n">
        <x:v>3</x:v>
      </x:c>
      <x:c r="G12" s="11" t="inlineStr">
        <x:is>
          <x:t xml:space="preserve"/>
        </x:is>
      </x:c>
      <x:c r="H12" s="9" t="inlineStr">
        <x:is>
          <x:t xml:space="preserve">lags, MA, volatilidad</x:t>
        </x:is>
      </x:c>
      <x:c r="I12" s="9" t="inlineStr">
        <x:is>
          <x:t xml:space="preserve">variables tematicas</x:t>
        </x:is>
      </x:c>
      <x:c r="J12" s="9" t="inlineStr">
        <x:is>
          <x:t xml:space="preserve">original</x:t>
        </x:is>
      </x:c>
      <x:c r="K12" s="9" t="inlineStr">
        <x:is>
          <x:t xml:space="preserve">importancia_arboles</x:t>
        </x:is>
      </x:c>
      <x:c r="L12" s="9" t="inlineStr">
        <x:is>
          <x:t xml:space="preserve">walk-forward</x:t>
        </x:is>
      </x:c>
      <x:c r="M12" s="11" t="inlineStr">
        <x:is>
          <x:t xml:space="preserve"/>
        </x:is>
      </x:c>
      <x:c r="N12" s="11" t="inlineStr">
        <x:is>
          <x:t xml:space="preserve"/>
        </x:is>
      </x:c>
      <x:c r="O12" s="12">
        <x:f>CONFIG_REFERENCIA!$E$3</x:f>
        <x:v>0.35</x:v>
      </x:c>
      <x:c r="P12" s="12">
        <x:f>CONFIG_REFERENCIA!$E$4</x:f>
        <x:v>0.25</x:v>
      </x:c>
      <x:c r="Q12" s="12">
        <x:f>CONFIG_REFERENCIA!$E$5</x:f>
        <x:v>0.25</x:v>
      </x:c>
      <x:c r="R12" s="12">
        <x:f>CONFIG_REFERENCIA!$E$6</x:f>
        <x:v>0.1</x:v>
      </x:c>
      <x:c r="S12" s="13">
        <x:f>IF($F12="","",INDEX(CONFIG_REFERENCIA!$B$3:$B$6,MATCH($F12,CONFIG_REFERENCIA!$A$3:$A$6,0)))</x:f>
        <x:v>0.3</x:v>
      </x:c>
      <x:c r="T12" s="14" t="inlineStr">
        <x:is>
          <x:t xml:space="preserve"/>
        </x:is>
      </x:c>
      <x:c r="U12" s="14" t="inlineStr">
        <x:is>
          <x:t xml:space="preserve"/>
        </x:is>
      </x:c>
      <x:c r="V12" s="14" t="inlineStr">
        <x:is>
          <x:t xml:space="preserve"/>
        </x:is>
      </x:c>
      <x:c r="W12" s="14" t="inlineStr">
        <x:is>
          <x:t xml:space="preserve"/>
        </x:is>
      </x:c>
      <x:c r="X12" s="15">
        <x:f>IF(COUNTA($T12:$W12)&lt;4,"",$S12*($O12*$T12+$P12*$U12+$Q12*$V12+$R12*$W12))</x:f>
      </x:c>
      <x:c r="Y12" s="14" t="inlineStr">
        <x:is>
          <x:t xml:space="preserve"/>
        </x:is>
      </x:c>
      <x:c r="Z12" s="14" t="inlineStr">
        <x:is>
          <x:t xml:space="preserve"/>
        </x:is>
      </x:c>
      <x:c r="AA12" s="16" t="inlineStr">
        <x:is>
          <x:t xml:space="preserve"/>
        </x:is>
      </x:c>
      <x:c r="AB12" s="16" t="inlineStr">
        <x:is>
          <x:t xml:space="preserve"/>
        </x:is>
      </x:c>
      <x:c r="AC12" s="11" t="inlineStr">
        <x:is>
          <x:t xml:space="preserve">pendiente</x:t>
        </x:is>
      </x:c>
      <x:c r="AD12" s="11" t="inlineStr">
        <x:is>
          <x:t xml:space="preserve"/>
        </x:is>
      </x:c>
    </x:row>
    <x:row r="13">
      <x:c r="A13" s="11" t="inlineStr">
        <x:is>
          <x:t xml:space="preserve"/>
        </x:is>
      </x:c>
      <x:c r="B13" s="11" t="inlineStr">
        <x:is>
          <x:t xml:space="preserve">E3_v1</x:t>
        </x:is>
      </x:c>
      <x:c r="C13" s="9" t="inlineStr">
        <x:is>
          <x:t xml:space="preserve">E3</x:t>
        </x:is>
      </x:c>
      <x:c r="D13" s="9" t="inlineStr">
        <x:is>
          <x:t xml:space="preserve">boosting</x:t>
        </x:is>
      </x:c>
      <x:c r="E13" s="9" t="inlineStr">
        <x:is>
          <x:t xml:space="preserve">Random Forest</x:t>
        </x:is>
      </x:c>
      <x:c r="F13" s="9" t="n">
        <x:v>4</x:v>
      </x:c>
      <x:c r="G13" s="11" t="inlineStr">
        <x:is>
          <x:t xml:space="preserve"/>
        </x:is>
      </x:c>
      <x:c r="H13" s="9" t="inlineStr">
        <x:is>
          <x:t xml:space="preserve">lags, MA, volatilidad</x:t>
        </x:is>
      </x:c>
      <x:c r="I13" s="9" t="inlineStr">
        <x:is>
          <x:t xml:space="preserve">variables tematicas</x:t>
        </x:is>
      </x:c>
      <x:c r="J13" s="9" t="inlineStr">
        <x:is>
          <x:t xml:space="preserve">original</x:t>
        </x:is>
      </x:c>
      <x:c r="K13" s="9" t="inlineStr">
        <x:is>
          <x:t xml:space="preserve">importancia_arboles</x:t>
        </x:is>
      </x:c>
      <x:c r="L13" s="9" t="inlineStr">
        <x:is>
          <x:t xml:space="preserve">walk-forward</x:t>
        </x:is>
      </x:c>
      <x:c r="M13" s="11" t="inlineStr">
        <x:is>
          <x:t xml:space="preserve"/>
        </x:is>
      </x:c>
      <x:c r="N13" s="11" t="inlineStr">
        <x:is>
          <x:t xml:space="preserve"/>
        </x:is>
      </x:c>
      <x:c r="O13" s="12">
        <x:f>CONFIG_REFERENCIA!$E$3</x:f>
        <x:v>0.35</x:v>
      </x:c>
      <x:c r="P13" s="12">
        <x:f>CONFIG_REFERENCIA!$E$4</x:f>
        <x:v>0.25</x:v>
      </x:c>
      <x:c r="Q13" s="12">
        <x:f>CONFIG_REFERENCIA!$E$5</x:f>
        <x:v>0.25</x:v>
      </x:c>
      <x:c r="R13" s="12">
        <x:f>CONFIG_REFERENCIA!$E$6</x:f>
        <x:v>0.1</x:v>
      </x:c>
      <x:c r="S13" s="13">
        <x:f>IF($F13="","",INDEX(CONFIG_REFERENCIA!$B$3:$B$6,MATCH($F13,CONFIG_REFERENCIA!$A$3:$A$6,0)))</x:f>
        <x:v>0.15</x:v>
      </x:c>
      <x:c r="T13" s="14" t="inlineStr">
        <x:is>
          <x:t xml:space="preserve"/>
        </x:is>
      </x:c>
      <x:c r="U13" s="14" t="inlineStr">
        <x:is>
          <x:t xml:space="preserve"/>
        </x:is>
      </x:c>
      <x:c r="V13" s="14" t="inlineStr">
        <x:is>
          <x:t xml:space="preserve"/>
        </x:is>
      </x:c>
      <x:c r="W13" s="14" t="inlineStr">
        <x:is>
          <x:t xml:space="preserve"/>
        </x:is>
      </x:c>
      <x:c r="X13" s="15">
        <x:f>IF(COUNTA($T13:$W13)&lt;4,"",$S13*($O13*$T13+$P13*$U13+$Q13*$V13+$R13*$W13))</x:f>
      </x:c>
      <x:c r="Y13" s="14" t="inlineStr">
        <x:is>
          <x:t xml:space="preserve"/>
        </x:is>
      </x:c>
      <x:c r="Z13" s="14" t="inlineStr">
        <x:is>
          <x:t xml:space="preserve"/>
        </x:is>
      </x:c>
      <x:c r="AA13" s="16" t="inlineStr">
        <x:is>
          <x:t xml:space="preserve"/>
        </x:is>
      </x:c>
      <x:c r="AB13" s="16" t="inlineStr">
        <x:is>
          <x:t xml:space="preserve"/>
        </x:is>
      </x:c>
      <x:c r="AC13" s="11" t="inlineStr">
        <x:is>
          <x:t xml:space="preserve">pendiente</x:t>
        </x:is>
      </x:c>
      <x:c r="AD13" s="11" t="inlineStr">
        <x:is>
          <x:t xml:space="preserve"/>
        </x:is>
      </x:c>
    </x:row>
    <x:row r="14">
      <x:c r="A14" s="11" t="inlineStr">
        <x:is>
          <x:t xml:space="preserve"/>
        </x:is>
      </x:c>
      <x:c r="B14" s="11" t="inlineStr">
        <x:is>
          <x:t xml:space="preserve">E4_v1</x:t>
        </x:is>
      </x:c>
      <x:c r="C14" s="9" t="inlineStr">
        <x:is>
          <x:t xml:space="preserve">E4</x:t>
        </x:is>
      </x:c>
      <x:c r="D14" s="9" t="inlineStr">
        <x:is>
          <x:t xml:space="preserve">boosting</x:t>
        </x:is>
      </x:c>
      <x:c r="E14" s="9" t="inlineStr">
        <x:is>
          <x:t xml:space="preserve">XGBoost / LightGBM</x:t>
        </x:is>
      </x:c>
      <x:c r="F14" s="9" t="n">
        <x:v>1</x:v>
      </x:c>
      <x:c r="G14" s="11" t="inlineStr">
        <x:is>
          <x:t xml:space="preserve"/>
        </x:is>
      </x:c>
      <x:c r="H14" s="9" t="inlineStr">
        <x:is>
          <x:t xml:space="preserve">lags, MA, volatilidad</x:t>
        </x:is>
      </x:c>
      <x:c r="I14" s="9" t="inlineStr">
        <x:is>
          <x:t xml:space="preserve">variables tematicas</x:t>
        </x:is>
      </x:c>
      <x:c r="J14" s="9" t="inlineStr">
        <x:is>
          <x:t xml:space="preserve">original</x:t>
        </x:is>
      </x:c>
      <x:c r="K14" s="9" t="inlineStr">
        <x:is>
          <x:t xml:space="preserve">importancia_arboles</x:t>
        </x:is>
      </x:c>
      <x:c r="L14" s="9" t="inlineStr">
        <x:is>
          <x:t xml:space="preserve">walk-forward</x:t>
        </x:is>
      </x:c>
      <x:c r="M14" s="11" t="inlineStr">
        <x:is>
          <x:t xml:space="preserve"/>
        </x:is>
      </x:c>
      <x:c r="N14" s="11" t="inlineStr">
        <x:is>
          <x:t xml:space="preserve"/>
        </x:is>
      </x:c>
      <x:c r="O14" s="12">
        <x:f>CONFIG_REFERENCIA!$E$3</x:f>
        <x:v>0.35</x:v>
      </x:c>
      <x:c r="P14" s="12">
        <x:f>CONFIG_REFERENCIA!$E$4</x:f>
        <x:v>0.25</x:v>
      </x:c>
      <x:c r="Q14" s="12">
        <x:f>CONFIG_REFERENCIA!$E$5</x:f>
        <x:v>0.25</x:v>
      </x:c>
      <x:c r="R14" s="12">
        <x:f>CONFIG_REFERENCIA!$E$6</x:f>
        <x:v>0.1</x:v>
      </x:c>
      <x:c r="S14" s="13">
        <x:f>IF($F14="","",INDEX(CONFIG_REFERENCIA!$B$3:$B$6,MATCH($F14,CONFIG_REFERENCIA!$A$3:$A$6,0)))</x:f>
        <x:v>0.3</x:v>
      </x:c>
      <x:c r="T14" s="14" t="inlineStr">
        <x:is>
          <x:t xml:space="preserve"/>
        </x:is>
      </x:c>
      <x:c r="U14" s="14" t="inlineStr">
        <x:is>
          <x:t xml:space="preserve"/>
        </x:is>
      </x:c>
      <x:c r="V14" s="14" t="inlineStr">
        <x:is>
          <x:t xml:space="preserve"/>
        </x:is>
      </x:c>
      <x:c r="W14" s="14" t="inlineStr">
        <x:is>
          <x:t xml:space="preserve"/>
        </x:is>
      </x:c>
      <x:c r="X14" s="15">
        <x:f>IF(COUNTA($T14:$W14)&lt;4,"",$S14*($O14*$T14+$P14*$U14+$Q14*$V14+$R14*$W14))</x:f>
      </x:c>
      <x:c r="Y14" s="14" t="inlineStr">
        <x:is>
          <x:t xml:space="preserve"/>
        </x:is>
      </x:c>
      <x:c r="Z14" s="14" t="inlineStr">
        <x:is>
          <x:t xml:space="preserve"/>
        </x:is>
      </x:c>
      <x:c r="AA14" s="16" t="inlineStr">
        <x:is>
          <x:t xml:space="preserve"/>
        </x:is>
      </x:c>
      <x:c r="AB14" s="16" t="inlineStr">
        <x:is>
          <x:t xml:space="preserve"/>
        </x:is>
      </x:c>
      <x:c r="AC14" s="11" t="inlineStr">
        <x:is>
          <x:t xml:space="preserve">pendiente</x:t>
        </x:is>
      </x:c>
      <x:c r="AD14" s="11" t="inlineStr">
        <x:is>
          <x:t xml:space="preserve"/>
        </x:is>
      </x:c>
    </x:row>
    <x:row r="15">
      <x:c r="A15" s="11" t="inlineStr">
        <x:is>
          <x:t xml:space="preserve"/>
        </x:is>
      </x:c>
      <x:c r="B15" s="11" t="inlineStr">
        <x:is>
          <x:t xml:space="preserve">E4_v1</x:t>
        </x:is>
      </x:c>
      <x:c r="C15" s="9" t="inlineStr">
        <x:is>
          <x:t xml:space="preserve">E4</x:t>
        </x:is>
      </x:c>
      <x:c r="D15" s="9" t="inlineStr">
        <x:is>
          <x:t xml:space="preserve">boosting</x:t>
        </x:is>
      </x:c>
      <x:c r="E15" s="9" t="inlineStr">
        <x:is>
          <x:t xml:space="preserve">XGBoost / LightGBM</x:t>
        </x:is>
      </x:c>
      <x:c r="F15" s="9" t="n">
        <x:v>2</x:v>
      </x:c>
      <x:c r="G15" s="11" t="inlineStr">
        <x:is>
          <x:t xml:space="preserve"/>
        </x:is>
      </x:c>
      <x:c r="H15" s="9" t="inlineStr">
        <x:is>
          <x:t xml:space="preserve">lags, MA, volatilidad</x:t>
        </x:is>
      </x:c>
      <x:c r="I15" s="9" t="inlineStr">
        <x:is>
          <x:t xml:space="preserve">variables tematicas</x:t>
        </x:is>
      </x:c>
      <x:c r="J15" s="9" t="inlineStr">
        <x:is>
          <x:t xml:space="preserve">original</x:t>
        </x:is>
      </x:c>
      <x:c r="K15" s="9" t="inlineStr">
        <x:is>
          <x:t xml:space="preserve">importancia_arboles</x:t>
        </x:is>
      </x:c>
      <x:c r="L15" s="9" t="inlineStr">
        <x:is>
          <x:t xml:space="preserve">walk-forward</x:t>
        </x:is>
      </x:c>
      <x:c r="M15" s="11" t="inlineStr">
        <x:is>
          <x:t xml:space="preserve"/>
        </x:is>
      </x:c>
      <x:c r="N15" s="11" t="inlineStr">
        <x:is>
          <x:t xml:space="preserve"/>
        </x:is>
      </x:c>
      <x:c r="O15" s="12">
        <x:f>CONFIG_REFERENCIA!$E$3</x:f>
        <x:v>0.35</x:v>
      </x:c>
      <x:c r="P15" s="12">
        <x:f>CONFIG_REFERENCIA!$E$4</x:f>
        <x:v>0.25</x:v>
      </x:c>
      <x:c r="Q15" s="12">
        <x:f>CONFIG_REFERENCIA!$E$5</x:f>
        <x:v>0.25</x:v>
      </x:c>
      <x:c r="R15" s="12">
        <x:f>CONFIG_REFERENCIA!$E$6</x:f>
        <x:v>0.1</x:v>
      </x:c>
      <x:c r="S15" s="13">
        <x:f>IF($F15="","",INDEX(CONFIG_REFERENCIA!$B$3:$B$6,MATCH($F15,CONFIG_REFERENCIA!$A$3:$A$6,0)))</x:f>
        <x:v>0.25</x:v>
      </x:c>
      <x:c r="T15" s="14" t="inlineStr">
        <x:is>
          <x:t xml:space="preserve"/>
        </x:is>
      </x:c>
      <x:c r="U15" s="14" t="inlineStr">
        <x:is>
          <x:t xml:space="preserve"/>
        </x:is>
      </x:c>
      <x:c r="V15" s="14" t="inlineStr">
        <x:is>
          <x:t xml:space="preserve"/>
        </x:is>
      </x:c>
      <x:c r="W15" s="14" t="inlineStr">
        <x:is>
          <x:t xml:space="preserve"/>
        </x:is>
      </x:c>
      <x:c r="X15" s="15">
        <x:f>IF(COUNTA($T15:$W15)&lt;4,"",$S15*($O15*$T15+$P15*$U15+$Q15*$V15+$R15*$W15))</x:f>
      </x:c>
      <x:c r="Y15" s="14" t="inlineStr">
        <x:is>
          <x:t xml:space="preserve"/>
        </x:is>
      </x:c>
      <x:c r="Z15" s="14" t="inlineStr">
        <x:is>
          <x:t xml:space="preserve"/>
        </x:is>
      </x:c>
      <x:c r="AA15" s="16" t="inlineStr">
        <x:is>
          <x:t xml:space="preserve"/>
        </x:is>
      </x:c>
      <x:c r="AB15" s="16" t="inlineStr">
        <x:is>
          <x:t xml:space="preserve"/>
        </x:is>
      </x:c>
      <x:c r="AC15" s="11" t="inlineStr">
        <x:is>
          <x:t xml:space="preserve">pendiente</x:t>
        </x:is>
      </x:c>
      <x:c r="AD15" s="11" t="inlineStr">
        <x:is>
          <x:t xml:space="preserve"/>
        </x:is>
      </x:c>
    </x:row>
    <x:row r="16">
      <x:c r="A16" s="11" t="inlineStr">
        <x:is>
          <x:t xml:space="preserve"/>
        </x:is>
      </x:c>
      <x:c r="B16" s="11" t="inlineStr">
        <x:is>
          <x:t xml:space="preserve">E4_v1</x:t>
        </x:is>
      </x:c>
      <x:c r="C16" s="9" t="inlineStr">
        <x:is>
          <x:t xml:space="preserve">E4</x:t>
        </x:is>
      </x:c>
      <x:c r="D16" s="9" t="inlineStr">
        <x:is>
          <x:t xml:space="preserve">boosting</x:t>
        </x:is>
      </x:c>
      <x:c r="E16" s="9" t="inlineStr">
        <x:is>
          <x:t xml:space="preserve">XGBoost / LightGBM</x:t>
        </x:is>
      </x:c>
      <x:c r="F16" s="9" t="n">
        <x:v>3</x:v>
      </x:c>
      <x:c r="G16" s="11" t="inlineStr">
        <x:is>
          <x:t xml:space="preserve"/>
        </x:is>
      </x:c>
      <x:c r="H16" s="9" t="inlineStr">
        <x:is>
          <x:t xml:space="preserve">lags, MA, volatilidad</x:t>
        </x:is>
      </x:c>
      <x:c r="I16" s="9" t="inlineStr">
        <x:is>
          <x:t xml:space="preserve">variables tematicas</x:t>
        </x:is>
      </x:c>
      <x:c r="J16" s="9" t="inlineStr">
        <x:is>
          <x:t xml:space="preserve">original</x:t>
        </x:is>
      </x:c>
      <x:c r="K16" s="9" t="inlineStr">
        <x:is>
          <x:t xml:space="preserve">importancia_arboles</x:t>
        </x:is>
      </x:c>
      <x:c r="L16" s="9" t="inlineStr">
        <x:is>
          <x:t xml:space="preserve">walk-forward</x:t>
        </x:is>
      </x:c>
      <x:c r="M16" s="11" t="inlineStr">
        <x:is>
          <x:t xml:space="preserve"/>
        </x:is>
      </x:c>
      <x:c r="N16" s="11" t="inlineStr">
        <x:is>
          <x:t xml:space="preserve"/>
        </x:is>
      </x:c>
      <x:c r="O16" s="12">
        <x:f>CONFIG_REFERENCIA!$E$3</x:f>
        <x:v>0.35</x:v>
      </x:c>
      <x:c r="P16" s="12">
        <x:f>CONFIG_REFERENCIA!$E$4</x:f>
        <x:v>0.25</x:v>
      </x:c>
      <x:c r="Q16" s="12">
        <x:f>CONFIG_REFERENCIA!$E$5</x:f>
        <x:v>0.25</x:v>
      </x:c>
      <x:c r="R16" s="12">
        <x:f>CONFIG_REFERENCIA!$E$6</x:f>
        <x:v>0.1</x:v>
      </x:c>
      <x:c r="S16" s="13">
        <x:f>IF($F16="","",INDEX(CONFIG_REFERENCIA!$B$3:$B$6,MATCH($F16,CONFIG_REFERENCIA!$A$3:$A$6,0)))</x:f>
        <x:v>0.3</x:v>
      </x:c>
      <x:c r="T16" s="14" t="inlineStr">
        <x:is>
          <x:t xml:space="preserve"/>
        </x:is>
      </x:c>
      <x:c r="U16" s="14" t="inlineStr">
        <x:is>
          <x:t xml:space="preserve"/>
        </x:is>
      </x:c>
      <x:c r="V16" s="14" t="inlineStr">
        <x:is>
          <x:t xml:space="preserve"/>
        </x:is>
      </x:c>
      <x:c r="W16" s="14" t="inlineStr">
        <x:is>
          <x:t xml:space="preserve"/>
        </x:is>
      </x:c>
      <x:c r="X16" s="15">
        <x:f>IF(COUNTA($T16:$W16)&lt;4,"",$S16*($O16*$T16+$P16*$U16+$Q16*$V16+$R16*$W16))</x:f>
      </x:c>
      <x:c r="Y16" s="14" t="inlineStr">
        <x:is>
          <x:t xml:space="preserve"/>
        </x:is>
      </x:c>
      <x:c r="Z16" s="14" t="inlineStr">
        <x:is>
          <x:t xml:space="preserve"/>
        </x:is>
      </x:c>
      <x:c r="AA16" s="16" t="inlineStr">
        <x:is>
          <x:t xml:space="preserve"/>
        </x:is>
      </x:c>
      <x:c r="AB16" s="16" t="inlineStr">
        <x:is>
          <x:t xml:space="preserve"/>
        </x:is>
      </x:c>
      <x:c r="AC16" s="11" t="inlineStr">
        <x:is>
          <x:t xml:space="preserve">pendiente</x:t>
        </x:is>
      </x:c>
      <x:c r="AD16" s="11" t="inlineStr">
        <x:is>
          <x:t xml:space="preserve"/>
        </x:is>
      </x:c>
    </x:row>
    <x:row r="17">
      <x:c r="A17" s="11" t="inlineStr">
        <x:is>
          <x:t xml:space="preserve"/>
        </x:is>
      </x:c>
      <x:c r="B17" s="11" t="inlineStr">
        <x:is>
          <x:t xml:space="preserve">E4_v1</x:t>
        </x:is>
      </x:c>
      <x:c r="C17" s="9" t="inlineStr">
        <x:is>
          <x:t xml:space="preserve">E4</x:t>
        </x:is>
      </x:c>
      <x:c r="D17" s="9" t="inlineStr">
        <x:is>
          <x:t xml:space="preserve">boosting</x:t>
        </x:is>
      </x:c>
      <x:c r="E17" s="9" t="inlineStr">
        <x:is>
          <x:t xml:space="preserve">XGBoost / LightGBM</x:t>
        </x:is>
      </x:c>
      <x:c r="F17" s="9" t="n">
        <x:v>4</x:v>
      </x:c>
      <x:c r="G17" s="11" t="inlineStr">
        <x:is>
          <x:t xml:space="preserve"/>
        </x:is>
      </x:c>
      <x:c r="H17" s="9" t="inlineStr">
        <x:is>
          <x:t xml:space="preserve">lags, MA, volatilidad</x:t>
        </x:is>
      </x:c>
      <x:c r="I17" s="9" t="inlineStr">
        <x:is>
          <x:t xml:space="preserve">variables tematicas</x:t>
        </x:is>
      </x:c>
      <x:c r="J17" s="9" t="inlineStr">
        <x:is>
          <x:t xml:space="preserve">original</x:t>
        </x:is>
      </x:c>
      <x:c r="K17" s="9" t="inlineStr">
        <x:is>
          <x:t xml:space="preserve">importancia_arboles</x:t>
        </x:is>
      </x:c>
      <x:c r="L17" s="9" t="inlineStr">
        <x:is>
          <x:t xml:space="preserve">walk-forward</x:t>
        </x:is>
      </x:c>
      <x:c r="M17" s="11" t="inlineStr">
        <x:is>
          <x:t xml:space="preserve"/>
        </x:is>
      </x:c>
      <x:c r="N17" s="11" t="inlineStr">
        <x:is>
          <x:t xml:space="preserve"/>
        </x:is>
      </x:c>
      <x:c r="O17" s="12">
        <x:f>CONFIG_REFERENCIA!$E$3</x:f>
        <x:v>0.35</x:v>
      </x:c>
      <x:c r="P17" s="12">
        <x:f>CONFIG_REFERENCIA!$E$4</x:f>
        <x:v>0.25</x:v>
      </x:c>
      <x:c r="Q17" s="12">
        <x:f>CONFIG_REFERENCIA!$E$5</x:f>
        <x:v>0.25</x:v>
      </x:c>
      <x:c r="R17" s="12">
        <x:f>CONFIG_REFERENCIA!$E$6</x:f>
        <x:v>0.1</x:v>
      </x:c>
      <x:c r="S17" s="13">
        <x:f>IF($F17="","",INDEX(CONFIG_REFERENCIA!$B$3:$B$6,MATCH($F17,CONFIG_REFERENCIA!$A$3:$A$6,0)))</x:f>
        <x:v>0.15</x:v>
      </x:c>
      <x:c r="T17" s="14" t="inlineStr">
        <x:is>
          <x:t xml:space="preserve"/>
        </x:is>
      </x:c>
      <x:c r="U17" s="14" t="inlineStr">
        <x:is>
          <x:t xml:space="preserve"/>
        </x:is>
      </x:c>
      <x:c r="V17" s="14" t="inlineStr">
        <x:is>
          <x:t xml:space="preserve"/>
        </x:is>
      </x:c>
      <x:c r="W17" s="14" t="inlineStr">
        <x:is>
          <x:t xml:space="preserve"/>
        </x:is>
      </x:c>
      <x:c r="X17" s="15">
        <x:f>IF(COUNTA($T17:$W17)&lt;4,"",$S17*($O17*$T17+$P17*$U17+$Q17*$V17+$R17*$W17))</x:f>
      </x:c>
      <x:c r="Y17" s="14" t="inlineStr">
        <x:is>
          <x:t xml:space="preserve"/>
        </x:is>
      </x:c>
      <x:c r="Z17" s="14" t="inlineStr">
        <x:is>
          <x:t xml:space="preserve"/>
        </x:is>
      </x:c>
      <x:c r="AA17" s="16" t="inlineStr">
        <x:is>
          <x:t xml:space="preserve"/>
        </x:is>
      </x:c>
      <x:c r="AB17" s="16" t="inlineStr">
        <x:is>
          <x:t xml:space="preserve"/>
        </x:is>
      </x:c>
      <x:c r="AC17" s="11" t="inlineStr">
        <x:is>
          <x:t xml:space="preserve">pendiente</x:t>
        </x:is>
      </x:c>
      <x:c r="AD17" s="11" t="inlineStr">
        <x:is>
          <x:t xml:space="preserve"/>
        </x:is>
      </x:c>
    </x:row>
    <x:row r="18">
      <x:c r="A18" s="11" t="inlineStr">
        <x:is>
          <x:t xml:space="preserve"/>
        </x:is>
      </x:c>
      <x:c r="B18" s="11" t="inlineStr">
        <x:is>
          <x:t xml:space="preserve">E5_v1</x:t>
        </x:is>
      </x:c>
      <x:c r="C18" s="9" t="inlineStr">
        <x:is>
          <x:t xml:space="preserve">E5</x:t>
        </x:is>
      </x:c>
      <x:c r="D18" s="9" t="inlineStr">
        <x:is>
          <x:t xml:space="preserve">boosting</x:t>
        </x:is>
      </x:c>
      <x:c r="E18" s="9" t="inlineStr">
        <x:is>
          <x:t xml:space="preserve">CatBoost</x:t>
        </x:is>
      </x:c>
      <x:c r="F18" s="9" t="n">
        <x:v>1</x:v>
      </x:c>
      <x:c r="G18" s="11" t="inlineStr">
        <x:is>
          <x:t xml:space="preserve"/>
        </x:is>
      </x:c>
      <x:c r="H18" s="9" t="inlineStr">
        <x:is>
          <x:t xml:space="preserve">lags, MA, volatilidad</x:t>
        </x:is>
      </x:c>
      <x:c r="I18" s="9" t="inlineStr">
        <x:is>
          <x:t xml:space="preserve">variables mixtas</x:t>
        </x:is>
      </x:c>
      <x:c r="J18" s="9" t="inlineStr">
        <x:is>
          <x:t xml:space="preserve">original</x:t>
        </x:is>
      </x:c>
      <x:c r="K18" s="9" t="inlineStr">
        <x:is>
          <x:t xml:space="preserve">importancia_arboles</x:t>
        </x:is>
      </x:c>
      <x:c r="L18" s="9" t="inlineStr">
        <x:is>
          <x:t xml:space="preserve">walk-forward</x:t>
        </x:is>
      </x:c>
      <x:c r="M18" s="11" t="inlineStr">
        <x:is>
          <x:t xml:space="preserve"/>
        </x:is>
      </x:c>
      <x:c r="N18" s="11" t="inlineStr">
        <x:is>
          <x:t xml:space="preserve"/>
        </x:is>
      </x:c>
      <x:c r="O18" s="12">
        <x:f>CONFIG_REFERENCIA!$E$3</x:f>
        <x:v>0.35</x:v>
      </x:c>
      <x:c r="P18" s="12">
        <x:f>CONFIG_REFERENCIA!$E$4</x:f>
        <x:v>0.25</x:v>
      </x:c>
      <x:c r="Q18" s="12">
        <x:f>CONFIG_REFERENCIA!$E$5</x:f>
        <x:v>0.25</x:v>
      </x:c>
      <x:c r="R18" s="12">
        <x:f>CONFIG_REFERENCIA!$E$6</x:f>
        <x:v>0.1</x:v>
      </x:c>
      <x:c r="S18" s="13">
        <x:f>IF($F18="","",INDEX(CONFIG_REFERENCIA!$B$3:$B$6,MATCH($F18,CONFIG_REFERENCIA!$A$3:$A$6,0)))</x:f>
        <x:v>0.3</x:v>
      </x:c>
      <x:c r="T18" s="14" t="inlineStr">
        <x:is>
          <x:t xml:space="preserve"/>
        </x:is>
      </x:c>
      <x:c r="U18" s="14" t="inlineStr">
        <x:is>
          <x:t xml:space="preserve"/>
        </x:is>
      </x:c>
      <x:c r="V18" s="14" t="inlineStr">
        <x:is>
          <x:t xml:space="preserve"/>
        </x:is>
      </x:c>
      <x:c r="W18" s="14" t="inlineStr">
        <x:is>
          <x:t xml:space="preserve"/>
        </x:is>
      </x:c>
      <x:c r="X18" s="15">
        <x:f>IF(COUNTA($T18:$W18)&lt;4,"",$S18*($O18*$T18+$P18*$U18+$Q18*$V18+$R18*$W18))</x:f>
      </x:c>
      <x:c r="Y18" s="14" t="inlineStr">
        <x:is>
          <x:t xml:space="preserve"/>
        </x:is>
      </x:c>
      <x:c r="Z18" s="14" t="inlineStr">
        <x:is>
          <x:t xml:space="preserve"/>
        </x:is>
      </x:c>
      <x:c r="AA18" s="16" t="inlineStr">
        <x:is>
          <x:t xml:space="preserve"/>
        </x:is>
      </x:c>
      <x:c r="AB18" s="16" t="inlineStr">
        <x:is>
          <x:t xml:space="preserve"/>
        </x:is>
      </x:c>
      <x:c r="AC18" s="11" t="inlineStr">
        <x:is>
          <x:t xml:space="preserve">pendiente</x:t>
        </x:is>
      </x:c>
      <x:c r="AD18" s="11" t="inlineStr">
        <x:is>
          <x:t xml:space="preserve"/>
        </x:is>
      </x:c>
    </x:row>
    <x:row r="19">
      <x:c r="A19" s="11" t="inlineStr">
        <x:is>
          <x:t xml:space="preserve"/>
        </x:is>
      </x:c>
      <x:c r="B19" s="11" t="inlineStr">
        <x:is>
          <x:t xml:space="preserve">E5_v1</x:t>
        </x:is>
      </x:c>
      <x:c r="C19" s="9" t="inlineStr">
        <x:is>
          <x:t xml:space="preserve">E5</x:t>
        </x:is>
      </x:c>
      <x:c r="D19" s="9" t="inlineStr">
        <x:is>
          <x:t xml:space="preserve">boosting</x:t>
        </x:is>
      </x:c>
      <x:c r="E19" s="9" t="inlineStr">
        <x:is>
          <x:t xml:space="preserve">CatBoost</x:t>
        </x:is>
      </x:c>
      <x:c r="F19" s="9" t="n">
        <x:v>2</x:v>
      </x:c>
      <x:c r="G19" s="11" t="inlineStr">
        <x:is>
          <x:t xml:space="preserve"/>
        </x:is>
      </x:c>
      <x:c r="H19" s="9" t="inlineStr">
        <x:is>
          <x:t xml:space="preserve">lags, MA, volatilidad</x:t>
        </x:is>
      </x:c>
      <x:c r="I19" s="9" t="inlineStr">
        <x:is>
          <x:t xml:space="preserve">variables mixtas</x:t>
        </x:is>
      </x:c>
      <x:c r="J19" s="9" t="inlineStr">
        <x:is>
          <x:t xml:space="preserve">original</x:t>
        </x:is>
      </x:c>
      <x:c r="K19" s="9" t="inlineStr">
        <x:is>
          <x:t xml:space="preserve">importancia_arboles</x:t>
        </x:is>
      </x:c>
      <x:c r="L19" s="9" t="inlineStr">
        <x:is>
          <x:t xml:space="preserve">walk-forward</x:t>
        </x:is>
      </x:c>
      <x:c r="M19" s="11" t="inlineStr">
        <x:is>
          <x:t xml:space="preserve"/>
        </x:is>
      </x:c>
      <x:c r="N19" s="11" t="inlineStr">
        <x:is>
          <x:t xml:space="preserve"/>
        </x:is>
      </x:c>
      <x:c r="O19" s="12">
        <x:f>CONFIG_REFERENCIA!$E$3</x:f>
        <x:v>0.35</x:v>
      </x:c>
      <x:c r="P19" s="12">
        <x:f>CONFIG_REFERENCIA!$E$4</x:f>
        <x:v>0.25</x:v>
      </x:c>
      <x:c r="Q19" s="12">
        <x:f>CONFIG_REFERENCIA!$E$5</x:f>
        <x:v>0.25</x:v>
      </x:c>
      <x:c r="R19" s="12">
        <x:f>CONFIG_REFERENCIA!$E$6</x:f>
        <x:v>0.1</x:v>
      </x:c>
      <x:c r="S19" s="13">
        <x:f>IF($F19="","",INDEX(CONFIG_REFERENCIA!$B$3:$B$6,MATCH($F19,CONFIG_REFERENCIA!$A$3:$A$6,0)))</x:f>
        <x:v>0.25</x:v>
      </x:c>
      <x:c r="T19" s="14" t="inlineStr">
        <x:is>
          <x:t xml:space="preserve"/>
        </x:is>
      </x:c>
      <x:c r="U19" s="14" t="inlineStr">
        <x:is>
          <x:t xml:space="preserve"/>
        </x:is>
      </x:c>
      <x:c r="V19" s="14" t="inlineStr">
        <x:is>
          <x:t xml:space="preserve"/>
        </x:is>
      </x:c>
      <x:c r="W19" s="14" t="inlineStr">
        <x:is>
          <x:t xml:space="preserve"/>
        </x:is>
      </x:c>
      <x:c r="X19" s="15">
        <x:f>IF(COUNTA($T19:$W19)&lt;4,"",$S19*($O19*$T19+$P19*$U19+$Q19*$V19+$R19*$W19))</x:f>
      </x:c>
      <x:c r="Y19" s="14" t="inlineStr">
        <x:is>
          <x:t xml:space="preserve"/>
        </x:is>
      </x:c>
      <x:c r="Z19" s="14" t="inlineStr">
        <x:is>
          <x:t xml:space="preserve"/>
        </x:is>
      </x:c>
      <x:c r="AA19" s="16" t="inlineStr">
        <x:is>
          <x:t xml:space="preserve"/>
        </x:is>
      </x:c>
      <x:c r="AB19" s="16" t="inlineStr">
        <x:is>
          <x:t xml:space="preserve"/>
        </x:is>
      </x:c>
      <x:c r="AC19" s="11" t="inlineStr">
        <x:is>
          <x:t xml:space="preserve">pendiente</x:t>
        </x:is>
      </x:c>
      <x:c r="AD19" s="11" t="inlineStr">
        <x:is>
          <x:t xml:space="preserve"/>
        </x:is>
      </x:c>
    </x:row>
    <x:row r="20">
      <x:c r="A20" s="11" t="inlineStr">
        <x:is>
          <x:t xml:space="preserve"/>
        </x:is>
      </x:c>
      <x:c r="B20" s="11" t="inlineStr">
        <x:is>
          <x:t xml:space="preserve">E5_v1</x:t>
        </x:is>
      </x:c>
      <x:c r="C20" s="9" t="inlineStr">
        <x:is>
          <x:t xml:space="preserve">E5</x:t>
        </x:is>
      </x:c>
      <x:c r="D20" s="9" t="inlineStr">
        <x:is>
          <x:t xml:space="preserve">boosting</x:t>
        </x:is>
      </x:c>
      <x:c r="E20" s="9" t="inlineStr">
        <x:is>
          <x:t xml:space="preserve">CatBoost</x:t>
        </x:is>
      </x:c>
      <x:c r="F20" s="9" t="n">
        <x:v>3</x:v>
      </x:c>
      <x:c r="G20" s="11" t="inlineStr">
        <x:is>
          <x:t xml:space="preserve"/>
        </x:is>
      </x:c>
      <x:c r="H20" s="9" t="inlineStr">
        <x:is>
          <x:t xml:space="preserve">lags, MA, volatilidad</x:t>
        </x:is>
      </x:c>
      <x:c r="I20" s="9" t="inlineStr">
        <x:is>
          <x:t xml:space="preserve">variables mixtas</x:t>
        </x:is>
      </x:c>
      <x:c r="J20" s="9" t="inlineStr">
        <x:is>
          <x:t xml:space="preserve">original</x:t>
        </x:is>
      </x:c>
      <x:c r="K20" s="9" t="inlineStr">
        <x:is>
          <x:t xml:space="preserve">importancia_arboles</x:t>
        </x:is>
      </x:c>
      <x:c r="L20" s="9" t="inlineStr">
        <x:is>
          <x:t xml:space="preserve">walk-forward</x:t>
        </x:is>
      </x:c>
      <x:c r="M20" s="11" t="inlineStr">
        <x:is>
          <x:t xml:space="preserve"/>
        </x:is>
      </x:c>
      <x:c r="N20" s="11" t="inlineStr">
        <x:is>
          <x:t xml:space="preserve"/>
        </x:is>
      </x:c>
      <x:c r="O20" s="12">
        <x:f>CONFIG_REFERENCIA!$E$3</x:f>
        <x:v>0.35</x:v>
      </x:c>
      <x:c r="P20" s="12">
        <x:f>CONFIG_REFERENCIA!$E$4</x:f>
        <x:v>0.25</x:v>
      </x:c>
      <x:c r="Q20" s="12">
        <x:f>CONFIG_REFERENCIA!$E$5</x:f>
        <x:v>0.25</x:v>
      </x:c>
      <x:c r="R20" s="12">
        <x:f>CONFIG_REFERENCIA!$E$6</x:f>
        <x:v>0.1</x:v>
      </x:c>
      <x:c r="S20" s="13">
        <x:f>IF($F20="","",INDEX(CONFIG_REFERENCIA!$B$3:$B$6,MATCH($F20,CONFIG_REFERENCIA!$A$3:$A$6,0)))</x:f>
        <x:v>0.3</x:v>
      </x:c>
      <x:c r="T20" s="14" t="inlineStr">
        <x:is>
          <x:t xml:space="preserve"/>
        </x:is>
      </x:c>
      <x:c r="U20" s="14" t="inlineStr">
        <x:is>
          <x:t xml:space="preserve"/>
        </x:is>
      </x:c>
      <x:c r="V20" s="14" t="inlineStr">
        <x:is>
          <x:t xml:space="preserve"/>
        </x:is>
      </x:c>
      <x:c r="W20" s="14" t="inlineStr">
        <x:is>
          <x:t xml:space="preserve"/>
        </x:is>
      </x:c>
      <x:c r="X20" s="15">
        <x:f>IF(COUNTA($T20:$W20)&lt;4,"",$S20*($O20*$T20+$P20*$U20+$Q20*$V20+$R20*$W20))</x:f>
      </x:c>
      <x:c r="Y20" s="14" t="inlineStr">
        <x:is>
          <x:t xml:space="preserve"/>
        </x:is>
      </x:c>
      <x:c r="Z20" s="14" t="inlineStr">
        <x:is>
          <x:t xml:space="preserve"/>
        </x:is>
      </x:c>
      <x:c r="AA20" s="16" t="inlineStr">
        <x:is>
          <x:t xml:space="preserve"/>
        </x:is>
      </x:c>
      <x:c r="AB20" s="16" t="inlineStr">
        <x:is>
          <x:t xml:space="preserve"/>
        </x:is>
      </x:c>
      <x:c r="AC20" s="11" t="inlineStr">
        <x:is>
          <x:t xml:space="preserve">pendiente</x:t>
        </x:is>
      </x:c>
      <x:c r="AD20" s="11" t="inlineStr">
        <x:is>
          <x:t xml:space="preserve"/>
        </x:is>
      </x:c>
    </x:row>
    <x:row r="21">
      <x:c r="A21" s="11" t="inlineStr">
        <x:is>
          <x:t xml:space="preserve"/>
        </x:is>
      </x:c>
      <x:c r="B21" s="11" t="inlineStr">
        <x:is>
          <x:t xml:space="preserve">E5_v1</x:t>
        </x:is>
      </x:c>
      <x:c r="C21" s="9" t="inlineStr">
        <x:is>
          <x:t xml:space="preserve">E5</x:t>
        </x:is>
      </x:c>
      <x:c r="D21" s="9" t="inlineStr">
        <x:is>
          <x:t xml:space="preserve">boosting</x:t>
        </x:is>
      </x:c>
      <x:c r="E21" s="9" t="inlineStr">
        <x:is>
          <x:t xml:space="preserve">CatBoost</x:t>
        </x:is>
      </x:c>
      <x:c r="F21" s="9" t="n">
        <x:v>4</x:v>
      </x:c>
      <x:c r="G21" s="11" t="inlineStr">
        <x:is>
          <x:t xml:space="preserve"/>
        </x:is>
      </x:c>
      <x:c r="H21" s="9" t="inlineStr">
        <x:is>
          <x:t xml:space="preserve">lags, MA, volatilidad</x:t>
        </x:is>
      </x:c>
      <x:c r="I21" s="9" t="inlineStr">
        <x:is>
          <x:t xml:space="preserve">variables mixtas</x:t>
        </x:is>
      </x:c>
      <x:c r="J21" s="9" t="inlineStr">
        <x:is>
          <x:t xml:space="preserve">original</x:t>
        </x:is>
      </x:c>
      <x:c r="K21" s="9" t="inlineStr">
        <x:is>
          <x:t xml:space="preserve">importancia_arboles</x:t>
        </x:is>
      </x:c>
      <x:c r="L21" s="9" t="inlineStr">
        <x:is>
          <x:t xml:space="preserve">walk-forward</x:t>
        </x:is>
      </x:c>
      <x:c r="M21" s="11" t="inlineStr">
        <x:is>
          <x:t xml:space="preserve"/>
        </x:is>
      </x:c>
      <x:c r="N21" s="11" t="inlineStr">
        <x:is>
          <x:t xml:space="preserve"/>
        </x:is>
      </x:c>
      <x:c r="O21" s="12">
        <x:f>CONFIG_REFERENCIA!$E$3</x:f>
        <x:v>0.35</x:v>
      </x:c>
      <x:c r="P21" s="12">
        <x:f>CONFIG_REFERENCIA!$E$4</x:f>
        <x:v>0.25</x:v>
      </x:c>
      <x:c r="Q21" s="12">
        <x:f>CONFIG_REFERENCIA!$E$5</x:f>
        <x:v>0.25</x:v>
      </x:c>
      <x:c r="R21" s="12">
        <x:f>CONFIG_REFERENCIA!$E$6</x:f>
        <x:v>0.1</x:v>
      </x:c>
      <x:c r="S21" s="13">
        <x:f>IF($F21="","",INDEX(CONFIG_REFERENCIA!$B$3:$B$6,MATCH($F21,CONFIG_REFERENCIA!$A$3:$A$6,0)))</x:f>
        <x:v>0.15</x:v>
      </x:c>
      <x:c r="T21" s="14" t="inlineStr">
        <x:is>
          <x:t xml:space="preserve"/>
        </x:is>
      </x:c>
      <x:c r="U21" s="14" t="inlineStr">
        <x:is>
          <x:t xml:space="preserve"/>
        </x:is>
      </x:c>
      <x:c r="V21" s="14" t="inlineStr">
        <x:is>
          <x:t xml:space="preserve"/>
        </x:is>
      </x:c>
      <x:c r="W21" s="14" t="inlineStr">
        <x:is>
          <x:t xml:space="preserve"/>
        </x:is>
      </x:c>
      <x:c r="X21" s="15">
        <x:f>IF(COUNTA($T21:$W21)&lt;4,"",$S21*($O21*$T21+$P21*$U21+$Q21*$V21+$R21*$W21))</x:f>
      </x:c>
      <x:c r="Y21" s="14" t="inlineStr">
        <x:is>
          <x:t xml:space="preserve"/>
        </x:is>
      </x:c>
      <x:c r="Z21" s="14" t="inlineStr">
        <x:is>
          <x:t xml:space="preserve"/>
        </x:is>
      </x:c>
      <x:c r="AA21" s="16" t="inlineStr">
        <x:is>
          <x:t xml:space="preserve"/>
        </x:is>
      </x:c>
      <x:c r="AB21" s="16" t="inlineStr">
        <x:is>
          <x:t xml:space="preserve"/>
        </x:is>
      </x:c>
      <x:c r="AC21" s="11" t="inlineStr">
        <x:is>
          <x:t xml:space="preserve">pendiente</x:t>
        </x:is>
      </x:c>
      <x:c r="AD21" s="11" t="inlineStr">
        <x:is>
          <x:t xml:space="preserve"/>
        </x:is>
      </x:c>
    </x:row>
    <x:row r="22">
      <x:c r="A22" s="11" t="inlineStr">
        <x:is>
          <x:t xml:space="preserve"/>
        </x:is>
      </x:c>
      <x:c r="B22" s="11" t="inlineStr">
        <x:is>
          <x:t xml:space="preserve">E6_v1</x:t>
        </x:is>
      </x:c>
      <x:c r="C22" s="9" t="inlineStr">
        <x:is>
          <x:t xml:space="preserve">E6</x:t>
        </x:is>
      </x:c>
      <x:c r="D22" s="9" t="inlineStr">
        <x:is>
          <x:t xml:space="preserve">temporal</x:t>
        </x:is>
      </x:c>
      <x:c r="E22" s="9" t="inlineStr">
        <x:is>
          <x:t xml:space="preserve">ARIMAX / SARIMAX</x:t>
        </x:is>
      </x:c>
      <x:c r="F22" s="9" t="n">
        <x:v>1</x:v>
      </x:c>
      <x:c r="G22" s="11" t="inlineStr">
        <x:is>
          <x:t xml:space="preserve"/>
        </x:is>
      </x:c>
      <x:c r="H22" s="9" t="inlineStr">
        <x:is>
          <x:t xml:space="preserve">serie + lags IAD</x:t>
        </x:is>
      </x:c>
      <x:c r="I22" s="9" t="inlineStr">
        <x:is>
          <x:t xml:space="preserve">regresores digitales</x:t>
        </x:is>
      </x:c>
      <x:c r="J22" s="9" t="inlineStr">
        <x:is>
          <x:t xml:space="preserve">original</x:t>
        </x:is>
      </x:c>
      <x:c r="K22" s="9" t="inlineStr">
        <x:is>
          <x:t xml:space="preserve">todas</x:t>
        </x:is>
      </x:c>
      <x:c r="L22" s="9" t="inlineStr">
        <x:is>
          <x:t xml:space="preserve">walk-forward</x:t>
        </x:is>
      </x:c>
      <x:c r="M22" s="11" t="inlineStr">
        <x:is>
          <x:t xml:space="preserve"/>
        </x:is>
      </x:c>
      <x:c r="N22" s="11" t="inlineStr">
        <x:is>
          <x:t xml:space="preserve"/>
        </x:is>
      </x:c>
      <x:c r="O22" s="12">
        <x:f>CONFIG_REFERENCIA!$E$3</x:f>
        <x:v>0.35</x:v>
      </x:c>
      <x:c r="P22" s="12">
        <x:f>CONFIG_REFERENCIA!$E$4</x:f>
        <x:v>0.25</x:v>
      </x:c>
      <x:c r="Q22" s="12">
        <x:f>CONFIG_REFERENCIA!$E$5</x:f>
        <x:v>0.25</x:v>
      </x:c>
      <x:c r="R22" s="12">
        <x:f>CONFIG_REFERENCIA!$E$6</x:f>
        <x:v>0.1</x:v>
      </x:c>
      <x:c r="S22" s="13">
        <x:f>IF($F22="","",INDEX(CONFIG_REFERENCIA!$B$3:$B$6,MATCH($F22,CONFIG_REFERENCIA!$A$3:$A$6,0)))</x:f>
        <x:v>0.3</x:v>
      </x:c>
      <x:c r="T22" s="14" t="inlineStr">
        <x:is>
          <x:t xml:space="preserve"/>
        </x:is>
      </x:c>
      <x:c r="U22" s="14" t="inlineStr">
        <x:is>
          <x:t xml:space="preserve"/>
        </x:is>
      </x:c>
      <x:c r="V22" s="14" t="inlineStr">
        <x:is>
          <x:t xml:space="preserve"/>
        </x:is>
      </x:c>
      <x:c r="W22" s="14" t="inlineStr">
        <x:is>
          <x:t xml:space="preserve"/>
        </x:is>
      </x:c>
      <x:c r="X22" s="15">
        <x:f>IF(COUNTA($T22:$W22)&lt;4,"",$S22*($O22*$T22+$P22*$U22+$Q22*$V22+$R22*$W22))</x:f>
      </x:c>
      <x:c r="Y22" s="14" t="inlineStr">
        <x:is>
          <x:t xml:space="preserve"/>
        </x:is>
      </x:c>
      <x:c r="Z22" s="14" t="inlineStr">
        <x:is>
          <x:t xml:space="preserve"/>
        </x:is>
      </x:c>
      <x:c r="AA22" s="16" t="inlineStr">
        <x:is>
          <x:t xml:space="preserve"/>
        </x:is>
      </x:c>
      <x:c r="AB22" s="16" t="inlineStr">
        <x:is>
          <x:t xml:space="preserve"/>
        </x:is>
      </x:c>
      <x:c r="AC22" s="11" t="inlineStr">
        <x:is>
          <x:t xml:space="preserve">pendiente</x:t>
        </x:is>
      </x:c>
      <x:c r="AD22" s="11" t="inlineStr">
        <x:is>
          <x:t xml:space="preserve"/>
        </x:is>
      </x:c>
    </x:row>
    <x:row r="23">
      <x:c r="A23" s="11" t="inlineStr">
        <x:is>
          <x:t xml:space="preserve"/>
        </x:is>
      </x:c>
      <x:c r="B23" s="11" t="inlineStr">
        <x:is>
          <x:t xml:space="preserve">E6_v1</x:t>
        </x:is>
      </x:c>
      <x:c r="C23" s="9" t="inlineStr">
        <x:is>
          <x:t xml:space="preserve">E6</x:t>
        </x:is>
      </x:c>
      <x:c r="D23" s="9" t="inlineStr">
        <x:is>
          <x:t xml:space="preserve">temporal</x:t>
        </x:is>
      </x:c>
      <x:c r="E23" s="9" t="inlineStr">
        <x:is>
          <x:t xml:space="preserve">ARIMAX / SARIMAX</x:t>
        </x:is>
      </x:c>
      <x:c r="F23" s="9" t="n">
        <x:v>2</x:v>
      </x:c>
      <x:c r="G23" s="11" t="inlineStr">
        <x:is>
          <x:t xml:space="preserve"/>
        </x:is>
      </x:c>
      <x:c r="H23" s="9" t="inlineStr">
        <x:is>
          <x:t xml:space="preserve">serie + lags IAD</x:t>
        </x:is>
      </x:c>
      <x:c r="I23" s="9" t="inlineStr">
        <x:is>
          <x:t xml:space="preserve">regresores digitales</x:t>
        </x:is>
      </x:c>
      <x:c r="J23" s="9" t="inlineStr">
        <x:is>
          <x:t xml:space="preserve">original</x:t>
        </x:is>
      </x:c>
      <x:c r="K23" s="9" t="inlineStr">
        <x:is>
          <x:t xml:space="preserve">todas</x:t>
        </x:is>
      </x:c>
      <x:c r="L23" s="9" t="inlineStr">
        <x:is>
          <x:t xml:space="preserve">walk-forward</x:t>
        </x:is>
      </x:c>
      <x:c r="M23" s="11" t="inlineStr">
        <x:is>
          <x:t xml:space="preserve"/>
        </x:is>
      </x:c>
      <x:c r="N23" s="11" t="inlineStr">
        <x:is>
          <x:t xml:space="preserve"/>
        </x:is>
      </x:c>
      <x:c r="O23" s="12">
        <x:f>CONFIG_REFERENCIA!$E$3</x:f>
        <x:v>0.35</x:v>
      </x:c>
      <x:c r="P23" s="12">
        <x:f>CONFIG_REFERENCIA!$E$4</x:f>
        <x:v>0.25</x:v>
      </x:c>
      <x:c r="Q23" s="12">
        <x:f>CONFIG_REFERENCIA!$E$5</x:f>
        <x:v>0.25</x:v>
      </x:c>
      <x:c r="R23" s="12">
        <x:f>CONFIG_REFERENCIA!$E$6</x:f>
        <x:v>0.1</x:v>
      </x:c>
      <x:c r="S23" s="13">
        <x:f>IF($F23="","",INDEX(CONFIG_REFERENCIA!$B$3:$B$6,MATCH($F23,CONFIG_REFERENCIA!$A$3:$A$6,0)))</x:f>
        <x:v>0.25</x:v>
      </x:c>
      <x:c r="T23" s="14" t="inlineStr">
        <x:is>
          <x:t xml:space="preserve"/>
        </x:is>
      </x:c>
      <x:c r="U23" s="14" t="inlineStr">
        <x:is>
          <x:t xml:space="preserve"/>
        </x:is>
      </x:c>
      <x:c r="V23" s="14" t="inlineStr">
        <x:is>
          <x:t xml:space="preserve"/>
        </x:is>
      </x:c>
      <x:c r="W23" s="14" t="inlineStr">
        <x:is>
          <x:t xml:space="preserve"/>
        </x:is>
      </x:c>
      <x:c r="X23" s="15">
        <x:f>IF(COUNTA($T23:$W23)&lt;4,"",$S23*($O23*$T23+$P23*$U23+$Q23*$V23+$R23*$W23))</x:f>
      </x:c>
      <x:c r="Y23" s="14" t="inlineStr">
        <x:is>
          <x:t xml:space="preserve"/>
        </x:is>
      </x:c>
      <x:c r="Z23" s="14" t="inlineStr">
        <x:is>
          <x:t xml:space="preserve"/>
        </x:is>
      </x:c>
      <x:c r="AA23" s="16" t="inlineStr">
        <x:is>
          <x:t xml:space="preserve"/>
        </x:is>
      </x:c>
      <x:c r="AB23" s="16" t="inlineStr">
        <x:is>
          <x:t xml:space="preserve"/>
        </x:is>
      </x:c>
      <x:c r="AC23" s="11" t="inlineStr">
        <x:is>
          <x:t xml:space="preserve">pendiente</x:t>
        </x:is>
      </x:c>
      <x:c r="AD23" s="11" t="inlineStr">
        <x:is>
          <x:t xml:space="preserve"/>
        </x:is>
      </x:c>
    </x:row>
    <x:row r="24">
      <x:c r="A24" s="11" t="inlineStr">
        <x:is>
          <x:t xml:space="preserve"/>
        </x:is>
      </x:c>
      <x:c r="B24" s="11" t="inlineStr">
        <x:is>
          <x:t xml:space="preserve">E6_v1</x:t>
        </x:is>
      </x:c>
      <x:c r="C24" s="9" t="inlineStr">
        <x:is>
          <x:t xml:space="preserve">E6</x:t>
        </x:is>
      </x:c>
      <x:c r="D24" s="9" t="inlineStr">
        <x:is>
          <x:t xml:space="preserve">temporal</x:t>
        </x:is>
      </x:c>
      <x:c r="E24" s="9" t="inlineStr">
        <x:is>
          <x:t xml:space="preserve">ARIMAX / SARIMAX</x:t>
        </x:is>
      </x:c>
      <x:c r="F24" s="9" t="n">
        <x:v>3</x:v>
      </x:c>
      <x:c r="G24" s="11" t="inlineStr">
        <x:is>
          <x:t xml:space="preserve"/>
        </x:is>
      </x:c>
      <x:c r="H24" s="9" t="inlineStr">
        <x:is>
          <x:t xml:space="preserve">serie + lags IAD</x:t>
        </x:is>
      </x:c>
      <x:c r="I24" s="9" t="inlineStr">
        <x:is>
          <x:t xml:space="preserve">regresores digitales</x:t>
        </x:is>
      </x:c>
      <x:c r="J24" s="9" t="inlineStr">
        <x:is>
          <x:t xml:space="preserve">original</x:t>
        </x:is>
      </x:c>
      <x:c r="K24" s="9" t="inlineStr">
        <x:is>
          <x:t xml:space="preserve">todas</x:t>
        </x:is>
      </x:c>
      <x:c r="L24" s="9" t="inlineStr">
        <x:is>
          <x:t xml:space="preserve">walk-forward</x:t>
        </x:is>
      </x:c>
      <x:c r="M24" s="11" t="inlineStr">
        <x:is>
          <x:t xml:space="preserve"/>
        </x:is>
      </x:c>
      <x:c r="N24" s="11" t="inlineStr">
        <x:is>
          <x:t xml:space="preserve"/>
        </x:is>
      </x:c>
      <x:c r="O24" s="12">
        <x:f>CONFIG_REFERENCIA!$E$3</x:f>
        <x:v>0.35</x:v>
      </x:c>
      <x:c r="P24" s="12">
        <x:f>CONFIG_REFERENCIA!$E$4</x:f>
        <x:v>0.25</x:v>
      </x:c>
      <x:c r="Q24" s="12">
        <x:f>CONFIG_REFERENCIA!$E$5</x:f>
        <x:v>0.25</x:v>
      </x:c>
      <x:c r="R24" s="12">
        <x:f>CONFIG_REFERENCIA!$E$6</x:f>
        <x:v>0.1</x:v>
      </x:c>
      <x:c r="S24" s="13">
        <x:f>IF($F24="","",INDEX(CONFIG_REFERENCIA!$B$3:$B$6,MATCH($F24,CONFIG_REFERENCIA!$A$3:$A$6,0)))</x:f>
        <x:v>0.3</x:v>
      </x:c>
      <x:c r="T24" s="14" t="inlineStr">
        <x:is>
          <x:t xml:space="preserve"/>
        </x:is>
      </x:c>
      <x:c r="U24" s="14" t="inlineStr">
        <x:is>
          <x:t xml:space="preserve"/>
        </x:is>
      </x:c>
      <x:c r="V24" s="14" t="inlineStr">
        <x:is>
          <x:t xml:space="preserve"/>
        </x:is>
      </x:c>
      <x:c r="W24" s="14" t="inlineStr">
        <x:is>
          <x:t xml:space="preserve"/>
        </x:is>
      </x:c>
      <x:c r="X24" s="15">
        <x:f>IF(COUNTA($T24:$W24)&lt;4,"",$S24*($O24*$T24+$P24*$U24+$Q24*$V24+$R24*$W24))</x:f>
      </x:c>
      <x:c r="Y24" s="14" t="inlineStr">
        <x:is>
          <x:t xml:space="preserve"/>
        </x:is>
      </x:c>
      <x:c r="Z24" s="14" t="inlineStr">
        <x:is>
          <x:t xml:space="preserve"/>
        </x:is>
      </x:c>
      <x:c r="AA24" s="16" t="inlineStr">
        <x:is>
          <x:t xml:space="preserve"/>
        </x:is>
      </x:c>
      <x:c r="AB24" s="16" t="inlineStr">
        <x:is>
          <x:t xml:space="preserve"/>
        </x:is>
      </x:c>
      <x:c r="AC24" s="11" t="inlineStr">
        <x:is>
          <x:t xml:space="preserve">pendiente</x:t>
        </x:is>
      </x:c>
      <x:c r="AD24" s="11" t="inlineStr">
        <x:is>
          <x:t xml:space="preserve"/>
        </x:is>
      </x:c>
    </x:row>
    <x:row r="25">
      <x:c r="A25" s="11" t="inlineStr">
        <x:is>
          <x:t xml:space="preserve"/>
        </x:is>
      </x:c>
      <x:c r="B25" s="11" t="inlineStr">
        <x:is>
          <x:t xml:space="preserve">E6_v1</x:t>
        </x:is>
      </x:c>
      <x:c r="C25" s="9" t="inlineStr">
        <x:is>
          <x:t xml:space="preserve">E6</x:t>
        </x:is>
      </x:c>
      <x:c r="D25" s="9" t="inlineStr">
        <x:is>
          <x:t xml:space="preserve">temporal</x:t>
        </x:is>
      </x:c>
      <x:c r="E25" s="9" t="inlineStr">
        <x:is>
          <x:t xml:space="preserve">ARIMAX / SARIMAX</x:t>
        </x:is>
      </x:c>
      <x:c r="F25" s="9" t="n">
        <x:v>4</x:v>
      </x:c>
      <x:c r="G25" s="11" t="inlineStr">
        <x:is>
          <x:t xml:space="preserve"/>
        </x:is>
      </x:c>
      <x:c r="H25" s="9" t="inlineStr">
        <x:is>
          <x:t xml:space="preserve">serie + lags IAD</x:t>
        </x:is>
      </x:c>
      <x:c r="I25" s="9" t="inlineStr">
        <x:is>
          <x:t xml:space="preserve">regresores digitales</x:t>
        </x:is>
      </x:c>
      <x:c r="J25" s="9" t="inlineStr">
        <x:is>
          <x:t xml:space="preserve">original</x:t>
        </x:is>
      </x:c>
      <x:c r="K25" s="9" t="inlineStr">
        <x:is>
          <x:t xml:space="preserve">todas</x:t>
        </x:is>
      </x:c>
      <x:c r="L25" s="9" t="inlineStr">
        <x:is>
          <x:t xml:space="preserve">walk-forward</x:t>
        </x:is>
      </x:c>
      <x:c r="M25" s="11" t="inlineStr">
        <x:is>
          <x:t xml:space="preserve"/>
        </x:is>
      </x:c>
      <x:c r="N25" s="11" t="inlineStr">
        <x:is>
          <x:t xml:space="preserve"/>
        </x:is>
      </x:c>
      <x:c r="O25" s="12">
        <x:f>CONFIG_REFERENCIA!$E$3</x:f>
        <x:v>0.35</x:v>
      </x:c>
      <x:c r="P25" s="12">
        <x:f>CONFIG_REFERENCIA!$E$4</x:f>
        <x:v>0.25</x:v>
      </x:c>
      <x:c r="Q25" s="12">
        <x:f>CONFIG_REFERENCIA!$E$5</x:f>
        <x:v>0.25</x:v>
      </x:c>
      <x:c r="R25" s="12">
        <x:f>CONFIG_REFERENCIA!$E$6</x:f>
        <x:v>0.1</x:v>
      </x:c>
      <x:c r="S25" s="13">
        <x:f>IF($F25="","",INDEX(CONFIG_REFERENCIA!$B$3:$B$6,MATCH($F25,CONFIG_REFERENCIA!$A$3:$A$6,0)))</x:f>
        <x:v>0.15</x:v>
      </x:c>
      <x:c r="T25" s="14" t="inlineStr">
        <x:is>
          <x:t xml:space="preserve"/>
        </x:is>
      </x:c>
      <x:c r="U25" s="14" t="inlineStr">
        <x:is>
          <x:t xml:space="preserve"/>
        </x:is>
      </x:c>
      <x:c r="V25" s="14" t="inlineStr">
        <x:is>
          <x:t xml:space="preserve"/>
        </x:is>
      </x:c>
      <x:c r="W25" s="14" t="inlineStr">
        <x:is>
          <x:t xml:space="preserve"/>
        </x:is>
      </x:c>
      <x:c r="X25" s="15">
        <x:f>IF(COUNTA($T25:$W25)&lt;4,"",$S25*($O25*$T25+$P25*$U25+$Q25*$V25+$R25*$W25))</x:f>
      </x:c>
      <x:c r="Y25" s="14" t="inlineStr">
        <x:is>
          <x:t xml:space="preserve"/>
        </x:is>
      </x:c>
      <x:c r="Z25" s="14" t="inlineStr">
        <x:is>
          <x:t xml:space="preserve"/>
        </x:is>
      </x:c>
      <x:c r="AA25" s="16" t="inlineStr">
        <x:is>
          <x:t xml:space="preserve"/>
        </x:is>
      </x:c>
      <x:c r="AB25" s="16" t="inlineStr">
        <x:is>
          <x:t xml:space="preserve"/>
        </x:is>
      </x:c>
      <x:c r="AC25" s="11" t="inlineStr">
        <x:is>
          <x:t xml:space="preserve">pendiente</x:t>
        </x:is>
      </x:c>
      <x:c r="AD25" s="11" t="inlineStr">
        <x:is>
          <x:t xml:space="preserve"/>
        </x:is>
      </x:c>
    </x:row>
    <x:row r="26">
      <x:c r="A26" s="11" t="inlineStr">
        <x:is>
          <x:t xml:space="preserve"/>
        </x:is>
      </x:c>
      <x:c r="B26" s="11" t="inlineStr">
        <x:is>
          <x:t xml:space="preserve">E7_v1</x:t>
        </x:is>
      </x:c>
      <x:c r="C26" s="9" t="inlineStr">
        <x:is>
          <x:t xml:space="preserve">E7</x:t>
        </x:is>
      </x:c>
      <x:c r="D26" s="9" t="inlineStr">
        <x:is>
          <x:t xml:space="preserve">temporal</x:t>
        </x:is>
      </x:c>
      <x:c r="E26" s="9" t="inlineStr">
        <x:is>
          <x:t xml:space="preserve">Prophet + regresores</x:t>
        </x:is>
      </x:c>
      <x:c r="F26" s="9" t="n">
        <x:v>1</x:v>
      </x:c>
      <x:c r="G26" s="11" t="inlineStr">
        <x:is>
          <x:t xml:space="preserve"/>
        </x:is>
      </x:c>
      <x:c r="H26" s="9" t="inlineStr">
        <x:is>
          <x:t xml:space="preserve">serie + tendencia</x:t>
        </x:is>
      </x:c>
      <x:c r="I26" s="9" t="inlineStr">
        <x:is>
          <x:t xml:space="preserve">regresores externos</x:t>
        </x:is>
      </x:c>
      <x:c r="J26" s="9" t="inlineStr">
        <x:is>
          <x:t xml:space="preserve">original</x:t>
        </x:is>
      </x:c>
      <x:c r="K26" s="9" t="inlineStr">
        <x:is>
          <x:t xml:space="preserve">todas</x:t>
        </x:is>
      </x:c>
      <x:c r="L26" s="9" t="inlineStr">
        <x:is>
          <x:t xml:space="preserve">walk-forward</x:t>
        </x:is>
      </x:c>
      <x:c r="M26" s="11" t="inlineStr">
        <x:is>
          <x:t xml:space="preserve"/>
        </x:is>
      </x:c>
      <x:c r="N26" s="11" t="inlineStr">
        <x:is>
          <x:t xml:space="preserve"/>
        </x:is>
      </x:c>
      <x:c r="O26" s="12">
        <x:f>CONFIG_REFERENCIA!$E$3</x:f>
        <x:v>0.35</x:v>
      </x:c>
      <x:c r="P26" s="12">
        <x:f>CONFIG_REFERENCIA!$E$4</x:f>
        <x:v>0.25</x:v>
      </x:c>
      <x:c r="Q26" s="12">
        <x:f>CONFIG_REFERENCIA!$E$5</x:f>
        <x:v>0.25</x:v>
      </x:c>
      <x:c r="R26" s="12">
        <x:f>CONFIG_REFERENCIA!$E$6</x:f>
        <x:v>0.1</x:v>
      </x:c>
      <x:c r="S26" s="13">
        <x:f>IF($F26="","",INDEX(CONFIG_REFERENCIA!$B$3:$B$6,MATCH($F26,CONFIG_REFERENCIA!$A$3:$A$6,0)))</x:f>
        <x:v>0.3</x:v>
      </x:c>
      <x:c r="T26" s="14" t="inlineStr">
        <x:is>
          <x:t xml:space="preserve"/>
        </x:is>
      </x:c>
      <x:c r="U26" s="14" t="inlineStr">
        <x:is>
          <x:t xml:space="preserve"/>
        </x:is>
      </x:c>
      <x:c r="V26" s="14" t="inlineStr">
        <x:is>
          <x:t xml:space="preserve"/>
        </x:is>
      </x:c>
      <x:c r="W26" s="14" t="inlineStr">
        <x:is>
          <x:t xml:space="preserve"/>
        </x:is>
      </x:c>
      <x:c r="X26" s="15">
        <x:f>IF(COUNTA($T26:$W26)&lt;4,"",$S26*($O26*$T26+$P26*$U26+$Q26*$V26+$R26*$W26))</x:f>
      </x:c>
      <x:c r="Y26" s="14" t="inlineStr">
        <x:is>
          <x:t xml:space="preserve"/>
        </x:is>
      </x:c>
      <x:c r="Z26" s="14" t="inlineStr">
        <x:is>
          <x:t xml:space="preserve"/>
        </x:is>
      </x:c>
      <x:c r="AA26" s="16" t="inlineStr">
        <x:is>
          <x:t xml:space="preserve"/>
        </x:is>
      </x:c>
      <x:c r="AB26" s="16" t="inlineStr">
        <x:is>
          <x:t xml:space="preserve"/>
        </x:is>
      </x:c>
      <x:c r="AC26" s="11" t="inlineStr">
        <x:is>
          <x:t xml:space="preserve">pendiente</x:t>
        </x:is>
      </x:c>
      <x:c r="AD26" s="11" t="inlineStr">
        <x:is>
          <x:t xml:space="preserve"/>
        </x:is>
      </x:c>
    </x:row>
    <x:row r="27">
      <x:c r="A27" s="11" t="inlineStr">
        <x:is>
          <x:t xml:space="preserve"/>
        </x:is>
      </x:c>
      <x:c r="B27" s="11" t="inlineStr">
        <x:is>
          <x:t xml:space="preserve">E7_v1</x:t>
        </x:is>
      </x:c>
      <x:c r="C27" s="9" t="inlineStr">
        <x:is>
          <x:t xml:space="preserve">E7</x:t>
        </x:is>
      </x:c>
      <x:c r="D27" s="9" t="inlineStr">
        <x:is>
          <x:t xml:space="preserve">temporal</x:t>
        </x:is>
      </x:c>
      <x:c r="E27" s="9" t="inlineStr">
        <x:is>
          <x:t xml:space="preserve">Prophet + regresores</x:t>
        </x:is>
      </x:c>
      <x:c r="F27" s="9" t="n">
        <x:v>2</x:v>
      </x:c>
      <x:c r="G27" s="11" t="inlineStr">
        <x:is>
          <x:t xml:space="preserve"/>
        </x:is>
      </x:c>
      <x:c r="H27" s="9" t="inlineStr">
        <x:is>
          <x:t xml:space="preserve">serie + tendencia</x:t>
        </x:is>
      </x:c>
      <x:c r="I27" s="9" t="inlineStr">
        <x:is>
          <x:t xml:space="preserve">regresores externos</x:t>
        </x:is>
      </x:c>
      <x:c r="J27" s="9" t="inlineStr">
        <x:is>
          <x:t xml:space="preserve">original</x:t>
        </x:is>
      </x:c>
      <x:c r="K27" s="9" t="inlineStr">
        <x:is>
          <x:t xml:space="preserve">todas</x:t>
        </x:is>
      </x:c>
      <x:c r="L27" s="9" t="inlineStr">
        <x:is>
          <x:t xml:space="preserve">walk-forward</x:t>
        </x:is>
      </x:c>
      <x:c r="M27" s="11" t="inlineStr">
        <x:is>
          <x:t xml:space="preserve"/>
        </x:is>
      </x:c>
      <x:c r="N27" s="11" t="inlineStr">
        <x:is>
          <x:t xml:space="preserve"/>
        </x:is>
      </x:c>
      <x:c r="O27" s="12">
        <x:f>CONFIG_REFERENCIA!$E$3</x:f>
        <x:v>0.35</x:v>
      </x:c>
      <x:c r="P27" s="12">
        <x:f>CONFIG_REFERENCIA!$E$4</x:f>
        <x:v>0.25</x:v>
      </x:c>
      <x:c r="Q27" s="12">
        <x:f>CONFIG_REFERENCIA!$E$5</x:f>
        <x:v>0.25</x:v>
      </x:c>
      <x:c r="R27" s="12">
        <x:f>CONFIG_REFERENCIA!$E$6</x:f>
        <x:v>0.1</x:v>
      </x:c>
      <x:c r="S27" s="13">
        <x:f>IF($F27="","",INDEX(CONFIG_REFERENCIA!$B$3:$B$6,MATCH($F27,CONFIG_REFERENCIA!$A$3:$A$6,0)))</x:f>
        <x:v>0.25</x:v>
      </x:c>
      <x:c r="T27" s="14" t="inlineStr">
        <x:is>
          <x:t xml:space="preserve"/>
        </x:is>
      </x:c>
      <x:c r="U27" s="14" t="inlineStr">
        <x:is>
          <x:t xml:space="preserve"/>
        </x:is>
      </x:c>
      <x:c r="V27" s="14" t="inlineStr">
        <x:is>
          <x:t xml:space="preserve"/>
        </x:is>
      </x:c>
      <x:c r="W27" s="14" t="inlineStr">
        <x:is>
          <x:t xml:space="preserve"/>
        </x:is>
      </x:c>
      <x:c r="X27" s="15">
        <x:f>IF(COUNTA($T27:$W27)&lt;4,"",$S27*($O27*$T27+$P27*$U27+$Q27*$V27+$R27*$W27))</x:f>
      </x:c>
      <x:c r="Y27" s="14" t="inlineStr">
        <x:is>
          <x:t xml:space="preserve"/>
        </x:is>
      </x:c>
      <x:c r="Z27" s="14" t="inlineStr">
        <x:is>
          <x:t xml:space="preserve"/>
        </x:is>
      </x:c>
      <x:c r="AA27" s="16" t="inlineStr">
        <x:is>
          <x:t xml:space="preserve"/>
        </x:is>
      </x:c>
      <x:c r="AB27" s="16" t="inlineStr">
        <x:is>
          <x:t xml:space="preserve"/>
        </x:is>
      </x:c>
      <x:c r="AC27" s="11" t="inlineStr">
        <x:is>
          <x:t xml:space="preserve">pendiente</x:t>
        </x:is>
      </x:c>
      <x:c r="AD27" s="11" t="inlineStr">
        <x:is>
          <x:t xml:space="preserve"/>
        </x:is>
      </x:c>
    </x:row>
    <x:row r="28">
      <x:c r="A28" s="11" t="inlineStr">
        <x:is>
          <x:t xml:space="preserve"/>
        </x:is>
      </x:c>
      <x:c r="B28" s="11" t="inlineStr">
        <x:is>
          <x:t xml:space="preserve">E7_v1</x:t>
        </x:is>
      </x:c>
      <x:c r="C28" s="9" t="inlineStr">
        <x:is>
          <x:t xml:space="preserve">E7</x:t>
        </x:is>
      </x:c>
      <x:c r="D28" s="9" t="inlineStr">
        <x:is>
          <x:t xml:space="preserve">temporal</x:t>
        </x:is>
      </x:c>
      <x:c r="E28" s="9" t="inlineStr">
        <x:is>
          <x:t xml:space="preserve">Prophet + regresores</x:t>
        </x:is>
      </x:c>
      <x:c r="F28" s="9" t="n">
        <x:v>3</x:v>
      </x:c>
      <x:c r="G28" s="11" t="inlineStr">
        <x:is>
          <x:t xml:space="preserve"/>
        </x:is>
      </x:c>
      <x:c r="H28" s="9" t="inlineStr">
        <x:is>
          <x:t xml:space="preserve">serie + tendencia</x:t>
        </x:is>
      </x:c>
      <x:c r="I28" s="9" t="inlineStr">
        <x:is>
          <x:t xml:space="preserve">regresores externos</x:t>
        </x:is>
      </x:c>
      <x:c r="J28" s="9" t="inlineStr">
        <x:is>
          <x:t xml:space="preserve">original</x:t>
        </x:is>
      </x:c>
      <x:c r="K28" s="9" t="inlineStr">
        <x:is>
          <x:t xml:space="preserve">todas</x:t>
        </x:is>
      </x:c>
      <x:c r="L28" s="9" t="inlineStr">
        <x:is>
          <x:t xml:space="preserve">walk-forward</x:t>
        </x:is>
      </x:c>
      <x:c r="M28" s="11" t="inlineStr">
        <x:is>
          <x:t xml:space="preserve"/>
        </x:is>
      </x:c>
      <x:c r="N28" s="11" t="inlineStr">
        <x:is>
          <x:t xml:space="preserve"/>
        </x:is>
      </x:c>
      <x:c r="O28" s="12">
        <x:f>CONFIG_REFERENCIA!$E$3</x:f>
        <x:v>0.35</x:v>
      </x:c>
      <x:c r="P28" s="12">
        <x:f>CONFIG_REFERENCIA!$E$4</x:f>
        <x:v>0.25</x:v>
      </x:c>
      <x:c r="Q28" s="12">
        <x:f>CONFIG_REFERENCIA!$E$5</x:f>
        <x:v>0.25</x:v>
      </x:c>
      <x:c r="R28" s="12">
        <x:f>CONFIG_REFERENCIA!$E$6</x:f>
        <x:v>0.1</x:v>
      </x:c>
      <x:c r="S28" s="13">
        <x:f>IF($F28="","",INDEX(CONFIG_REFERENCIA!$B$3:$B$6,MATCH($F28,CONFIG_REFERENCIA!$A$3:$A$6,0)))</x:f>
        <x:v>0.3</x:v>
      </x:c>
      <x:c r="T28" s="14" t="inlineStr">
        <x:is>
          <x:t xml:space="preserve"/>
        </x:is>
      </x:c>
      <x:c r="U28" s="14" t="inlineStr">
        <x:is>
          <x:t xml:space="preserve"/>
        </x:is>
      </x:c>
      <x:c r="V28" s="14" t="inlineStr">
        <x:is>
          <x:t xml:space="preserve"/>
        </x:is>
      </x:c>
      <x:c r="W28" s="14" t="inlineStr">
        <x:is>
          <x:t xml:space="preserve"/>
        </x:is>
      </x:c>
      <x:c r="X28" s="15">
        <x:f>IF(COUNTA($T28:$W28)&lt;4,"",$S28*($O28*$T28+$P28*$U28+$Q28*$V28+$R28*$W28))</x:f>
      </x:c>
      <x:c r="Y28" s="14" t="inlineStr">
        <x:is>
          <x:t xml:space="preserve"/>
        </x:is>
      </x:c>
      <x:c r="Z28" s="14" t="inlineStr">
        <x:is>
          <x:t xml:space="preserve"/>
        </x:is>
      </x:c>
      <x:c r="AA28" s="16" t="inlineStr">
        <x:is>
          <x:t xml:space="preserve"/>
        </x:is>
      </x:c>
      <x:c r="AB28" s="16" t="inlineStr">
        <x:is>
          <x:t xml:space="preserve"/>
        </x:is>
      </x:c>
      <x:c r="AC28" s="11" t="inlineStr">
        <x:is>
          <x:t xml:space="preserve">pendiente</x:t>
        </x:is>
      </x:c>
      <x:c r="AD28" s="11" t="inlineStr">
        <x:is>
          <x:t xml:space="preserve"/>
        </x:is>
      </x:c>
    </x:row>
    <x:row r="29">
      <x:c r="A29" s="11" t="inlineStr">
        <x:is>
          <x:t xml:space="preserve"/>
        </x:is>
      </x:c>
      <x:c r="B29" s="11" t="inlineStr">
        <x:is>
          <x:t xml:space="preserve">E7_v1</x:t>
        </x:is>
      </x:c>
      <x:c r="C29" s="9" t="inlineStr">
        <x:is>
          <x:t xml:space="preserve">E7</x:t>
        </x:is>
      </x:c>
      <x:c r="D29" s="9" t="inlineStr">
        <x:is>
          <x:t xml:space="preserve">temporal</x:t>
        </x:is>
      </x:c>
      <x:c r="E29" s="9" t="inlineStr">
        <x:is>
          <x:t xml:space="preserve">Prophet + regresores</x:t>
        </x:is>
      </x:c>
      <x:c r="F29" s="9" t="n">
        <x:v>4</x:v>
      </x:c>
      <x:c r="G29" s="11" t="inlineStr">
        <x:is>
          <x:t xml:space="preserve"/>
        </x:is>
      </x:c>
      <x:c r="H29" s="9" t="inlineStr">
        <x:is>
          <x:t xml:space="preserve">serie + tendencia</x:t>
        </x:is>
      </x:c>
      <x:c r="I29" s="9" t="inlineStr">
        <x:is>
          <x:t xml:space="preserve">regresores externos</x:t>
        </x:is>
      </x:c>
      <x:c r="J29" s="9" t="inlineStr">
        <x:is>
          <x:t xml:space="preserve">original</x:t>
        </x:is>
      </x:c>
      <x:c r="K29" s="9" t="inlineStr">
        <x:is>
          <x:t xml:space="preserve">todas</x:t>
        </x:is>
      </x:c>
      <x:c r="L29" s="9" t="inlineStr">
        <x:is>
          <x:t xml:space="preserve">walk-forward</x:t>
        </x:is>
      </x:c>
      <x:c r="M29" s="11" t="inlineStr">
        <x:is>
          <x:t xml:space="preserve"/>
        </x:is>
      </x:c>
      <x:c r="N29" s="11" t="inlineStr">
        <x:is>
          <x:t xml:space="preserve"/>
        </x:is>
      </x:c>
      <x:c r="O29" s="12">
        <x:f>CONFIG_REFERENCIA!$E$3</x:f>
        <x:v>0.35</x:v>
      </x:c>
      <x:c r="P29" s="12">
        <x:f>CONFIG_REFERENCIA!$E$4</x:f>
        <x:v>0.25</x:v>
      </x:c>
      <x:c r="Q29" s="12">
        <x:f>CONFIG_REFERENCIA!$E$5</x:f>
        <x:v>0.25</x:v>
      </x:c>
      <x:c r="R29" s="12">
        <x:f>CONFIG_REFERENCIA!$E$6</x:f>
        <x:v>0.1</x:v>
      </x:c>
      <x:c r="S29" s="13">
        <x:f>IF($F29="","",INDEX(CONFIG_REFERENCIA!$B$3:$B$6,MATCH($F29,CONFIG_REFERENCIA!$A$3:$A$6,0)))</x:f>
        <x:v>0.15</x:v>
      </x:c>
      <x:c r="T29" s="14" t="inlineStr">
        <x:is>
          <x:t xml:space="preserve"/>
        </x:is>
      </x:c>
      <x:c r="U29" s="14" t="inlineStr">
        <x:is>
          <x:t xml:space="preserve"/>
        </x:is>
      </x:c>
      <x:c r="V29" s="14" t="inlineStr">
        <x:is>
          <x:t xml:space="preserve"/>
        </x:is>
      </x:c>
      <x:c r="W29" s="14" t="inlineStr">
        <x:is>
          <x:t xml:space="preserve"/>
        </x:is>
      </x:c>
      <x:c r="X29" s="15">
        <x:f>IF(COUNTA($T29:$W29)&lt;4,"",$S29*($O29*$T29+$P29*$U29+$Q29*$V29+$R29*$W29))</x:f>
      </x:c>
      <x:c r="Y29" s="14" t="inlineStr">
        <x:is>
          <x:t xml:space="preserve"/>
        </x:is>
      </x:c>
      <x:c r="Z29" s="14" t="inlineStr">
        <x:is>
          <x:t xml:space="preserve"/>
        </x:is>
      </x:c>
      <x:c r="AA29" s="16" t="inlineStr">
        <x:is>
          <x:t xml:space="preserve"/>
        </x:is>
      </x:c>
      <x:c r="AB29" s="16" t="inlineStr">
        <x:is>
          <x:t xml:space="preserve"/>
        </x:is>
      </x:c>
      <x:c r="AC29" s="11" t="inlineStr">
        <x:is>
          <x:t xml:space="preserve">pendiente</x:t>
        </x:is>
      </x:c>
      <x:c r="AD29" s="11" t="inlineStr">
        <x:is>
          <x:t xml:space="preserve"/>
        </x:is>
      </x:c>
    </x:row>
    <x:row r="30">
      <x:c r="A30" s="11" t="inlineStr">
        <x:is>
          <x:t xml:space="preserve"/>
        </x:is>
      </x:c>
      <x:c r="B30" s="11" t="inlineStr">
        <x:is>
          <x:t xml:space="preserve">E8_v1</x:t>
        </x:is>
      </x:c>
      <x:c r="C30" s="9" t="inlineStr">
        <x:is>
          <x:t xml:space="preserve">E8</x:t>
        </x:is>
      </x:c>
      <x:c r="D30" s="9" t="inlineStr">
        <x:is>
          <x:t xml:space="preserve">hibrido</x:t>
        </x:is>
      </x:c>
      <x:c r="E30" s="9" t="inlineStr">
        <x:is>
          <x:t xml:space="preserve">Temporal + boosting residuales</x:t>
        </x:is>
      </x:c>
      <x:c r="F30" s="9" t="n">
        <x:v>1</x:v>
      </x:c>
      <x:c r="G30" s="11" t="inlineStr">
        <x:is>
          <x:t xml:space="preserve"/>
        </x:is>
      </x:c>
      <x:c r="H30" s="9" t="inlineStr">
        <x:is>
          <x:t xml:space="preserve">temporal base</x:t>
        </x:is>
      </x:c>
      <x:c r="I30" s="9" t="inlineStr">
        <x:is>
          <x:t xml:space="preserve">choques no lineales</x:t>
        </x:is>
      </x:c>
      <x:c r="J30" s="9" t="inlineStr">
        <x:is>
          <x:t xml:space="preserve">original</x:t>
        </x:is>
      </x:c>
      <x:c r="K30" s="9" t="inlineStr">
        <x:is>
          <x:t xml:space="preserve">todas</x:t>
        </x:is>
      </x:c>
      <x:c r="L30" s="9" t="inlineStr">
        <x:is>
          <x:t xml:space="preserve">walk-forward</x:t>
        </x:is>
      </x:c>
      <x:c r="M30" s="11" t="inlineStr">
        <x:is>
          <x:t xml:space="preserve"/>
        </x:is>
      </x:c>
      <x:c r="N30" s="11" t="inlineStr">
        <x:is>
          <x:t xml:space="preserve"/>
        </x:is>
      </x:c>
      <x:c r="O30" s="12">
        <x:f>CONFIG_REFERENCIA!$E$3</x:f>
        <x:v>0.35</x:v>
      </x:c>
      <x:c r="P30" s="12">
        <x:f>CONFIG_REFERENCIA!$E$4</x:f>
        <x:v>0.25</x:v>
      </x:c>
      <x:c r="Q30" s="12">
        <x:f>CONFIG_REFERENCIA!$E$5</x:f>
        <x:v>0.25</x:v>
      </x:c>
      <x:c r="R30" s="12">
        <x:f>CONFIG_REFERENCIA!$E$6</x:f>
        <x:v>0.1</x:v>
      </x:c>
      <x:c r="S30" s="13">
        <x:f>IF($F30="","",INDEX(CONFIG_REFERENCIA!$B$3:$B$6,MATCH($F30,CONFIG_REFERENCIA!$A$3:$A$6,0)))</x:f>
        <x:v>0.3</x:v>
      </x:c>
      <x:c r="T30" s="14" t="inlineStr">
        <x:is>
          <x:t xml:space="preserve"/>
        </x:is>
      </x:c>
      <x:c r="U30" s="14" t="inlineStr">
        <x:is>
          <x:t xml:space="preserve"/>
        </x:is>
      </x:c>
      <x:c r="V30" s="14" t="inlineStr">
        <x:is>
          <x:t xml:space="preserve"/>
        </x:is>
      </x:c>
      <x:c r="W30" s="14" t="inlineStr">
        <x:is>
          <x:t xml:space="preserve"/>
        </x:is>
      </x:c>
      <x:c r="X30" s="15">
        <x:f>IF(COUNTA($T30:$W30)&lt;4,"",$S30*($O30*$T30+$P30*$U30+$Q30*$V30+$R30*$W30))</x:f>
      </x:c>
      <x:c r="Y30" s="14" t="inlineStr">
        <x:is>
          <x:t xml:space="preserve"/>
        </x:is>
      </x:c>
      <x:c r="Z30" s="14" t="inlineStr">
        <x:is>
          <x:t xml:space="preserve"/>
        </x:is>
      </x:c>
      <x:c r="AA30" s="16" t="inlineStr">
        <x:is>
          <x:t xml:space="preserve"/>
        </x:is>
      </x:c>
      <x:c r="AB30" s="16" t="inlineStr">
        <x:is>
          <x:t xml:space="preserve"/>
        </x:is>
      </x:c>
      <x:c r="AC30" s="11" t="inlineStr">
        <x:is>
          <x:t xml:space="preserve">pendiente</x:t>
        </x:is>
      </x:c>
      <x:c r="AD30" s="11" t="inlineStr">
        <x:is>
          <x:t xml:space="preserve"/>
        </x:is>
      </x:c>
    </x:row>
    <x:row r="31">
      <x:c r="A31" s="11" t="inlineStr">
        <x:is>
          <x:t xml:space="preserve"/>
        </x:is>
      </x:c>
      <x:c r="B31" s="11" t="inlineStr">
        <x:is>
          <x:t xml:space="preserve">E8_v1</x:t>
        </x:is>
      </x:c>
      <x:c r="C31" s="9" t="inlineStr">
        <x:is>
          <x:t xml:space="preserve">E8</x:t>
        </x:is>
      </x:c>
      <x:c r="D31" s="9" t="inlineStr">
        <x:is>
          <x:t xml:space="preserve">hibrido</x:t>
        </x:is>
      </x:c>
      <x:c r="E31" s="9" t="inlineStr">
        <x:is>
          <x:t xml:space="preserve">Temporal + boosting residuales</x:t>
        </x:is>
      </x:c>
      <x:c r="F31" s="9" t="n">
        <x:v>2</x:v>
      </x:c>
      <x:c r="G31" s="11" t="inlineStr">
        <x:is>
          <x:t xml:space="preserve"/>
        </x:is>
      </x:c>
      <x:c r="H31" s="9" t="inlineStr">
        <x:is>
          <x:t xml:space="preserve">temporal base</x:t>
        </x:is>
      </x:c>
      <x:c r="I31" s="9" t="inlineStr">
        <x:is>
          <x:t xml:space="preserve">choques no lineales</x:t>
        </x:is>
      </x:c>
      <x:c r="J31" s="9" t="inlineStr">
        <x:is>
          <x:t xml:space="preserve">original</x:t>
        </x:is>
      </x:c>
      <x:c r="K31" s="9" t="inlineStr">
        <x:is>
          <x:t xml:space="preserve">todas</x:t>
        </x:is>
      </x:c>
      <x:c r="L31" s="9" t="inlineStr">
        <x:is>
          <x:t xml:space="preserve">walk-forward</x:t>
        </x:is>
      </x:c>
      <x:c r="M31" s="11" t="inlineStr">
        <x:is>
          <x:t xml:space="preserve"/>
        </x:is>
      </x:c>
      <x:c r="N31" s="11" t="inlineStr">
        <x:is>
          <x:t xml:space="preserve"/>
        </x:is>
      </x:c>
      <x:c r="O31" s="12">
        <x:f>CONFIG_REFERENCIA!$E$3</x:f>
        <x:v>0.35</x:v>
      </x:c>
      <x:c r="P31" s="12">
        <x:f>CONFIG_REFERENCIA!$E$4</x:f>
        <x:v>0.25</x:v>
      </x:c>
      <x:c r="Q31" s="12">
        <x:f>CONFIG_REFERENCIA!$E$5</x:f>
        <x:v>0.25</x:v>
      </x:c>
      <x:c r="R31" s="12">
        <x:f>CONFIG_REFERENCIA!$E$6</x:f>
        <x:v>0.1</x:v>
      </x:c>
      <x:c r="S31" s="13">
        <x:f>IF($F31="","",INDEX(CONFIG_REFERENCIA!$B$3:$B$6,MATCH($F31,CONFIG_REFERENCIA!$A$3:$A$6,0)))</x:f>
        <x:v>0.25</x:v>
      </x:c>
      <x:c r="T31" s="14" t="inlineStr">
        <x:is>
          <x:t xml:space="preserve"/>
        </x:is>
      </x:c>
      <x:c r="U31" s="14" t="inlineStr">
        <x:is>
          <x:t xml:space="preserve"/>
        </x:is>
      </x:c>
      <x:c r="V31" s="14" t="inlineStr">
        <x:is>
          <x:t xml:space="preserve"/>
        </x:is>
      </x:c>
      <x:c r="W31" s="14" t="inlineStr">
        <x:is>
          <x:t xml:space="preserve"/>
        </x:is>
      </x:c>
      <x:c r="X31" s="15">
        <x:f>IF(COUNTA($T31:$W31)&lt;4,"",$S31*($O31*$T31+$P31*$U31+$Q31*$V31+$R31*$W31))</x:f>
      </x:c>
      <x:c r="Y31" s="14" t="inlineStr">
        <x:is>
          <x:t xml:space="preserve"/>
        </x:is>
      </x:c>
      <x:c r="Z31" s="14" t="inlineStr">
        <x:is>
          <x:t xml:space="preserve"/>
        </x:is>
      </x:c>
      <x:c r="AA31" s="16" t="inlineStr">
        <x:is>
          <x:t xml:space="preserve"/>
        </x:is>
      </x:c>
      <x:c r="AB31" s="16" t="inlineStr">
        <x:is>
          <x:t xml:space="preserve"/>
        </x:is>
      </x:c>
      <x:c r="AC31" s="11" t="inlineStr">
        <x:is>
          <x:t xml:space="preserve">pendiente</x:t>
        </x:is>
      </x:c>
      <x:c r="AD31" s="11" t="inlineStr">
        <x:is>
          <x:t xml:space="preserve"/>
        </x:is>
      </x:c>
    </x:row>
    <x:row r="32">
      <x:c r="A32" s="11" t="inlineStr">
        <x:is>
          <x:t xml:space="preserve"/>
        </x:is>
      </x:c>
      <x:c r="B32" s="11" t="inlineStr">
        <x:is>
          <x:t xml:space="preserve">E8_v1</x:t>
        </x:is>
      </x:c>
      <x:c r="C32" s="9" t="inlineStr">
        <x:is>
          <x:t xml:space="preserve">E8</x:t>
        </x:is>
      </x:c>
      <x:c r="D32" s="9" t="inlineStr">
        <x:is>
          <x:t xml:space="preserve">hibrido</x:t>
        </x:is>
      </x:c>
      <x:c r="E32" s="9" t="inlineStr">
        <x:is>
          <x:t xml:space="preserve">Temporal + boosting residuales</x:t>
        </x:is>
      </x:c>
      <x:c r="F32" s="9" t="n">
        <x:v>3</x:v>
      </x:c>
      <x:c r="G32" s="11" t="inlineStr">
        <x:is>
          <x:t xml:space="preserve"/>
        </x:is>
      </x:c>
      <x:c r="H32" s="9" t="inlineStr">
        <x:is>
          <x:t xml:space="preserve">temporal base</x:t>
        </x:is>
      </x:c>
      <x:c r="I32" s="9" t="inlineStr">
        <x:is>
          <x:t xml:space="preserve">choques no lineales</x:t>
        </x:is>
      </x:c>
      <x:c r="J32" s="9" t="inlineStr">
        <x:is>
          <x:t xml:space="preserve">original</x:t>
        </x:is>
      </x:c>
      <x:c r="K32" s="9" t="inlineStr">
        <x:is>
          <x:t xml:space="preserve">todas</x:t>
        </x:is>
      </x:c>
      <x:c r="L32" s="9" t="inlineStr">
        <x:is>
          <x:t xml:space="preserve">walk-forward</x:t>
        </x:is>
      </x:c>
      <x:c r="M32" s="11" t="inlineStr">
        <x:is>
          <x:t xml:space="preserve"/>
        </x:is>
      </x:c>
      <x:c r="N32" s="11" t="inlineStr">
        <x:is>
          <x:t xml:space="preserve"/>
        </x:is>
      </x:c>
      <x:c r="O32" s="12">
        <x:f>CONFIG_REFERENCIA!$E$3</x:f>
        <x:v>0.35</x:v>
      </x:c>
      <x:c r="P32" s="12">
        <x:f>CONFIG_REFERENCIA!$E$4</x:f>
        <x:v>0.25</x:v>
      </x:c>
      <x:c r="Q32" s="12">
        <x:f>CONFIG_REFERENCIA!$E$5</x:f>
        <x:v>0.25</x:v>
      </x:c>
      <x:c r="R32" s="12">
        <x:f>CONFIG_REFERENCIA!$E$6</x:f>
        <x:v>0.1</x:v>
      </x:c>
      <x:c r="S32" s="13">
        <x:f>IF($F32="","",INDEX(CONFIG_REFERENCIA!$B$3:$B$6,MATCH($F32,CONFIG_REFERENCIA!$A$3:$A$6,0)))</x:f>
        <x:v>0.3</x:v>
      </x:c>
      <x:c r="T32" s="14" t="inlineStr">
        <x:is>
          <x:t xml:space="preserve"/>
        </x:is>
      </x:c>
      <x:c r="U32" s="14" t="inlineStr">
        <x:is>
          <x:t xml:space="preserve"/>
        </x:is>
      </x:c>
      <x:c r="V32" s="14" t="inlineStr">
        <x:is>
          <x:t xml:space="preserve"/>
        </x:is>
      </x:c>
      <x:c r="W32" s="14" t="inlineStr">
        <x:is>
          <x:t xml:space="preserve"/>
        </x:is>
      </x:c>
      <x:c r="X32" s="15">
        <x:f>IF(COUNTA($T32:$W32)&lt;4,"",$S32*($O32*$T32+$P32*$U32+$Q32*$V32+$R32*$W32))</x:f>
      </x:c>
      <x:c r="Y32" s="14" t="inlineStr">
        <x:is>
          <x:t xml:space="preserve"/>
        </x:is>
      </x:c>
      <x:c r="Z32" s="14" t="inlineStr">
        <x:is>
          <x:t xml:space="preserve"/>
        </x:is>
      </x:c>
      <x:c r="AA32" s="16" t="inlineStr">
        <x:is>
          <x:t xml:space="preserve"/>
        </x:is>
      </x:c>
      <x:c r="AB32" s="16" t="inlineStr">
        <x:is>
          <x:t xml:space="preserve"/>
        </x:is>
      </x:c>
      <x:c r="AC32" s="11" t="inlineStr">
        <x:is>
          <x:t xml:space="preserve">pendiente</x:t>
        </x:is>
      </x:c>
      <x:c r="AD32" s="11" t="inlineStr">
        <x:is>
          <x:t xml:space="preserve"/>
        </x:is>
      </x:c>
    </x:row>
    <x:row r="33">
      <x:c r="A33" s="11" t="inlineStr">
        <x:is>
          <x:t xml:space="preserve"/>
        </x:is>
      </x:c>
      <x:c r="B33" s="11" t="inlineStr">
        <x:is>
          <x:t xml:space="preserve">E8_v1</x:t>
        </x:is>
      </x:c>
      <x:c r="C33" s="9" t="inlineStr">
        <x:is>
          <x:t xml:space="preserve">E8</x:t>
        </x:is>
      </x:c>
      <x:c r="D33" s="9" t="inlineStr">
        <x:is>
          <x:t xml:space="preserve">hibrido</x:t>
        </x:is>
      </x:c>
      <x:c r="E33" s="9" t="inlineStr">
        <x:is>
          <x:t xml:space="preserve">Temporal + boosting residuales</x:t>
        </x:is>
      </x:c>
      <x:c r="F33" s="9" t="n">
        <x:v>4</x:v>
      </x:c>
      <x:c r="G33" s="11" t="inlineStr">
        <x:is>
          <x:t xml:space="preserve"/>
        </x:is>
      </x:c>
      <x:c r="H33" s="9" t="inlineStr">
        <x:is>
          <x:t xml:space="preserve">temporal base</x:t>
        </x:is>
      </x:c>
      <x:c r="I33" s="9" t="inlineStr">
        <x:is>
          <x:t xml:space="preserve">choques no lineales</x:t>
        </x:is>
      </x:c>
      <x:c r="J33" s="9" t="inlineStr">
        <x:is>
          <x:t xml:space="preserve">original</x:t>
        </x:is>
      </x:c>
      <x:c r="K33" s="9" t="inlineStr">
        <x:is>
          <x:t xml:space="preserve">todas</x:t>
        </x:is>
      </x:c>
      <x:c r="L33" s="9" t="inlineStr">
        <x:is>
          <x:t xml:space="preserve">walk-forward</x:t>
        </x:is>
      </x:c>
      <x:c r="M33" s="11" t="inlineStr">
        <x:is>
          <x:t xml:space="preserve"/>
        </x:is>
      </x:c>
      <x:c r="N33" s="11" t="inlineStr">
        <x:is>
          <x:t xml:space="preserve"/>
        </x:is>
      </x:c>
      <x:c r="O33" s="12">
        <x:f>CONFIG_REFERENCIA!$E$3</x:f>
        <x:v>0.35</x:v>
      </x:c>
      <x:c r="P33" s="12">
        <x:f>CONFIG_REFERENCIA!$E$4</x:f>
        <x:v>0.25</x:v>
      </x:c>
      <x:c r="Q33" s="12">
        <x:f>CONFIG_REFERENCIA!$E$5</x:f>
        <x:v>0.25</x:v>
      </x:c>
      <x:c r="R33" s="12">
        <x:f>CONFIG_REFERENCIA!$E$6</x:f>
        <x:v>0.1</x:v>
      </x:c>
      <x:c r="S33" s="13">
        <x:f>IF($F33="","",INDEX(CONFIG_REFERENCIA!$B$3:$B$6,MATCH($F33,CONFIG_REFERENCIA!$A$3:$A$6,0)))</x:f>
        <x:v>0.15</x:v>
      </x:c>
      <x:c r="T33" s="14" t="inlineStr">
        <x:is>
          <x:t xml:space="preserve"/>
        </x:is>
      </x:c>
      <x:c r="U33" s="14" t="inlineStr">
        <x:is>
          <x:t xml:space="preserve"/>
        </x:is>
      </x:c>
      <x:c r="V33" s="14" t="inlineStr">
        <x:is>
          <x:t xml:space="preserve"/>
        </x:is>
      </x:c>
      <x:c r="W33" s="14" t="inlineStr">
        <x:is>
          <x:t xml:space="preserve"/>
        </x:is>
      </x:c>
      <x:c r="X33" s="15">
        <x:f>IF(COUNTA($T33:$W33)&lt;4,"",$S33*($O33*$T33+$P33*$U33+$Q33*$V33+$R33*$W33))</x:f>
      </x:c>
      <x:c r="Y33" s="14" t="inlineStr">
        <x:is>
          <x:t xml:space="preserve"/>
        </x:is>
      </x:c>
      <x:c r="Z33" s="14" t="inlineStr">
        <x:is>
          <x:t xml:space="preserve"/>
        </x:is>
      </x:c>
      <x:c r="AA33" s="16" t="inlineStr">
        <x:is>
          <x:t xml:space="preserve"/>
        </x:is>
      </x:c>
      <x:c r="AB33" s="16" t="inlineStr">
        <x:is>
          <x:t xml:space="preserve"/>
        </x:is>
      </x:c>
      <x:c r="AC33" s="11" t="inlineStr">
        <x:is>
          <x:t xml:space="preserve">pendiente</x:t>
        </x:is>
      </x:c>
      <x:c r="AD33" s="11" t="inlineStr">
        <x:is>
          <x:t xml:space="preserve"/>
        </x:is>
      </x:c>
    </x:row>
    <x:row r="34">
      <x:c r="A34" s="11" t="inlineStr">
        <x:is>
          <x:t xml:space="preserve"/>
        </x:is>
      </x:c>
      <x:c r="B34" s="11" t="inlineStr">
        <x:is>
          <x:t xml:space="preserve">E9_v1</x:t>
        </x:is>
      </x:c>
      <x:c r="C34" s="9" t="inlineStr">
        <x:is>
          <x:t xml:space="preserve">E9</x:t>
        </x:is>
      </x:c>
      <x:c r="D34" s="9" t="inlineStr">
        <x:is>
          <x:t xml:space="preserve">hibrido</x:t>
        </x:is>
      </x:c>
      <x:c r="E34" s="9" t="inlineStr">
        <x:is>
          <x:t xml:space="preserve">Stacking lineal + boosting + temporal</x:t>
        </x:is>
      </x:c>
      <x:c r="F34" s="9" t="n">
        <x:v>1</x:v>
      </x:c>
      <x:c r="G34" s="11" t="inlineStr">
        <x:is>
          <x:t xml:space="preserve"/>
        </x:is>
      </x:c>
      <x:c r="H34" s="9" t="inlineStr">
        <x:is>
          <x:t xml:space="preserve">senales complementarias</x:t>
        </x:is>
      </x:c>
      <x:c r="I34" s="9" t="inlineStr">
        <x:is>
          <x:t xml:space="preserve">variables mixtas</x:t>
        </x:is>
      </x:c>
      <x:c r="J34" s="9" t="inlineStr">
        <x:is>
          <x:t xml:space="preserve">original</x:t>
        </x:is>
      </x:c>
      <x:c r="K34" s="9" t="inlineStr">
        <x:is>
          <x:t xml:space="preserve">todas</x:t>
        </x:is>
      </x:c>
      <x:c r="L34" s="9" t="inlineStr">
        <x:is>
          <x:t xml:space="preserve">walk-forward</x:t>
        </x:is>
      </x:c>
      <x:c r="M34" s="11" t="inlineStr">
        <x:is>
          <x:t xml:space="preserve"/>
        </x:is>
      </x:c>
      <x:c r="N34" s="11" t="inlineStr">
        <x:is>
          <x:t xml:space="preserve"/>
        </x:is>
      </x:c>
      <x:c r="O34" s="12">
        <x:f>CONFIG_REFERENCIA!$E$3</x:f>
        <x:v>0.35</x:v>
      </x:c>
      <x:c r="P34" s="12">
        <x:f>CONFIG_REFERENCIA!$E$4</x:f>
        <x:v>0.25</x:v>
      </x:c>
      <x:c r="Q34" s="12">
        <x:f>CONFIG_REFERENCIA!$E$5</x:f>
        <x:v>0.25</x:v>
      </x:c>
      <x:c r="R34" s="12">
        <x:f>CONFIG_REFERENCIA!$E$6</x:f>
        <x:v>0.1</x:v>
      </x:c>
      <x:c r="S34" s="13">
        <x:f>IF($F34="","",INDEX(CONFIG_REFERENCIA!$B$3:$B$6,MATCH($F34,CONFIG_REFERENCIA!$A$3:$A$6,0)))</x:f>
        <x:v>0.3</x:v>
      </x:c>
      <x:c r="T34" s="14" t="inlineStr">
        <x:is>
          <x:t xml:space="preserve"/>
        </x:is>
      </x:c>
      <x:c r="U34" s="14" t="inlineStr">
        <x:is>
          <x:t xml:space="preserve"/>
        </x:is>
      </x:c>
      <x:c r="V34" s="14" t="inlineStr">
        <x:is>
          <x:t xml:space="preserve"/>
        </x:is>
      </x:c>
      <x:c r="W34" s="14" t="inlineStr">
        <x:is>
          <x:t xml:space="preserve"/>
        </x:is>
      </x:c>
      <x:c r="X34" s="15">
        <x:f>IF(COUNTA($T34:$W34)&lt;4,"",$S34*($O34*$T34+$P34*$U34+$Q34*$V34+$R34*$W34))</x:f>
      </x:c>
      <x:c r="Y34" s="14" t="inlineStr">
        <x:is>
          <x:t xml:space="preserve"/>
        </x:is>
      </x:c>
      <x:c r="Z34" s="14" t="inlineStr">
        <x:is>
          <x:t xml:space="preserve"/>
        </x:is>
      </x:c>
      <x:c r="AA34" s="16" t="inlineStr">
        <x:is>
          <x:t xml:space="preserve"/>
        </x:is>
      </x:c>
      <x:c r="AB34" s="16" t="inlineStr">
        <x:is>
          <x:t xml:space="preserve"/>
        </x:is>
      </x:c>
      <x:c r="AC34" s="11" t="inlineStr">
        <x:is>
          <x:t xml:space="preserve">pendiente</x:t>
        </x:is>
      </x:c>
      <x:c r="AD34" s="11" t="inlineStr">
        <x:is>
          <x:t xml:space="preserve"/>
        </x:is>
      </x:c>
    </x:row>
    <x:row r="35">
      <x:c r="A35" s="11" t="inlineStr">
        <x:is>
          <x:t xml:space="preserve"/>
        </x:is>
      </x:c>
      <x:c r="B35" s="11" t="inlineStr">
        <x:is>
          <x:t xml:space="preserve">E9_v1</x:t>
        </x:is>
      </x:c>
      <x:c r="C35" s="9" t="inlineStr">
        <x:is>
          <x:t xml:space="preserve">E9</x:t>
        </x:is>
      </x:c>
      <x:c r="D35" s="9" t="inlineStr">
        <x:is>
          <x:t xml:space="preserve">hibrido</x:t>
        </x:is>
      </x:c>
      <x:c r="E35" s="9" t="inlineStr">
        <x:is>
          <x:t xml:space="preserve">Stacking lineal + boosting + temporal</x:t>
        </x:is>
      </x:c>
      <x:c r="F35" s="9" t="n">
        <x:v>2</x:v>
      </x:c>
      <x:c r="G35" s="11" t="inlineStr">
        <x:is>
          <x:t xml:space="preserve"/>
        </x:is>
      </x:c>
      <x:c r="H35" s="9" t="inlineStr">
        <x:is>
          <x:t xml:space="preserve">senales complementarias</x:t>
        </x:is>
      </x:c>
      <x:c r="I35" s="9" t="inlineStr">
        <x:is>
          <x:t xml:space="preserve">variables mixtas</x:t>
        </x:is>
      </x:c>
      <x:c r="J35" s="9" t="inlineStr">
        <x:is>
          <x:t xml:space="preserve">original</x:t>
        </x:is>
      </x:c>
      <x:c r="K35" s="9" t="inlineStr">
        <x:is>
          <x:t xml:space="preserve">todas</x:t>
        </x:is>
      </x:c>
      <x:c r="L35" s="9" t="inlineStr">
        <x:is>
          <x:t xml:space="preserve">walk-forward</x:t>
        </x:is>
      </x:c>
      <x:c r="M35" s="11" t="inlineStr">
        <x:is>
          <x:t xml:space="preserve"/>
        </x:is>
      </x:c>
      <x:c r="N35" s="11" t="inlineStr">
        <x:is>
          <x:t xml:space="preserve"/>
        </x:is>
      </x:c>
      <x:c r="O35" s="12">
        <x:f>CONFIG_REFERENCIA!$E$3</x:f>
        <x:v>0.35</x:v>
      </x:c>
      <x:c r="P35" s="12">
        <x:f>CONFIG_REFERENCIA!$E$4</x:f>
        <x:v>0.25</x:v>
      </x:c>
      <x:c r="Q35" s="12">
        <x:f>CONFIG_REFERENCIA!$E$5</x:f>
        <x:v>0.25</x:v>
      </x:c>
      <x:c r="R35" s="12">
        <x:f>CONFIG_REFERENCIA!$E$6</x:f>
        <x:v>0.1</x:v>
      </x:c>
      <x:c r="S35" s="13">
        <x:f>IF($F35="","",INDEX(CONFIG_REFERENCIA!$B$3:$B$6,MATCH($F35,CONFIG_REFERENCIA!$A$3:$A$6,0)))</x:f>
        <x:v>0.25</x:v>
      </x:c>
      <x:c r="T35" s="14" t="inlineStr">
        <x:is>
          <x:t xml:space="preserve"/>
        </x:is>
      </x:c>
      <x:c r="U35" s="14" t="inlineStr">
        <x:is>
          <x:t xml:space="preserve"/>
        </x:is>
      </x:c>
      <x:c r="V35" s="14" t="inlineStr">
        <x:is>
          <x:t xml:space="preserve"/>
        </x:is>
      </x:c>
      <x:c r="W35" s="14" t="inlineStr">
        <x:is>
          <x:t xml:space="preserve"/>
        </x:is>
      </x:c>
      <x:c r="X35" s="15">
        <x:f>IF(COUNTA($T35:$W35)&lt;4,"",$S35*($O35*$T35+$P35*$U35+$Q35*$V35+$R35*$W35))</x:f>
      </x:c>
      <x:c r="Y35" s="14" t="inlineStr">
        <x:is>
          <x:t xml:space="preserve"/>
        </x:is>
      </x:c>
      <x:c r="Z35" s="14" t="inlineStr">
        <x:is>
          <x:t xml:space="preserve"/>
        </x:is>
      </x:c>
      <x:c r="AA35" s="16" t="inlineStr">
        <x:is>
          <x:t xml:space="preserve"/>
        </x:is>
      </x:c>
      <x:c r="AB35" s="16" t="inlineStr">
        <x:is>
          <x:t xml:space="preserve"/>
        </x:is>
      </x:c>
      <x:c r="AC35" s="11" t="inlineStr">
        <x:is>
          <x:t xml:space="preserve">pendiente</x:t>
        </x:is>
      </x:c>
      <x:c r="AD35" s="11" t="inlineStr">
        <x:is>
          <x:t xml:space="preserve"/>
        </x:is>
      </x:c>
    </x:row>
    <x:row r="36">
      <x:c r="A36" s="11" t="inlineStr">
        <x:is>
          <x:t xml:space="preserve"/>
        </x:is>
      </x:c>
      <x:c r="B36" s="11" t="inlineStr">
        <x:is>
          <x:t xml:space="preserve">E9_v1</x:t>
        </x:is>
      </x:c>
      <x:c r="C36" s="9" t="inlineStr">
        <x:is>
          <x:t xml:space="preserve">E9</x:t>
        </x:is>
      </x:c>
      <x:c r="D36" s="9" t="inlineStr">
        <x:is>
          <x:t xml:space="preserve">hibrido</x:t>
        </x:is>
      </x:c>
      <x:c r="E36" s="9" t="inlineStr">
        <x:is>
          <x:t xml:space="preserve">Stacking lineal + boosting + temporal</x:t>
        </x:is>
      </x:c>
      <x:c r="F36" s="9" t="n">
        <x:v>3</x:v>
      </x:c>
      <x:c r="G36" s="11" t="inlineStr">
        <x:is>
          <x:t xml:space="preserve"/>
        </x:is>
      </x:c>
      <x:c r="H36" s="9" t="inlineStr">
        <x:is>
          <x:t xml:space="preserve">senales complementarias</x:t>
        </x:is>
      </x:c>
      <x:c r="I36" s="9" t="inlineStr">
        <x:is>
          <x:t xml:space="preserve">variables mixtas</x:t>
        </x:is>
      </x:c>
      <x:c r="J36" s="9" t="inlineStr">
        <x:is>
          <x:t xml:space="preserve">original</x:t>
        </x:is>
      </x:c>
      <x:c r="K36" s="9" t="inlineStr">
        <x:is>
          <x:t xml:space="preserve">todas</x:t>
        </x:is>
      </x:c>
      <x:c r="L36" s="9" t="inlineStr">
        <x:is>
          <x:t xml:space="preserve">walk-forward</x:t>
        </x:is>
      </x:c>
      <x:c r="M36" s="11" t="inlineStr">
        <x:is>
          <x:t xml:space="preserve"/>
        </x:is>
      </x:c>
      <x:c r="N36" s="11" t="inlineStr">
        <x:is>
          <x:t xml:space="preserve"/>
        </x:is>
      </x:c>
      <x:c r="O36" s="12">
        <x:f>CONFIG_REFERENCIA!$E$3</x:f>
        <x:v>0.35</x:v>
      </x:c>
      <x:c r="P36" s="12">
        <x:f>CONFIG_REFERENCIA!$E$4</x:f>
        <x:v>0.25</x:v>
      </x:c>
      <x:c r="Q36" s="12">
        <x:f>CONFIG_REFERENCIA!$E$5</x:f>
        <x:v>0.25</x:v>
      </x:c>
      <x:c r="R36" s="12">
        <x:f>CONFIG_REFERENCIA!$E$6</x:f>
        <x:v>0.1</x:v>
      </x:c>
      <x:c r="S36" s="13">
        <x:f>IF($F36="","",INDEX(CONFIG_REFERENCIA!$B$3:$B$6,MATCH($F36,CONFIG_REFERENCIA!$A$3:$A$6,0)))</x:f>
        <x:v>0.3</x:v>
      </x:c>
      <x:c r="T36" s="14" t="inlineStr">
        <x:is>
          <x:t xml:space="preserve"/>
        </x:is>
      </x:c>
      <x:c r="U36" s="14" t="inlineStr">
        <x:is>
          <x:t xml:space="preserve"/>
        </x:is>
      </x:c>
      <x:c r="V36" s="14" t="inlineStr">
        <x:is>
          <x:t xml:space="preserve"/>
        </x:is>
      </x:c>
      <x:c r="W36" s="14" t="inlineStr">
        <x:is>
          <x:t xml:space="preserve"/>
        </x:is>
      </x:c>
      <x:c r="X36" s="15">
        <x:f>IF(COUNTA($T36:$W36)&lt;4,"",$S36*($O36*$T36+$P36*$U36+$Q36*$V36+$R36*$W36))</x:f>
      </x:c>
      <x:c r="Y36" s="14" t="inlineStr">
        <x:is>
          <x:t xml:space="preserve"/>
        </x:is>
      </x:c>
      <x:c r="Z36" s="14" t="inlineStr">
        <x:is>
          <x:t xml:space="preserve"/>
        </x:is>
      </x:c>
      <x:c r="AA36" s="16" t="inlineStr">
        <x:is>
          <x:t xml:space="preserve"/>
        </x:is>
      </x:c>
      <x:c r="AB36" s="16" t="inlineStr">
        <x:is>
          <x:t xml:space="preserve"/>
        </x:is>
      </x:c>
      <x:c r="AC36" s="11" t="inlineStr">
        <x:is>
          <x:t xml:space="preserve">pendiente</x:t>
        </x:is>
      </x:c>
      <x:c r="AD36" s="11" t="inlineStr">
        <x:is>
          <x:t xml:space="preserve"/>
        </x:is>
      </x:c>
    </x:row>
    <x:row r="37">
      <x:c r="A37" s="11" t="inlineStr">
        <x:is>
          <x:t xml:space="preserve"/>
        </x:is>
      </x:c>
      <x:c r="B37" s="11" t="inlineStr">
        <x:is>
          <x:t xml:space="preserve">E9_v1</x:t>
        </x:is>
      </x:c>
      <x:c r="C37" s="9" t="inlineStr">
        <x:is>
          <x:t xml:space="preserve">E9</x:t>
        </x:is>
      </x:c>
      <x:c r="D37" s="9" t="inlineStr">
        <x:is>
          <x:t xml:space="preserve">hibrido</x:t>
        </x:is>
      </x:c>
      <x:c r="E37" s="9" t="inlineStr">
        <x:is>
          <x:t xml:space="preserve">Stacking lineal + boosting + temporal</x:t>
        </x:is>
      </x:c>
      <x:c r="F37" s="9" t="n">
        <x:v>4</x:v>
      </x:c>
      <x:c r="G37" s="11" t="inlineStr">
        <x:is>
          <x:t xml:space="preserve"/>
        </x:is>
      </x:c>
      <x:c r="H37" s="9" t="inlineStr">
        <x:is>
          <x:t xml:space="preserve">senales complementarias</x:t>
        </x:is>
      </x:c>
      <x:c r="I37" s="9" t="inlineStr">
        <x:is>
          <x:t xml:space="preserve">variables mixtas</x:t>
        </x:is>
      </x:c>
      <x:c r="J37" s="9" t="inlineStr">
        <x:is>
          <x:t xml:space="preserve">original</x:t>
        </x:is>
      </x:c>
      <x:c r="K37" s="9" t="inlineStr">
        <x:is>
          <x:t xml:space="preserve">todas</x:t>
        </x:is>
      </x:c>
      <x:c r="L37" s="9" t="inlineStr">
        <x:is>
          <x:t xml:space="preserve">walk-forward</x:t>
        </x:is>
      </x:c>
      <x:c r="M37" s="11" t="inlineStr">
        <x:is>
          <x:t xml:space="preserve"/>
        </x:is>
      </x:c>
      <x:c r="N37" s="11" t="inlineStr">
        <x:is>
          <x:t xml:space="preserve"/>
        </x:is>
      </x:c>
      <x:c r="O37" s="12">
        <x:f>CONFIG_REFERENCIA!$E$3</x:f>
        <x:v>0.35</x:v>
      </x:c>
      <x:c r="P37" s="12">
        <x:f>CONFIG_REFERENCIA!$E$4</x:f>
        <x:v>0.25</x:v>
      </x:c>
      <x:c r="Q37" s="12">
        <x:f>CONFIG_REFERENCIA!$E$5</x:f>
        <x:v>0.25</x:v>
      </x:c>
      <x:c r="R37" s="12">
        <x:f>CONFIG_REFERENCIA!$E$6</x:f>
        <x:v>0.1</x:v>
      </x:c>
      <x:c r="S37" s="13">
        <x:f>IF($F37="","",INDEX(CONFIG_REFERENCIA!$B$3:$B$6,MATCH($F37,CONFIG_REFERENCIA!$A$3:$A$6,0)))</x:f>
        <x:v>0.15</x:v>
      </x:c>
      <x:c r="T37" s="14" t="inlineStr">
        <x:is>
          <x:t xml:space="preserve"/>
        </x:is>
      </x:c>
      <x:c r="U37" s="14" t="inlineStr">
        <x:is>
          <x:t xml:space="preserve"/>
        </x:is>
      </x:c>
      <x:c r="V37" s="14" t="inlineStr">
        <x:is>
          <x:t xml:space="preserve"/>
        </x:is>
      </x:c>
      <x:c r="W37" s="14" t="inlineStr">
        <x:is>
          <x:t xml:space="preserve"/>
        </x:is>
      </x:c>
      <x:c r="X37" s="15">
        <x:f>IF(COUNTA($T37:$W37)&lt;4,"",$S37*($O37*$T37+$P37*$U37+$Q37*$V37+$R37*$W37))</x:f>
      </x:c>
      <x:c r="Y37" s="14" t="inlineStr">
        <x:is>
          <x:t xml:space="preserve"/>
        </x:is>
      </x:c>
      <x:c r="Z37" s="14" t="inlineStr">
        <x:is>
          <x:t xml:space="preserve"/>
        </x:is>
      </x:c>
      <x:c r="AA37" s="16" t="inlineStr">
        <x:is>
          <x:t xml:space="preserve"/>
        </x:is>
      </x:c>
      <x:c r="AB37" s="16" t="inlineStr">
        <x:is>
          <x:t xml:space="preserve"/>
        </x:is>
      </x:c>
      <x:c r="AC37" s="11" t="inlineStr">
        <x:is>
          <x:t xml:space="preserve">pendiente</x:t>
        </x:is>
      </x:c>
      <x:c r="AD37" s="11" t="inlineStr">
        <x:is>
          <x:t xml:space="preserve"/>
        </x:is>
      </x:c>
    </x:row>
    <x:row r="38">
      <x:c r="A38" s="11" t="inlineStr">
        <x:is>
          <x:t xml:space="preserve"/>
        </x:is>
      </x:c>
      <x:c r="B38" s="11" t="inlineStr">
        <x:is>
          <x:t xml:space="preserve">E10_v1</x:t>
        </x:is>
      </x:c>
      <x:c r="C38" s="9" t="inlineStr">
        <x:is>
          <x:t xml:space="preserve">E10</x:t>
        </x:is>
      </x:c>
      <x:c r="D38" s="9" t="inlineStr">
        <x:is>
          <x:t xml:space="preserve">ensemble</x:t>
        </x:is>
      </x:c>
      <x:c r="E38" s="9" t="inlineStr">
        <x:is>
          <x:t xml:space="preserve">Mejor modelo por horizonte + ensemble</x:t>
        </x:is>
      </x:c>
      <x:c r="F38" s="9" t="n">
        <x:v>1</x:v>
      </x:c>
      <x:c r="G38" s="11" t="inlineStr">
        <x:is>
          <x:t xml:space="preserve"/>
        </x:is>
      </x:c>
      <x:c r="H38" s="9" t="inlineStr">
        <x:is>
          <x:t xml:space="preserve">ganadores por horizonte</x:t>
        </x:is>
      </x:c>
      <x:c r="I38" s="9" t="inlineStr">
        <x:is>
          <x:t xml:space="preserve">senales complementarias</x:t>
        </x:is>
      </x:c>
      <x:c r="J38" s="9" t="inlineStr">
        <x:is>
          <x:t xml:space="preserve">original</x:t>
        </x:is>
      </x:c>
      <x:c r="K38" s="9" t="inlineStr">
        <x:is>
          <x:t xml:space="preserve">todas</x:t>
        </x:is>
      </x:c>
      <x:c r="L38" s="9" t="inlineStr">
        <x:is>
          <x:t xml:space="preserve">walk-forward</x:t>
        </x:is>
      </x:c>
      <x:c r="M38" s="11" t="inlineStr">
        <x:is>
          <x:t xml:space="preserve"/>
        </x:is>
      </x:c>
      <x:c r="N38" s="11" t="inlineStr">
        <x:is>
          <x:t xml:space="preserve"/>
        </x:is>
      </x:c>
      <x:c r="O38" s="12">
        <x:f>CONFIG_REFERENCIA!$E$3</x:f>
        <x:v>0.35</x:v>
      </x:c>
      <x:c r="P38" s="12">
        <x:f>CONFIG_REFERENCIA!$E$4</x:f>
        <x:v>0.25</x:v>
      </x:c>
      <x:c r="Q38" s="12">
        <x:f>CONFIG_REFERENCIA!$E$5</x:f>
        <x:v>0.25</x:v>
      </x:c>
      <x:c r="R38" s="12">
        <x:f>CONFIG_REFERENCIA!$E$6</x:f>
        <x:v>0.1</x:v>
      </x:c>
      <x:c r="S38" s="13">
        <x:f>IF($F38="","",INDEX(CONFIG_REFERENCIA!$B$3:$B$6,MATCH($F38,CONFIG_REFERENCIA!$A$3:$A$6,0)))</x:f>
        <x:v>0.3</x:v>
      </x:c>
      <x:c r="T38" s="14" t="inlineStr">
        <x:is>
          <x:t xml:space="preserve"/>
        </x:is>
      </x:c>
      <x:c r="U38" s="14" t="inlineStr">
        <x:is>
          <x:t xml:space="preserve"/>
        </x:is>
      </x:c>
      <x:c r="V38" s="14" t="inlineStr">
        <x:is>
          <x:t xml:space="preserve"/>
        </x:is>
      </x:c>
      <x:c r="W38" s="14" t="inlineStr">
        <x:is>
          <x:t xml:space="preserve"/>
        </x:is>
      </x:c>
      <x:c r="X38" s="15">
        <x:f>IF(COUNTA($T38:$W38)&lt;4,"",$S38*($O38*$T38+$P38*$U38+$Q38*$V38+$R38*$W38))</x:f>
      </x:c>
      <x:c r="Y38" s="14" t="inlineStr">
        <x:is>
          <x:t xml:space="preserve"/>
        </x:is>
      </x:c>
      <x:c r="Z38" s="14" t="inlineStr">
        <x:is>
          <x:t xml:space="preserve"/>
        </x:is>
      </x:c>
      <x:c r="AA38" s="16" t="inlineStr">
        <x:is>
          <x:t xml:space="preserve"/>
        </x:is>
      </x:c>
      <x:c r="AB38" s="16" t="inlineStr">
        <x:is>
          <x:t xml:space="preserve"/>
        </x:is>
      </x:c>
      <x:c r="AC38" s="11" t="inlineStr">
        <x:is>
          <x:t xml:space="preserve">pendiente</x:t>
        </x:is>
      </x:c>
      <x:c r="AD38" s="11" t="inlineStr">
        <x:is>
          <x:t xml:space="preserve"/>
        </x:is>
      </x:c>
    </x:row>
    <x:row r="39">
      <x:c r="A39" s="11" t="inlineStr">
        <x:is>
          <x:t xml:space="preserve"/>
        </x:is>
      </x:c>
      <x:c r="B39" s="11" t="inlineStr">
        <x:is>
          <x:t xml:space="preserve">E10_v1</x:t>
        </x:is>
      </x:c>
      <x:c r="C39" s="9" t="inlineStr">
        <x:is>
          <x:t xml:space="preserve">E10</x:t>
        </x:is>
      </x:c>
      <x:c r="D39" s="9" t="inlineStr">
        <x:is>
          <x:t xml:space="preserve">ensemble</x:t>
        </x:is>
      </x:c>
      <x:c r="E39" s="9" t="inlineStr">
        <x:is>
          <x:t xml:space="preserve">Mejor modelo por horizonte + ensemble</x:t>
        </x:is>
      </x:c>
      <x:c r="F39" s="9" t="n">
        <x:v>2</x:v>
      </x:c>
      <x:c r="G39" s="11" t="inlineStr">
        <x:is>
          <x:t xml:space="preserve"/>
        </x:is>
      </x:c>
      <x:c r="H39" s="9" t="inlineStr">
        <x:is>
          <x:t xml:space="preserve">ganadores por horizonte</x:t>
        </x:is>
      </x:c>
      <x:c r="I39" s="9" t="inlineStr">
        <x:is>
          <x:t xml:space="preserve">senales complementarias</x:t>
        </x:is>
      </x:c>
      <x:c r="J39" s="9" t="inlineStr">
        <x:is>
          <x:t xml:space="preserve">original</x:t>
        </x:is>
      </x:c>
      <x:c r="K39" s="9" t="inlineStr">
        <x:is>
          <x:t xml:space="preserve">todas</x:t>
        </x:is>
      </x:c>
      <x:c r="L39" s="9" t="inlineStr">
        <x:is>
          <x:t xml:space="preserve">walk-forward</x:t>
        </x:is>
      </x:c>
      <x:c r="M39" s="11" t="inlineStr">
        <x:is>
          <x:t xml:space="preserve"/>
        </x:is>
      </x:c>
      <x:c r="N39" s="11" t="inlineStr">
        <x:is>
          <x:t xml:space="preserve"/>
        </x:is>
      </x:c>
      <x:c r="O39" s="12">
        <x:f>CONFIG_REFERENCIA!$E$3</x:f>
        <x:v>0.35</x:v>
      </x:c>
      <x:c r="P39" s="12">
        <x:f>CONFIG_REFERENCIA!$E$4</x:f>
        <x:v>0.25</x:v>
      </x:c>
      <x:c r="Q39" s="12">
        <x:f>CONFIG_REFERENCIA!$E$5</x:f>
        <x:v>0.25</x:v>
      </x:c>
      <x:c r="R39" s="12">
        <x:f>CONFIG_REFERENCIA!$E$6</x:f>
        <x:v>0.1</x:v>
      </x:c>
      <x:c r="S39" s="13">
        <x:f>IF($F39="","",INDEX(CONFIG_REFERENCIA!$B$3:$B$6,MATCH($F39,CONFIG_REFERENCIA!$A$3:$A$6,0)))</x:f>
        <x:v>0.25</x:v>
      </x:c>
      <x:c r="T39" s="14" t="inlineStr">
        <x:is>
          <x:t xml:space="preserve"/>
        </x:is>
      </x:c>
      <x:c r="U39" s="14" t="inlineStr">
        <x:is>
          <x:t xml:space="preserve"/>
        </x:is>
      </x:c>
      <x:c r="V39" s="14" t="inlineStr">
        <x:is>
          <x:t xml:space="preserve"/>
        </x:is>
      </x:c>
      <x:c r="W39" s="14" t="inlineStr">
        <x:is>
          <x:t xml:space="preserve"/>
        </x:is>
      </x:c>
      <x:c r="X39" s="15">
        <x:f>IF(COUNTA($T39:$W39)&lt;4,"",$S39*($O39*$T39+$P39*$U39+$Q39*$V39+$R39*$W39))</x:f>
      </x:c>
      <x:c r="Y39" s="14" t="inlineStr">
        <x:is>
          <x:t xml:space="preserve"/>
        </x:is>
      </x:c>
      <x:c r="Z39" s="14" t="inlineStr">
        <x:is>
          <x:t xml:space="preserve"/>
        </x:is>
      </x:c>
      <x:c r="AA39" s="16" t="inlineStr">
        <x:is>
          <x:t xml:space="preserve"/>
        </x:is>
      </x:c>
      <x:c r="AB39" s="16" t="inlineStr">
        <x:is>
          <x:t xml:space="preserve"/>
        </x:is>
      </x:c>
      <x:c r="AC39" s="11" t="inlineStr">
        <x:is>
          <x:t xml:space="preserve">pendiente</x:t>
        </x:is>
      </x:c>
      <x:c r="AD39" s="11" t="inlineStr">
        <x:is>
          <x:t xml:space="preserve"/>
        </x:is>
      </x:c>
    </x:row>
    <x:row r="40">
      <x:c r="A40" s="11" t="inlineStr">
        <x:is>
          <x:t xml:space="preserve"/>
        </x:is>
      </x:c>
      <x:c r="B40" s="11" t="inlineStr">
        <x:is>
          <x:t xml:space="preserve">E10_v1</x:t>
        </x:is>
      </x:c>
      <x:c r="C40" s="9" t="inlineStr">
        <x:is>
          <x:t xml:space="preserve">E10</x:t>
        </x:is>
      </x:c>
      <x:c r="D40" s="9" t="inlineStr">
        <x:is>
          <x:t xml:space="preserve">ensemble</x:t>
        </x:is>
      </x:c>
      <x:c r="E40" s="9" t="inlineStr">
        <x:is>
          <x:t xml:space="preserve">Mejor modelo por horizonte + ensemble</x:t>
        </x:is>
      </x:c>
      <x:c r="F40" s="9" t="n">
        <x:v>3</x:v>
      </x:c>
      <x:c r="G40" s="11" t="inlineStr">
        <x:is>
          <x:t xml:space="preserve"/>
        </x:is>
      </x:c>
      <x:c r="H40" s="9" t="inlineStr">
        <x:is>
          <x:t xml:space="preserve">ganadores por horizonte</x:t>
        </x:is>
      </x:c>
      <x:c r="I40" s="9" t="inlineStr">
        <x:is>
          <x:t xml:space="preserve">senales complementarias</x:t>
        </x:is>
      </x:c>
      <x:c r="J40" s="9" t="inlineStr">
        <x:is>
          <x:t xml:space="preserve">original</x:t>
        </x:is>
      </x:c>
      <x:c r="K40" s="9" t="inlineStr">
        <x:is>
          <x:t xml:space="preserve">todas</x:t>
        </x:is>
      </x:c>
      <x:c r="L40" s="9" t="inlineStr">
        <x:is>
          <x:t xml:space="preserve">walk-forward</x:t>
        </x:is>
      </x:c>
      <x:c r="M40" s="11" t="inlineStr">
        <x:is>
          <x:t xml:space="preserve"/>
        </x:is>
      </x:c>
      <x:c r="N40" s="11" t="inlineStr">
        <x:is>
          <x:t xml:space="preserve"/>
        </x:is>
      </x:c>
      <x:c r="O40" s="12">
        <x:f>CONFIG_REFERENCIA!$E$3</x:f>
        <x:v>0.35</x:v>
      </x:c>
      <x:c r="P40" s="12">
        <x:f>CONFIG_REFERENCIA!$E$4</x:f>
        <x:v>0.25</x:v>
      </x:c>
      <x:c r="Q40" s="12">
        <x:f>CONFIG_REFERENCIA!$E$5</x:f>
        <x:v>0.25</x:v>
      </x:c>
      <x:c r="R40" s="12">
        <x:f>CONFIG_REFERENCIA!$E$6</x:f>
        <x:v>0.1</x:v>
      </x:c>
      <x:c r="S40" s="13">
        <x:f>IF($F40="","",INDEX(CONFIG_REFERENCIA!$B$3:$B$6,MATCH($F40,CONFIG_REFERENCIA!$A$3:$A$6,0)))</x:f>
        <x:v>0.3</x:v>
      </x:c>
      <x:c r="T40" s="14" t="inlineStr">
        <x:is>
          <x:t xml:space="preserve"/>
        </x:is>
      </x:c>
      <x:c r="U40" s="14" t="inlineStr">
        <x:is>
          <x:t xml:space="preserve"/>
        </x:is>
      </x:c>
      <x:c r="V40" s="14" t="inlineStr">
        <x:is>
          <x:t xml:space="preserve"/>
        </x:is>
      </x:c>
      <x:c r="W40" s="14" t="inlineStr">
        <x:is>
          <x:t xml:space="preserve"/>
        </x:is>
      </x:c>
      <x:c r="X40" s="15">
        <x:f>IF(COUNTA($T40:$W40)&lt;4,"",$S40*($O40*$T40+$P40*$U40+$Q40*$V40+$R40*$W40))</x:f>
      </x:c>
      <x:c r="Y40" s="14" t="inlineStr">
        <x:is>
          <x:t xml:space="preserve"/>
        </x:is>
      </x:c>
      <x:c r="Z40" s="14" t="inlineStr">
        <x:is>
          <x:t xml:space="preserve"/>
        </x:is>
      </x:c>
      <x:c r="AA40" s="16" t="inlineStr">
        <x:is>
          <x:t xml:space="preserve"/>
        </x:is>
      </x:c>
      <x:c r="AB40" s="16" t="inlineStr">
        <x:is>
          <x:t xml:space="preserve"/>
        </x:is>
      </x:c>
      <x:c r="AC40" s="11" t="inlineStr">
        <x:is>
          <x:t xml:space="preserve">pendiente</x:t>
        </x:is>
      </x:c>
      <x:c r="AD40" s="11" t="inlineStr">
        <x:is>
          <x:t xml:space="preserve"/>
        </x:is>
      </x:c>
    </x:row>
    <x:row r="41">
      <x:c r="A41" s="11" t="inlineStr">
        <x:is>
          <x:t xml:space="preserve"/>
        </x:is>
      </x:c>
      <x:c r="B41" s="11" t="inlineStr">
        <x:is>
          <x:t xml:space="preserve">E10_v1</x:t>
        </x:is>
      </x:c>
      <x:c r="C41" s="9" t="inlineStr">
        <x:is>
          <x:t xml:space="preserve">E10</x:t>
        </x:is>
      </x:c>
      <x:c r="D41" s="9" t="inlineStr">
        <x:is>
          <x:t xml:space="preserve">ensemble</x:t>
        </x:is>
      </x:c>
      <x:c r="E41" s="9" t="inlineStr">
        <x:is>
          <x:t xml:space="preserve">Mejor modelo por horizonte + ensemble</x:t>
        </x:is>
      </x:c>
      <x:c r="F41" s="9" t="n">
        <x:v>4</x:v>
      </x:c>
      <x:c r="G41" s="11" t="inlineStr">
        <x:is>
          <x:t xml:space="preserve"/>
        </x:is>
      </x:c>
      <x:c r="H41" s="9" t="inlineStr">
        <x:is>
          <x:t xml:space="preserve">ganadores por horizonte</x:t>
        </x:is>
      </x:c>
      <x:c r="I41" s="9" t="inlineStr">
        <x:is>
          <x:t xml:space="preserve">senales complementarias</x:t>
        </x:is>
      </x:c>
      <x:c r="J41" s="9" t="inlineStr">
        <x:is>
          <x:t xml:space="preserve">original</x:t>
        </x:is>
      </x:c>
      <x:c r="K41" s="9" t="inlineStr">
        <x:is>
          <x:t xml:space="preserve">todas</x:t>
        </x:is>
      </x:c>
      <x:c r="L41" s="9" t="inlineStr">
        <x:is>
          <x:t xml:space="preserve">walk-forward</x:t>
        </x:is>
      </x:c>
      <x:c r="M41" s="11" t="inlineStr">
        <x:is>
          <x:t xml:space="preserve"/>
        </x:is>
      </x:c>
      <x:c r="N41" s="11" t="inlineStr">
        <x:is>
          <x:t xml:space="preserve"/>
        </x:is>
      </x:c>
      <x:c r="O41" s="12">
        <x:f>CONFIG_REFERENCIA!$E$3</x:f>
        <x:v>0.35</x:v>
      </x:c>
      <x:c r="P41" s="12">
        <x:f>CONFIG_REFERENCIA!$E$4</x:f>
        <x:v>0.25</x:v>
      </x:c>
      <x:c r="Q41" s="12">
        <x:f>CONFIG_REFERENCIA!$E$5</x:f>
        <x:v>0.25</x:v>
      </x:c>
      <x:c r="R41" s="12">
        <x:f>CONFIG_REFERENCIA!$E$6</x:f>
        <x:v>0.1</x:v>
      </x:c>
      <x:c r="S41" s="13">
        <x:f>IF($F41="","",INDEX(CONFIG_REFERENCIA!$B$3:$B$6,MATCH($F41,CONFIG_REFERENCIA!$A$3:$A$6,0)))</x:f>
        <x:v>0.15</x:v>
      </x:c>
      <x:c r="T41" s="14" t="inlineStr">
        <x:is>
          <x:t xml:space="preserve"/>
        </x:is>
      </x:c>
      <x:c r="U41" s="14" t="inlineStr">
        <x:is>
          <x:t xml:space="preserve"/>
        </x:is>
      </x:c>
      <x:c r="V41" s="14" t="inlineStr">
        <x:is>
          <x:t xml:space="preserve"/>
        </x:is>
      </x:c>
      <x:c r="W41" s="14" t="inlineStr">
        <x:is>
          <x:t xml:space="preserve"/>
        </x:is>
      </x:c>
      <x:c r="X41" s="15">
        <x:f>IF(COUNTA($T41:$W41)&lt;4,"",$S41*($O41*$T41+$P41*$U41+$Q41*$V41+$R41*$W41))</x:f>
      </x:c>
      <x:c r="Y41" s="14" t="inlineStr">
        <x:is>
          <x:t xml:space="preserve"/>
        </x:is>
      </x:c>
      <x:c r="Z41" s="14" t="inlineStr">
        <x:is>
          <x:t xml:space="preserve"/>
        </x:is>
      </x:c>
      <x:c r="AA41" s="16" t="inlineStr">
        <x:is>
          <x:t xml:space="preserve"/>
        </x:is>
      </x:c>
      <x:c r="AB41" s="16" t="inlineStr">
        <x:is>
          <x:t xml:space="preserve"/>
        </x:is>
      </x:c>
      <x:c r="AC41" s="11" t="inlineStr">
        <x:is>
          <x:t xml:space="preserve">pendiente</x:t>
        </x:is>
      </x:c>
      <x:c r="AD41" s="11" t="inlineStr">
        <x:is>
          <x:t xml:space="preserve"/>
        </x:is>
      </x:c>
    </x:row>
    <x:row r="42">
      <x:c r="A42" s="11" t="n"/>
      <x:c r="B42" s="11" t="n"/>
      <x:c r="C42" s="11" t="n"/>
      <x:c r="D42" s="11" t="n"/>
      <x:c r="E42" s="11" t="n"/>
      <x:c r="F42" s="11" t="n"/>
      <x:c r="G42" s="11" t="n"/>
      <x:c r="H42" s="11" t="n"/>
      <x:c r="I42" s="11" t="n"/>
      <x:c r="J42" s="11" t="n"/>
      <x:c r="K42" s="11" t="n"/>
      <x:c r="L42" s="11" t="n"/>
      <x:c r="M42" s="11" t="n"/>
      <x:c r="N42" s="11" t="n"/>
      <x:c r="O42" s="12">
        <x:f>CONFIG_REFERENCIA!$E$3</x:f>
        <x:v>0.35</x:v>
      </x:c>
      <x:c r="P42" s="12">
        <x:f>CONFIG_REFERENCIA!$E$4</x:f>
        <x:v>0.25</x:v>
      </x:c>
      <x:c r="Q42" s="12">
        <x:f>CONFIG_REFERENCIA!$E$5</x:f>
        <x:v>0.25</x:v>
      </x:c>
      <x:c r="R42" s="12">
        <x:f>CONFIG_REFERENCIA!$E$6</x:f>
        <x:v>0.1</x:v>
      </x:c>
      <x:c r="S42" s="13">
        <x:f>IF($F42="","",INDEX(CONFIG_REFERENCIA!$B$3:$B$6,MATCH($F42,CONFIG_REFERENCIA!$A$3:$A$6,0)))</x:f>
      </x:c>
      <x:c r="T42" s="14" t="n"/>
      <x:c r="U42" s="14" t="n"/>
      <x:c r="V42" s="14" t="n"/>
      <x:c r="W42" s="14" t="n"/>
      <x:c r="X42" s="15">
        <x:f>IF(COUNTA($T42:$W42)&lt;4,"",$S42*($O42*$T42+$P42*$U42+$Q42*$V42+$R42*$W42))</x:f>
      </x:c>
      <x:c r="Y42" s="14" t="n"/>
      <x:c r="Z42" s="14" t="n"/>
      <x:c r="AA42" s="16" t="n"/>
      <x:c r="AB42" s="16" t="n"/>
      <x:c r="AC42" s="11" t="n"/>
      <x:c r="AD42" s="11" t="n"/>
    </x:row>
    <x:row r="43">
      <x:c r="A43" s="11" t="n"/>
      <x:c r="B43" s="11" t="n"/>
      <x:c r="C43" s="11" t="n"/>
      <x:c r="D43" s="11" t="n"/>
      <x:c r="E43" s="11" t="n"/>
      <x:c r="F43" s="11" t="n"/>
      <x:c r="G43" s="11" t="n"/>
      <x:c r="H43" s="11" t="n"/>
      <x:c r="I43" s="11" t="n"/>
      <x:c r="J43" s="11" t="n"/>
      <x:c r="K43" s="11" t="n"/>
      <x:c r="L43" s="11" t="n"/>
      <x:c r="M43" s="11" t="n"/>
      <x:c r="N43" s="11" t="n"/>
      <x:c r="O43" s="12">
        <x:f>CONFIG_REFERENCIA!$E$3</x:f>
        <x:v>0.35</x:v>
      </x:c>
      <x:c r="P43" s="12">
        <x:f>CONFIG_REFERENCIA!$E$4</x:f>
        <x:v>0.25</x:v>
      </x:c>
      <x:c r="Q43" s="12">
        <x:f>CONFIG_REFERENCIA!$E$5</x:f>
        <x:v>0.25</x:v>
      </x:c>
      <x:c r="R43" s="12">
        <x:f>CONFIG_REFERENCIA!$E$6</x:f>
        <x:v>0.1</x:v>
      </x:c>
      <x:c r="S43" s="13">
        <x:f>IF($F43="","",INDEX(CONFIG_REFERENCIA!$B$3:$B$6,MATCH($F43,CONFIG_REFERENCIA!$A$3:$A$6,0)))</x:f>
      </x:c>
      <x:c r="T43" s="14" t="n"/>
      <x:c r="U43" s="14" t="n"/>
      <x:c r="V43" s="14" t="n"/>
      <x:c r="W43" s="14" t="n"/>
      <x:c r="X43" s="15">
        <x:f>IF(COUNTA($T43:$W43)&lt;4,"",$S43*($O43*$T43+$P43*$U43+$Q43*$V43+$R43*$W43))</x:f>
      </x:c>
      <x:c r="Y43" s="14" t="n"/>
      <x:c r="Z43" s="14" t="n"/>
      <x:c r="AA43" s="16" t="n"/>
      <x:c r="AB43" s="16" t="n"/>
      <x:c r="AC43" s="11" t="n"/>
      <x:c r="AD43" s="11" t="n"/>
    </x:row>
    <x:row r="44">
      <x:c r="A44" s="11" t="n"/>
      <x:c r="B44" s="11" t="n"/>
      <x:c r="C44" s="11" t="n"/>
      <x:c r="D44" s="11" t="n"/>
      <x:c r="E44" s="11" t="n"/>
      <x:c r="F44" s="11" t="n"/>
      <x:c r="G44" s="11" t="n"/>
      <x:c r="H44" s="11" t="n"/>
      <x:c r="I44" s="11" t="n"/>
      <x:c r="J44" s="11" t="n"/>
      <x:c r="K44" s="11" t="n"/>
      <x:c r="L44" s="11" t="n"/>
      <x:c r="M44" s="11" t="n"/>
      <x:c r="N44" s="11" t="n"/>
      <x:c r="O44" s="12">
        <x:f>CONFIG_REFERENCIA!$E$3</x:f>
        <x:v>0.35</x:v>
      </x:c>
      <x:c r="P44" s="12">
        <x:f>CONFIG_REFERENCIA!$E$4</x:f>
        <x:v>0.25</x:v>
      </x:c>
      <x:c r="Q44" s="12">
        <x:f>CONFIG_REFERENCIA!$E$5</x:f>
        <x:v>0.25</x:v>
      </x:c>
      <x:c r="R44" s="12">
        <x:f>CONFIG_REFERENCIA!$E$6</x:f>
        <x:v>0.1</x:v>
      </x:c>
      <x:c r="S44" s="13">
        <x:f>IF($F44="","",INDEX(CONFIG_REFERENCIA!$B$3:$B$6,MATCH($F44,CONFIG_REFERENCIA!$A$3:$A$6,0)))</x:f>
      </x:c>
      <x:c r="T44" s="14" t="n"/>
      <x:c r="U44" s="14" t="n"/>
      <x:c r="V44" s="14" t="n"/>
      <x:c r="W44" s="14" t="n"/>
      <x:c r="X44" s="15">
        <x:f>IF(COUNTA($T44:$W44)&lt;4,"",$S44*($O44*$T44+$P44*$U44+$Q44*$V44+$R44*$W44))</x:f>
      </x:c>
      <x:c r="Y44" s="14" t="n"/>
      <x:c r="Z44" s="14" t="n"/>
      <x:c r="AA44" s="16" t="n"/>
      <x:c r="AB44" s="16" t="n"/>
      <x:c r="AC44" s="11" t="n"/>
      <x:c r="AD44" s="11" t="n"/>
    </x:row>
    <x:row r="45">
      <x:c r="A45" s="11" t="n"/>
      <x:c r="B45" s="11" t="n"/>
      <x:c r="C45" s="11" t="n"/>
      <x:c r="D45" s="11" t="n"/>
      <x:c r="E45" s="11" t="n"/>
      <x:c r="F45" s="11" t="n"/>
      <x:c r="G45" s="11" t="n"/>
      <x:c r="H45" s="11" t="n"/>
      <x:c r="I45" s="11" t="n"/>
      <x:c r="J45" s="11" t="n"/>
      <x:c r="K45" s="11" t="n"/>
      <x:c r="L45" s="11" t="n"/>
      <x:c r="M45" s="11" t="n"/>
      <x:c r="N45" s="11" t="n"/>
      <x:c r="O45" s="12">
        <x:f>CONFIG_REFERENCIA!$E$3</x:f>
        <x:v>0.35</x:v>
      </x:c>
      <x:c r="P45" s="12">
        <x:f>CONFIG_REFERENCIA!$E$4</x:f>
        <x:v>0.25</x:v>
      </x:c>
      <x:c r="Q45" s="12">
        <x:f>CONFIG_REFERENCIA!$E$5</x:f>
        <x:v>0.25</x:v>
      </x:c>
      <x:c r="R45" s="12">
        <x:f>CONFIG_REFERENCIA!$E$6</x:f>
        <x:v>0.1</x:v>
      </x:c>
      <x:c r="S45" s="13">
        <x:f>IF($F45="","",INDEX(CONFIG_REFERENCIA!$B$3:$B$6,MATCH($F45,CONFIG_REFERENCIA!$A$3:$A$6,0)))</x:f>
      </x:c>
      <x:c r="T45" s="14" t="n"/>
      <x:c r="U45" s="14" t="n"/>
      <x:c r="V45" s="14" t="n"/>
      <x:c r="W45" s="14" t="n"/>
      <x:c r="X45" s="15">
        <x:f>IF(COUNTA($T45:$W45)&lt;4,"",$S45*($O45*$T45+$P45*$U45+$Q45*$V45+$R45*$W45))</x:f>
      </x:c>
      <x:c r="Y45" s="14" t="n"/>
      <x:c r="Z45" s="14" t="n"/>
      <x:c r="AA45" s="16" t="n"/>
      <x:c r="AB45" s="16" t="n"/>
      <x:c r="AC45" s="11" t="n"/>
      <x:c r="AD45" s="11" t="n"/>
    </x:row>
    <x:row r="46">
      <x:c r="A46" s="11" t="n"/>
      <x:c r="B46" s="11" t="n"/>
      <x:c r="C46" s="11" t="n"/>
      <x:c r="D46" s="11" t="n"/>
      <x:c r="E46" s="11" t="n"/>
      <x:c r="F46" s="11" t="n"/>
      <x:c r="G46" s="11" t="n"/>
      <x:c r="H46" s="11" t="n"/>
      <x:c r="I46" s="11" t="n"/>
      <x:c r="J46" s="11" t="n"/>
      <x:c r="K46" s="11" t="n"/>
      <x:c r="L46" s="11" t="n"/>
      <x:c r="M46" s="11" t="n"/>
      <x:c r="N46" s="11" t="n"/>
      <x:c r="O46" s="12">
        <x:f>CONFIG_REFERENCIA!$E$3</x:f>
        <x:v>0.35</x:v>
      </x:c>
      <x:c r="P46" s="12">
        <x:f>CONFIG_REFERENCIA!$E$4</x:f>
        <x:v>0.25</x:v>
      </x:c>
      <x:c r="Q46" s="12">
        <x:f>CONFIG_REFERENCIA!$E$5</x:f>
        <x:v>0.25</x:v>
      </x:c>
      <x:c r="R46" s="12">
        <x:f>CONFIG_REFERENCIA!$E$6</x:f>
        <x:v>0.1</x:v>
      </x:c>
      <x:c r="S46" s="13">
        <x:f>IF($F46="","",INDEX(CONFIG_REFERENCIA!$B$3:$B$6,MATCH($F46,CONFIG_REFERENCIA!$A$3:$A$6,0)))</x:f>
      </x:c>
      <x:c r="T46" s="14" t="n"/>
      <x:c r="U46" s="14" t="n"/>
      <x:c r="V46" s="14" t="n"/>
      <x:c r="W46" s="14" t="n"/>
      <x:c r="X46" s="15">
        <x:f>IF(COUNTA($T46:$W46)&lt;4,"",$S46*($O46*$T46+$P46*$U46+$Q46*$V46+$R46*$W46))</x:f>
      </x:c>
      <x:c r="Y46" s="14" t="n"/>
      <x:c r="Z46" s="14" t="n"/>
      <x:c r="AA46" s="16" t="n"/>
      <x:c r="AB46" s="16" t="n"/>
      <x:c r="AC46" s="11" t="n"/>
      <x:c r="AD46" s="11" t="n"/>
    </x:row>
    <x:row r="47">
      <x:c r="A47" s="11" t="n"/>
      <x:c r="B47" s="11" t="n"/>
      <x:c r="C47" s="11" t="n"/>
      <x:c r="D47" s="11" t="n"/>
      <x:c r="E47" s="11" t="n"/>
      <x:c r="F47" s="11" t="n"/>
      <x:c r="G47" s="11" t="n"/>
      <x:c r="H47" s="11" t="n"/>
      <x:c r="I47" s="11" t="n"/>
      <x:c r="J47" s="11" t="n"/>
      <x:c r="K47" s="11" t="n"/>
      <x:c r="L47" s="11" t="n"/>
      <x:c r="M47" s="11" t="n"/>
      <x:c r="N47" s="11" t="n"/>
      <x:c r="O47" s="12">
        <x:f>CONFIG_REFERENCIA!$E$3</x:f>
        <x:v>0.35</x:v>
      </x:c>
      <x:c r="P47" s="12">
        <x:f>CONFIG_REFERENCIA!$E$4</x:f>
        <x:v>0.25</x:v>
      </x:c>
      <x:c r="Q47" s="12">
        <x:f>CONFIG_REFERENCIA!$E$5</x:f>
        <x:v>0.25</x:v>
      </x:c>
      <x:c r="R47" s="12">
        <x:f>CONFIG_REFERENCIA!$E$6</x:f>
        <x:v>0.1</x:v>
      </x:c>
      <x:c r="S47" s="13">
        <x:f>IF($F47="","",INDEX(CONFIG_REFERENCIA!$B$3:$B$6,MATCH($F47,CONFIG_REFERENCIA!$A$3:$A$6,0)))</x:f>
      </x:c>
      <x:c r="T47" s="14" t="n"/>
      <x:c r="U47" s="14" t="n"/>
      <x:c r="V47" s="14" t="n"/>
      <x:c r="W47" s="14" t="n"/>
      <x:c r="X47" s="15">
        <x:f>IF(COUNTA($T47:$W47)&lt;4,"",$S47*($O47*$T47+$P47*$U47+$Q47*$V47+$R47*$W47))</x:f>
      </x:c>
      <x:c r="Y47" s="14" t="n"/>
      <x:c r="Z47" s="14" t="n"/>
      <x:c r="AA47" s="16" t="n"/>
      <x:c r="AB47" s="16" t="n"/>
      <x:c r="AC47" s="11" t="n"/>
      <x:c r="AD47" s="11" t="n"/>
    </x:row>
    <x:row r="48">
      <x:c r="A48" s="11" t="n"/>
      <x:c r="B48" s="11" t="n"/>
      <x:c r="C48" s="11" t="n"/>
      <x:c r="D48" s="11" t="n"/>
      <x:c r="E48" s="11" t="n"/>
      <x:c r="F48" s="11" t="n"/>
      <x:c r="G48" s="11" t="n"/>
      <x:c r="H48" s="11" t="n"/>
      <x:c r="I48" s="11" t="n"/>
      <x:c r="J48" s="11" t="n"/>
      <x:c r="K48" s="11" t="n"/>
      <x:c r="L48" s="11" t="n"/>
      <x:c r="M48" s="11" t="n"/>
      <x:c r="N48" s="11" t="n"/>
      <x:c r="O48" s="12">
        <x:f>CONFIG_REFERENCIA!$E$3</x:f>
        <x:v>0.35</x:v>
      </x:c>
      <x:c r="P48" s="12">
        <x:f>CONFIG_REFERENCIA!$E$4</x:f>
        <x:v>0.25</x:v>
      </x:c>
      <x:c r="Q48" s="12">
        <x:f>CONFIG_REFERENCIA!$E$5</x:f>
        <x:v>0.25</x:v>
      </x:c>
      <x:c r="R48" s="12">
        <x:f>CONFIG_REFERENCIA!$E$6</x:f>
        <x:v>0.1</x:v>
      </x:c>
      <x:c r="S48" s="13">
        <x:f>IF($F48="","",INDEX(CONFIG_REFERENCIA!$B$3:$B$6,MATCH($F48,CONFIG_REFERENCIA!$A$3:$A$6,0)))</x:f>
      </x:c>
      <x:c r="T48" s="14" t="n"/>
      <x:c r="U48" s="14" t="n"/>
      <x:c r="V48" s="14" t="n"/>
      <x:c r="W48" s="14" t="n"/>
      <x:c r="X48" s="15">
        <x:f>IF(COUNTA($T48:$W48)&lt;4,"",$S48*($O48*$T48+$P48*$U48+$Q48*$V48+$R48*$W48))</x:f>
      </x:c>
      <x:c r="Y48" s="14" t="n"/>
      <x:c r="Z48" s="14" t="n"/>
      <x:c r="AA48" s="16" t="n"/>
      <x:c r="AB48" s="16" t="n"/>
      <x:c r="AC48" s="11" t="n"/>
      <x:c r="AD48" s="11" t="n"/>
    </x:row>
    <x:row r="49">
      <x:c r="A49" s="11" t="n"/>
      <x:c r="B49" s="11" t="n"/>
      <x:c r="C49" s="11" t="n"/>
      <x:c r="D49" s="11" t="n"/>
      <x:c r="E49" s="11" t="n"/>
      <x:c r="F49" s="11" t="n"/>
      <x:c r="G49" s="11" t="n"/>
      <x:c r="H49" s="11" t="n"/>
      <x:c r="I49" s="11" t="n"/>
      <x:c r="J49" s="11" t="n"/>
      <x:c r="K49" s="11" t="n"/>
      <x:c r="L49" s="11" t="n"/>
      <x:c r="M49" s="11" t="n"/>
      <x:c r="N49" s="11" t="n"/>
      <x:c r="O49" s="12">
        <x:f>CONFIG_REFERENCIA!$E$3</x:f>
        <x:v>0.35</x:v>
      </x:c>
      <x:c r="P49" s="12">
        <x:f>CONFIG_REFERENCIA!$E$4</x:f>
        <x:v>0.25</x:v>
      </x:c>
      <x:c r="Q49" s="12">
        <x:f>CONFIG_REFERENCIA!$E$5</x:f>
        <x:v>0.25</x:v>
      </x:c>
      <x:c r="R49" s="12">
        <x:f>CONFIG_REFERENCIA!$E$6</x:f>
        <x:v>0.1</x:v>
      </x:c>
      <x:c r="S49" s="13">
        <x:f>IF($F49="","",INDEX(CONFIG_REFERENCIA!$B$3:$B$6,MATCH($F49,CONFIG_REFERENCIA!$A$3:$A$6,0)))</x:f>
      </x:c>
      <x:c r="T49" s="14" t="n"/>
      <x:c r="U49" s="14" t="n"/>
      <x:c r="V49" s="14" t="n"/>
      <x:c r="W49" s="14" t="n"/>
      <x:c r="X49" s="15">
        <x:f>IF(COUNTA($T49:$W49)&lt;4,"",$S49*($O49*$T49+$P49*$U49+$Q49*$V49+$R49*$W49))</x:f>
      </x:c>
      <x:c r="Y49" s="14" t="n"/>
      <x:c r="Z49" s="14" t="n"/>
      <x:c r="AA49" s="16" t="n"/>
      <x:c r="AB49" s="16" t="n"/>
      <x:c r="AC49" s="11" t="n"/>
      <x:c r="AD49" s="11" t="n"/>
    </x:row>
    <x:row r="50">
      <x:c r="A50" s="11" t="n"/>
      <x:c r="B50" s="11" t="n"/>
      <x:c r="C50" s="11" t="n"/>
      <x:c r="D50" s="11" t="n"/>
      <x:c r="E50" s="11" t="n"/>
      <x:c r="F50" s="11" t="n"/>
      <x:c r="G50" s="11" t="n"/>
      <x:c r="H50" s="11" t="n"/>
      <x:c r="I50" s="11" t="n"/>
      <x:c r="J50" s="11" t="n"/>
      <x:c r="K50" s="11" t="n"/>
      <x:c r="L50" s="11" t="n"/>
      <x:c r="M50" s="11" t="n"/>
      <x:c r="N50" s="11" t="n"/>
      <x:c r="O50" s="12">
        <x:f>CONFIG_REFERENCIA!$E$3</x:f>
        <x:v>0.35</x:v>
      </x:c>
      <x:c r="P50" s="12">
        <x:f>CONFIG_REFERENCIA!$E$4</x:f>
        <x:v>0.25</x:v>
      </x:c>
      <x:c r="Q50" s="12">
        <x:f>CONFIG_REFERENCIA!$E$5</x:f>
        <x:v>0.25</x:v>
      </x:c>
      <x:c r="R50" s="12">
        <x:f>CONFIG_REFERENCIA!$E$6</x:f>
        <x:v>0.1</x:v>
      </x:c>
      <x:c r="S50" s="13">
        <x:f>IF($F50="","",INDEX(CONFIG_REFERENCIA!$B$3:$B$6,MATCH($F50,CONFIG_REFERENCIA!$A$3:$A$6,0)))</x:f>
      </x:c>
      <x:c r="T50" s="14" t="n"/>
      <x:c r="U50" s="14" t="n"/>
      <x:c r="V50" s="14" t="n"/>
      <x:c r="W50" s="14" t="n"/>
      <x:c r="X50" s="15">
        <x:f>IF(COUNTA($T50:$W50)&lt;4,"",$S50*($O50*$T50+$P50*$U50+$Q50*$V50+$R50*$W50))</x:f>
      </x:c>
      <x:c r="Y50" s="14" t="n"/>
      <x:c r="Z50" s="14" t="n"/>
      <x:c r="AA50" s="16" t="n"/>
      <x:c r="AB50" s="16" t="n"/>
      <x:c r="AC50" s="11" t="n"/>
      <x:c r="AD50" s="11" t="n"/>
    </x:row>
    <x:row r="51">
      <x:c r="A51" s="11" t="n"/>
      <x:c r="B51" s="11" t="n"/>
      <x:c r="C51" s="11" t="n"/>
      <x:c r="D51" s="11" t="n"/>
      <x:c r="E51" s="11" t="n"/>
      <x:c r="F51" s="11" t="n"/>
      <x:c r="G51" s="11" t="n"/>
      <x:c r="H51" s="11" t="n"/>
      <x:c r="I51" s="11" t="n"/>
      <x:c r="J51" s="11" t="n"/>
      <x:c r="K51" s="11" t="n"/>
      <x:c r="L51" s="11" t="n"/>
      <x:c r="M51" s="11" t="n"/>
      <x:c r="N51" s="11" t="n"/>
      <x:c r="O51" s="12">
        <x:f>CONFIG_REFERENCIA!$E$3</x:f>
        <x:v>0.35</x:v>
      </x:c>
      <x:c r="P51" s="12">
        <x:f>CONFIG_REFERENCIA!$E$4</x:f>
        <x:v>0.25</x:v>
      </x:c>
      <x:c r="Q51" s="12">
        <x:f>CONFIG_REFERENCIA!$E$5</x:f>
        <x:v>0.25</x:v>
      </x:c>
      <x:c r="R51" s="12">
        <x:f>CONFIG_REFERENCIA!$E$6</x:f>
        <x:v>0.1</x:v>
      </x:c>
      <x:c r="S51" s="13">
        <x:f>IF($F51="","",INDEX(CONFIG_REFERENCIA!$B$3:$B$6,MATCH($F51,CONFIG_REFERENCIA!$A$3:$A$6,0)))</x:f>
      </x:c>
      <x:c r="T51" s="14" t="n"/>
      <x:c r="U51" s="14" t="n"/>
      <x:c r="V51" s="14" t="n"/>
      <x:c r="W51" s="14" t="n"/>
      <x:c r="X51" s="15">
        <x:f>IF(COUNTA($T51:$W51)&lt;4,"",$S51*($O51*$T51+$P51*$U51+$Q51*$V51+$R51*$W51))</x:f>
      </x:c>
      <x:c r="Y51" s="14" t="n"/>
      <x:c r="Z51" s="14" t="n"/>
      <x:c r="AA51" s="16" t="n"/>
      <x:c r="AB51" s="16" t="n"/>
      <x:c r="AC51" s="11" t="n"/>
      <x:c r="AD51" s="11" t="n"/>
    </x:row>
    <x:row r="52">
      <x:c r="A52" s="11" t="n"/>
      <x:c r="B52" s="11" t="n"/>
      <x:c r="C52" s="11" t="n"/>
      <x:c r="D52" s="11" t="n"/>
      <x:c r="E52" s="11" t="n"/>
      <x:c r="F52" s="11" t="n"/>
      <x:c r="G52" s="11" t="n"/>
      <x:c r="H52" s="11" t="n"/>
      <x:c r="I52" s="11" t="n"/>
      <x:c r="J52" s="11" t="n"/>
      <x:c r="K52" s="11" t="n"/>
      <x:c r="L52" s="11" t="n"/>
      <x:c r="M52" s="11" t="n"/>
      <x:c r="N52" s="11" t="n"/>
      <x:c r="O52" s="12">
        <x:f>CONFIG_REFERENCIA!$E$3</x:f>
        <x:v>0.35</x:v>
      </x:c>
      <x:c r="P52" s="12">
        <x:f>CONFIG_REFERENCIA!$E$4</x:f>
        <x:v>0.25</x:v>
      </x:c>
      <x:c r="Q52" s="12">
        <x:f>CONFIG_REFERENCIA!$E$5</x:f>
        <x:v>0.25</x:v>
      </x:c>
      <x:c r="R52" s="12">
        <x:f>CONFIG_REFERENCIA!$E$6</x:f>
        <x:v>0.1</x:v>
      </x:c>
      <x:c r="S52" s="13">
        <x:f>IF($F52="","",INDEX(CONFIG_REFERENCIA!$B$3:$B$6,MATCH($F52,CONFIG_REFERENCIA!$A$3:$A$6,0)))</x:f>
      </x:c>
      <x:c r="T52" s="14" t="n"/>
      <x:c r="U52" s="14" t="n"/>
      <x:c r="V52" s="14" t="n"/>
      <x:c r="W52" s="14" t="n"/>
      <x:c r="X52" s="15">
        <x:f>IF(COUNTA($T52:$W52)&lt;4,"",$S52*($O52*$T52+$P52*$U52+$Q52*$V52+$R52*$W52))</x:f>
      </x:c>
      <x:c r="Y52" s="14" t="n"/>
      <x:c r="Z52" s="14" t="n"/>
      <x:c r="AA52" s="16" t="n"/>
      <x:c r="AB52" s="16" t="n"/>
      <x:c r="AC52" s="11" t="n"/>
      <x:c r="AD52" s="11" t="n"/>
    </x:row>
    <x:row r="53">
      <x:c r="A53" s="11" t="n"/>
      <x:c r="B53" s="11" t="n"/>
      <x:c r="C53" s="11" t="n"/>
      <x:c r="D53" s="11" t="n"/>
      <x:c r="E53" s="11" t="n"/>
      <x:c r="F53" s="11" t="n"/>
      <x:c r="G53" s="11" t="n"/>
      <x:c r="H53" s="11" t="n"/>
      <x:c r="I53" s="11" t="n"/>
      <x:c r="J53" s="11" t="n"/>
      <x:c r="K53" s="11" t="n"/>
      <x:c r="L53" s="11" t="n"/>
      <x:c r="M53" s="11" t="n"/>
      <x:c r="N53" s="11" t="n"/>
      <x:c r="O53" s="12">
        <x:f>CONFIG_REFERENCIA!$E$3</x:f>
        <x:v>0.35</x:v>
      </x:c>
      <x:c r="P53" s="12">
        <x:f>CONFIG_REFERENCIA!$E$4</x:f>
        <x:v>0.25</x:v>
      </x:c>
      <x:c r="Q53" s="12">
        <x:f>CONFIG_REFERENCIA!$E$5</x:f>
        <x:v>0.25</x:v>
      </x:c>
      <x:c r="R53" s="12">
        <x:f>CONFIG_REFERENCIA!$E$6</x:f>
        <x:v>0.1</x:v>
      </x:c>
      <x:c r="S53" s="13">
        <x:f>IF($F53="","",INDEX(CONFIG_REFERENCIA!$B$3:$B$6,MATCH($F53,CONFIG_REFERENCIA!$A$3:$A$6,0)))</x:f>
      </x:c>
      <x:c r="T53" s="14" t="n"/>
      <x:c r="U53" s="14" t="n"/>
      <x:c r="V53" s="14" t="n"/>
      <x:c r="W53" s="14" t="n"/>
      <x:c r="X53" s="15">
        <x:f>IF(COUNTA($T53:$W53)&lt;4,"",$S53*($O53*$T53+$P53*$U53+$Q53*$V53+$R53*$W53))</x:f>
      </x:c>
      <x:c r="Y53" s="14" t="n"/>
      <x:c r="Z53" s="14" t="n"/>
      <x:c r="AA53" s="16" t="n"/>
      <x:c r="AB53" s="16" t="n"/>
      <x:c r="AC53" s="11" t="n"/>
      <x:c r="AD53" s="11" t="n"/>
    </x:row>
    <x:row r="54">
      <x:c r="A54" s="11" t="n"/>
      <x:c r="B54" s="11" t="n"/>
      <x:c r="C54" s="11" t="n"/>
      <x:c r="D54" s="11" t="n"/>
      <x:c r="E54" s="11" t="n"/>
      <x:c r="F54" s="11" t="n"/>
      <x:c r="G54" s="11" t="n"/>
      <x:c r="H54" s="11" t="n"/>
      <x:c r="I54" s="11" t="n"/>
      <x:c r="J54" s="11" t="n"/>
      <x:c r="K54" s="11" t="n"/>
      <x:c r="L54" s="11" t="n"/>
      <x:c r="M54" s="11" t="n"/>
      <x:c r="N54" s="11" t="n"/>
      <x:c r="O54" s="12">
        <x:f>CONFIG_REFERENCIA!$E$3</x:f>
        <x:v>0.35</x:v>
      </x:c>
      <x:c r="P54" s="12">
        <x:f>CONFIG_REFERENCIA!$E$4</x:f>
        <x:v>0.25</x:v>
      </x:c>
      <x:c r="Q54" s="12">
        <x:f>CONFIG_REFERENCIA!$E$5</x:f>
        <x:v>0.25</x:v>
      </x:c>
      <x:c r="R54" s="12">
        <x:f>CONFIG_REFERENCIA!$E$6</x:f>
        <x:v>0.1</x:v>
      </x:c>
      <x:c r="S54" s="13">
        <x:f>IF($F54="","",INDEX(CONFIG_REFERENCIA!$B$3:$B$6,MATCH($F54,CONFIG_REFERENCIA!$A$3:$A$6,0)))</x:f>
      </x:c>
      <x:c r="T54" s="14" t="n"/>
      <x:c r="U54" s="14" t="n"/>
      <x:c r="V54" s="14" t="n"/>
      <x:c r="W54" s="14" t="n"/>
      <x:c r="X54" s="15">
        <x:f>IF(COUNTA($T54:$W54)&lt;4,"",$S54*($O54*$T54+$P54*$U54+$Q54*$V54+$R54*$W54))</x:f>
      </x:c>
      <x:c r="Y54" s="14" t="n"/>
      <x:c r="Z54" s="14" t="n"/>
      <x:c r="AA54" s="16" t="n"/>
      <x:c r="AB54" s="16" t="n"/>
      <x:c r="AC54" s="11" t="n"/>
      <x:c r="AD54" s="11" t="n"/>
    </x:row>
    <x:row r="55">
      <x:c r="A55" s="11" t="n"/>
      <x:c r="B55" s="11" t="n"/>
      <x:c r="C55" s="11" t="n"/>
      <x:c r="D55" s="11" t="n"/>
      <x:c r="E55" s="11" t="n"/>
      <x:c r="F55" s="11" t="n"/>
      <x:c r="G55" s="11" t="n"/>
      <x:c r="H55" s="11" t="n"/>
      <x:c r="I55" s="11" t="n"/>
      <x:c r="J55" s="11" t="n"/>
      <x:c r="K55" s="11" t="n"/>
      <x:c r="L55" s="11" t="n"/>
      <x:c r="M55" s="11" t="n"/>
      <x:c r="N55" s="11" t="n"/>
      <x:c r="O55" s="12">
        <x:f>CONFIG_REFERENCIA!$E$3</x:f>
        <x:v>0.35</x:v>
      </x:c>
      <x:c r="P55" s="12">
        <x:f>CONFIG_REFERENCIA!$E$4</x:f>
        <x:v>0.25</x:v>
      </x:c>
      <x:c r="Q55" s="12">
        <x:f>CONFIG_REFERENCIA!$E$5</x:f>
        <x:v>0.25</x:v>
      </x:c>
      <x:c r="R55" s="12">
        <x:f>CONFIG_REFERENCIA!$E$6</x:f>
        <x:v>0.1</x:v>
      </x:c>
      <x:c r="S55" s="13">
        <x:f>IF($F55="","",INDEX(CONFIG_REFERENCIA!$B$3:$B$6,MATCH($F55,CONFIG_REFERENCIA!$A$3:$A$6,0)))</x:f>
      </x:c>
      <x:c r="T55" s="14" t="n"/>
      <x:c r="U55" s="14" t="n"/>
      <x:c r="V55" s="14" t="n"/>
      <x:c r="W55" s="14" t="n"/>
      <x:c r="X55" s="15">
        <x:f>IF(COUNTA($T55:$W55)&lt;4,"",$S55*($O55*$T55+$P55*$U55+$Q55*$V55+$R55*$W55))</x:f>
      </x:c>
      <x:c r="Y55" s="14" t="n"/>
      <x:c r="Z55" s="14" t="n"/>
      <x:c r="AA55" s="16" t="n"/>
      <x:c r="AB55" s="16" t="n"/>
      <x:c r="AC55" s="11" t="n"/>
      <x:c r="AD55" s="11" t="n"/>
    </x:row>
    <x:row r="56">
      <x:c r="A56" s="11" t="n"/>
      <x:c r="B56" s="11" t="n"/>
      <x:c r="C56" s="11" t="n"/>
      <x:c r="D56" s="11" t="n"/>
      <x:c r="E56" s="11" t="n"/>
      <x:c r="F56" s="11" t="n"/>
      <x:c r="G56" s="11" t="n"/>
      <x:c r="H56" s="11" t="n"/>
      <x:c r="I56" s="11" t="n"/>
      <x:c r="J56" s="11" t="n"/>
      <x:c r="K56" s="11" t="n"/>
      <x:c r="L56" s="11" t="n"/>
      <x:c r="M56" s="11" t="n"/>
      <x:c r="N56" s="11" t="n"/>
      <x:c r="O56" s="12">
        <x:f>CONFIG_REFERENCIA!$E$3</x:f>
        <x:v>0.35</x:v>
      </x:c>
      <x:c r="P56" s="12">
        <x:f>CONFIG_REFERENCIA!$E$4</x:f>
        <x:v>0.25</x:v>
      </x:c>
      <x:c r="Q56" s="12">
        <x:f>CONFIG_REFERENCIA!$E$5</x:f>
        <x:v>0.25</x:v>
      </x:c>
      <x:c r="R56" s="12">
        <x:f>CONFIG_REFERENCIA!$E$6</x:f>
        <x:v>0.1</x:v>
      </x:c>
      <x:c r="S56" s="13">
        <x:f>IF($F56="","",INDEX(CONFIG_REFERENCIA!$B$3:$B$6,MATCH($F56,CONFIG_REFERENCIA!$A$3:$A$6,0)))</x:f>
      </x:c>
      <x:c r="T56" s="14" t="n"/>
      <x:c r="U56" s="14" t="n"/>
      <x:c r="V56" s="14" t="n"/>
      <x:c r="W56" s="14" t="n"/>
      <x:c r="X56" s="15">
        <x:f>IF(COUNTA($T56:$W56)&lt;4,"",$S56*($O56*$T56+$P56*$U56+$Q56*$V56+$R56*$W56))</x:f>
      </x:c>
      <x:c r="Y56" s="14" t="n"/>
      <x:c r="Z56" s="14" t="n"/>
      <x:c r="AA56" s="16" t="n"/>
      <x:c r="AB56" s="16" t="n"/>
      <x:c r="AC56" s="11" t="n"/>
      <x:c r="AD56" s="11" t="n"/>
    </x:row>
    <x:row r="57">
      <x:c r="A57" s="11" t="n"/>
      <x:c r="B57" s="11" t="n"/>
      <x:c r="C57" s="11" t="n"/>
      <x:c r="D57" s="11" t="n"/>
      <x:c r="E57" s="11" t="n"/>
      <x:c r="F57" s="11" t="n"/>
      <x:c r="G57" s="11" t="n"/>
      <x:c r="H57" s="11" t="n"/>
      <x:c r="I57" s="11" t="n"/>
      <x:c r="J57" s="11" t="n"/>
      <x:c r="K57" s="11" t="n"/>
      <x:c r="L57" s="11" t="n"/>
      <x:c r="M57" s="11" t="n"/>
      <x:c r="N57" s="11" t="n"/>
      <x:c r="O57" s="12">
        <x:f>CONFIG_REFERENCIA!$E$3</x:f>
        <x:v>0.35</x:v>
      </x:c>
      <x:c r="P57" s="12">
        <x:f>CONFIG_REFERENCIA!$E$4</x:f>
        <x:v>0.25</x:v>
      </x:c>
      <x:c r="Q57" s="12">
        <x:f>CONFIG_REFERENCIA!$E$5</x:f>
        <x:v>0.25</x:v>
      </x:c>
      <x:c r="R57" s="12">
        <x:f>CONFIG_REFERENCIA!$E$6</x:f>
        <x:v>0.1</x:v>
      </x:c>
      <x:c r="S57" s="13">
        <x:f>IF($F57="","",INDEX(CONFIG_REFERENCIA!$B$3:$B$6,MATCH($F57,CONFIG_REFERENCIA!$A$3:$A$6,0)))</x:f>
      </x:c>
      <x:c r="T57" s="14" t="n"/>
      <x:c r="U57" s="14" t="n"/>
      <x:c r="V57" s="14" t="n"/>
      <x:c r="W57" s="14" t="n"/>
      <x:c r="X57" s="15">
        <x:f>IF(COUNTA($T57:$W57)&lt;4,"",$S57*($O57*$T57+$P57*$U57+$Q57*$V57+$R57*$W57))</x:f>
      </x:c>
      <x:c r="Y57" s="14" t="n"/>
      <x:c r="Z57" s="14" t="n"/>
      <x:c r="AA57" s="16" t="n"/>
      <x:c r="AB57" s="16" t="n"/>
      <x:c r="AC57" s="11" t="n"/>
      <x:c r="AD57" s="11" t="n"/>
    </x:row>
    <x:row r="58">
      <x:c r="A58" s="11" t="n"/>
      <x:c r="B58" s="11" t="n"/>
      <x:c r="C58" s="11" t="n"/>
      <x:c r="D58" s="11" t="n"/>
      <x:c r="E58" s="11" t="n"/>
      <x:c r="F58" s="11" t="n"/>
      <x:c r="G58" s="11" t="n"/>
      <x:c r="H58" s="11" t="n"/>
      <x:c r="I58" s="11" t="n"/>
      <x:c r="J58" s="11" t="n"/>
      <x:c r="K58" s="11" t="n"/>
      <x:c r="L58" s="11" t="n"/>
      <x:c r="M58" s="11" t="n"/>
      <x:c r="N58" s="11" t="n"/>
      <x:c r="O58" s="12">
        <x:f>CONFIG_REFERENCIA!$E$3</x:f>
        <x:v>0.35</x:v>
      </x:c>
      <x:c r="P58" s="12">
        <x:f>CONFIG_REFERENCIA!$E$4</x:f>
        <x:v>0.25</x:v>
      </x:c>
      <x:c r="Q58" s="12">
        <x:f>CONFIG_REFERENCIA!$E$5</x:f>
        <x:v>0.25</x:v>
      </x:c>
      <x:c r="R58" s="12">
        <x:f>CONFIG_REFERENCIA!$E$6</x:f>
        <x:v>0.1</x:v>
      </x:c>
      <x:c r="S58" s="13">
        <x:f>IF($F58="","",INDEX(CONFIG_REFERENCIA!$B$3:$B$6,MATCH($F58,CONFIG_REFERENCIA!$A$3:$A$6,0)))</x:f>
      </x:c>
      <x:c r="T58" s="14" t="n"/>
      <x:c r="U58" s="14" t="n"/>
      <x:c r="V58" s="14" t="n"/>
      <x:c r="W58" s="14" t="n"/>
      <x:c r="X58" s="15">
        <x:f>IF(COUNTA($T58:$W58)&lt;4,"",$S58*($O58*$T58+$P58*$U58+$Q58*$V58+$R58*$W58))</x:f>
      </x:c>
      <x:c r="Y58" s="14" t="n"/>
      <x:c r="Z58" s="14" t="n"/>
      <x:c r="AA58" s="16" t="n"/>
      <x:c r="AB58" s="16" t="n"/>
      <x:c r="AC58" s="11" t="n"/>
      <x:c r="AD58" s="11" t="n"/>
    </x:row>
    <x:row r="59">
      <x:c r="A59" s="11" t="n"/>
      <x:c r="B59" s="11" t="n"/>
      <x:c r="C59" s="11" t="n"/>
      <x:c r="D59" s="11" t="n"/>
      <x:c r="E59" s="11" t="n"/>
      <x:c r="F59" s="11" t="n"/>
      <x:c r="G59" s="11" t="n"/>
      <x:c r="H59" s="11" t="n"/>
      <x:c r="I59" s="11" t="n"/>
      <x:c r="J59" s="11" t="n"/>
      <x:c r="K59" s="11" t="n"/>
      <x:c r="L59" s="11" t="n"/>
      <x:c r="M59" s="11" t="n"/>
      <x:c r="N59" s="11" t="n"/>
      <x:c r="O59" s="12">
        <x:f>CONFIG_REFERENCIA!$E$3</x:f>
        <x:v>0.35</x:v>
      </x:c>
      <x:c r="P59" s="12">
        <x:f>CONFIG_REFERENCIA!$E$4</x:f>
        <x:v>0.25</x:v>
      </x:c>
      <x:c r="Q59" s="12">
        <x:f>CONFIG_REFERENCIA!$E$5</x:f>
        <x:v>0.25</x:v>
      </x:c>
      <x:c r="R59" s="12">
        <x:f>CONFIG_REFERENCIA!$E$6</x:f>
        <x:v>0.1</x:v>
      </x:c>
      <x:c r="S59" s="13">
        <x:f>IF($F59="","",INDEX(CONFIG_REFERENCIA!$B$3:$B$6,MATCH($F59,CONFIG_REFERENCIA!$A$3:$A$6,0)))</x:f>
      </x:c>
      <x:c r="T59" s="14" t="n"/>
      <x:c r="U59" s="14" t="n"/>
      <x:c r="V59" s="14" t="n"/>
      <x:c r="W59" s="14" t="n"/>
      <x:c r="X59" s="15">
        <x:f>IF(COUNTA($T59:$W59)&lt;4,"",$S59*($O59*$T59+$P59*$U59+$Q59*$V59+$R59*$W59))</x:f>
      </x:c>
      <x:c r="Y59" s="14" t="n"/>
      <x:c r="Z59" s="14" t="n"/>
      <x:c r="AA59" s="16" t="n"/>
      <x:c r="AB59" s="16" t="n"/>
      <x:c r="AC59" s="11" t="n"/>
      <x:c r="AD59" s="11" t="n"/>
    </x:row>
    <x:row r="60">
      <x:c r="A60" s="11" t="n"/>
      <x:c r="B60" s="11" t="n"/>
      <x:c r="C60" s="11" t="n"/>
      <x:c r="D60" s="11" t="n"/>
      <x:c r="E60" s="11" t="n"/>
      <x:c r="F60" s="11" t="n"/>
      <x:c r="G60" s="11" t="n"/>
      <x:c r="H60" s="11" t="n"/>
      <x:c r="I60" s="11" t="n"/>
      <x:c r="J60" s="11" t="n"/>
      <x:c r="K60" s="11" t="n"/>
      <x:c r="L60" s="11" t="n"/>
      <x:c r="M60" s="11" t="n"/>
      <x:c r="N60" s="11" t="n"/>
      <x:c r="O60" s="12">
        <x:f>CONFIG_REFERENCIA!$E$3</x:f>
        <x:v>0.35</x:v>
      </x:c>
      <x:c r="P60" s="12">
        <x:f>CONFIG_REFERENCIA!$E$4</x:f>
        <x:v>0.25</x:v>
      </x:c>
      <x:c r="Q60" s="12">
        <x:f>CONFIG_REFERENCIA!$E$5</x:f>
        <x:v>0.25</x:v>
      </x:c>
      <x:c r="R60" s="12">
        <x:f>CONFIG_REFERENCIA!$E$6</x:f>
        <x:v>0.1</x:v>
      </x:c>
      <x:c r="S60" s="13">
        <x:f>IF($F60="","",INDEX(CONFIG_REFERENCIA!$B$3:$B$6,MATCH($F60,CONFIG_REFERENCIA!$A$3:$A$6,0)))</x:f>
      </x:c>
      <x:c r="T60" s="14" t="n"/>
      <x:c r="U60" s="14" t="n"/>
      <x:c r="V60" s="14" t="n"/>
      <x:c r="W60" s="14" t="n"/>
      <x:c r="X60" s="15">
        <x:f>IF(COUNTA($T60:$W60)&lt;4,"",$S60*($O60*$T60+$P60*$U60+$Q60*$V60+$R60*$W60))</x:f>
      </x:c>
      <x:c r="Y60" s="14" t="n"/>
      <x:c r="Z60" s="14" t="n"/>
      <x:c r="AA60" s="16" t="n"/>
      <x:c r="AB60" s="16" t="n"/>
      <x:c r="AC60" s="11" t="n"/>
      <x:c r="AD60" s="11" t="n"/>
    </x:row>
    <x:row r="61">
      <x:c r="A61" s="11" t="n"/>
      <x:c r="B61" s="11" t="n"/>
      <x:c r="C61" s="11" t="n"/>
      <x:c r="D61" s="11" t="n"/>
      <x:c r="E61" s="11" t="n"/>
      <x:c r="F61" s="11" t="n"/>
      <x:c r="G61" s="11" t="n"/>
      <x:c r="H61" s="11" t="n"/>
      <x:c r="I61" s="11" t="n"/>
      <x:c r="J61" s="11" t="n"/>
      <x:c r="K61" s="11" t="n"/>
      <x:c r="L61" s="11" t="n"/>
      <x:c r="M61" s="11" t="n"/>
      <x:c r="N61" s="11" t="n"/>
      <x:c r="O61" s="12">
        <x:f>CONFIG_REFERENCIA!$E$3</x:f>
        <x:v>0.35</x:v>
      </x:c>
      <x:c r="P61" s="12">
        <x:f>CONFIG_REFERENCIA!$E$4</x:f>
        <x:v>0.25</x:v>
      </x:c>
      <x:c r="Q61" s="12">
        <x:f>CONFIG_REFERENCIA!$E$5</x:f>
        <x:v>0.25</x:v>
      </x:c>
      <x:c r="R61" s="12">
        <x:f>CONFIG_REFERENCIA!$E$6</x:f>
        <x:v>0.1</x:v>
      </x:c>
      <x:c r="S61" s="13">
        <x:f>IF($F61="","",INDEX(CONFIG_REFERENCIA!$B$3:$B$6,MATCH($F61,CONFIG_REFERENCIA!$A$3:$A$6,0)))</x:f>
      </x:c>
      <x:c r="T61" s="14" t="n"/>
      <x:c r="U61" s="14" t="n"/>
      <x:c r="V61" s="14" t="n"/>
      <x:c r="W61" s="14" t="n"/>
      <x:c r="X61" s="15">
        <x:f>IF(COUNTA($T61:$W61)&lt;4,"",$S61*($O61*$T61+$P61*$U61+$Q61*$V61+$R61*$W61))</x:f>
      </x:c>
      <x:c r="Y61" s="14" t="n"/>
      <x:c r="Z61" s="14" t="n"/>
      <x:c r="AA61" s="16" t="n"/>
      <x:c r="AB61" s="16" t="n"/>
      <x:c r="AC61" s="11" t="n"/>
      <x:c r="AD61" s="11" t="n"/>
    </x:row>
    <x:row r="62">
      <x:c r="A62" s="11" t="n"/>
      <x:c r="B62" s="11" t="n"/>
      <x:c r="C62" s="11" t="n"/>
      <x:c r="D62" s="11" t="n"/>
      <x:c r="E62" s="11" t="n"/>
      <x:c r="F62" s="11" t="n"/>
      <x:c r="G62" s="11" t="n"/>
      <x:c r="H62" s="11" t="n"/>
      <x:c r="I62" s="11" t="n"/>
      <x:c r="J62" s="11" t="n"/>
      <x:c r="K62" s="11" t="n"/>
      <x:c r="L62" s="11" t="n"/>
      <x:c r="M62" s="11" t="n"/>
      <x:c r="N62" s="11" t="n"/>
      <x:c r="O62" s="12">
        <x:f>CONFIG_REFERENCIA!$E$3</x:f>
        <x:v>0.35</x:v>
      </x:c>
      <x:c r="P62" s="12">
        <x:f>CONFIG_REFERENCIA!$E$4</x:f>
        <x:v>0.25</x:v>
      </x:c>
      <x:c r="Q62" s="12">
        <x:f>CONFIG_REFERENCIA!$E$5</x:f>
        <x:v>0.25</x:v>
      </x:c>
      <x:c r="R62" s="12">
        <x:f>CONFIG_REFERENCIA!$E$6</x:f>
        <x:v>0.1</x:v>
      </x:c>
      <x:c r="S62" s="13">
        <x:f>IF($F62="","",INDEX(CONFIG_REFERENCIA!$B$3:$B$6,MATCH($F62,CONFIG_REFERENCIA!$A$3:$A$6,0)))</x:f>
      </x:c>
      <x:c r="T62" s="14" t="n"/>
      <x:c r="U62" s="14" t="n"/>
      <x:c r="V62" s="14" t="n"/>
      <x:c r="W62" s="14" t="n"/>
      <x:c r="X62" s="15">
        <x:f>IF(COUNTA($T62:$W62)&lt;4,"",$S62*($O62*$T62+$P62*$U62+$Q62*$V62+$R62*$W62))</x:f>
      </x:c>
      <x:c r="Y62" s="14" t="n"/>
      <x:c r="Z62" s="14" t="n"/>
      <x:c r="AA62" s="16" t="n"/>
      <x:c r="AB62" s="16" t="n"/>
      <x:c r="AC62" s="11" t="n"/>
      <x:c r="AD62" s="11" t="n"/>
    </x:row>
    <x:row r="63">
      <x:c r="A63" s="11" t="n"/>
      <x:c r="B63" s="11" t="n"/>
      <x:c r="C63" s="11" t="n"/>
      <x:c r="D63" s="11" t="n"/>
      <x:c r="E63" s="11" t="n"/>
      <x:c r="F63" s="11" t="n"/>
      <x:c r="G63" s="11" t="n"/>
      <x:c r="H63" s="11" t="n"/>
      <x:c r="I63" s="11" t="n"/>
      <x:c r="J63" s="11" t="n"/>
      <x:c r="K63" s="11" t="n"/>
      <x:c r="L63" s="11" t="n"/>
      <x:c r="M63" s="11" t="n"/>
      <x:c r="N63" s="11" t="n"/>
      <x:c r="O63" s="12">
        <x:f>CONFIG_REFERENCIA!$E$3</x:f>
        <x:v>0.35</x:v>
      </x:c>
      <x:c r="P63" s="12">
        <x:f>CONFIG_REFERENCIA!$E$4</x:f>
        <x:v>0.25</x:v>
      </x:c>
      <x:c r="Q63" s="12">
        <x:f>CONFIG_REFERENCIA!$E$5</x:f>
        <x:v>0.25</x:v>
      </x:c>
      <x:c r="R63" s="12">
        <x:f>CONFIG_REFERENCIA!$E$6</x:f>
        <x:v>0.1</x:v>
      </x:c>
      <x:c r="S63" s="13">
        <x:f>IF($F63="","",INDEX(CONFIG_REFERENCIA!$B$3:$B$6,MATCH($F63,CONFIG_REFERENCIA!$A$3:$A$6,0)))</x:f>
      </x:c>
      <x:c r="T63" s="14" t="n"/>
      <x:c r="U63" s="14" t="n"/>
      <x:c r="V63" s="14" t="n"/>
      <x:c r="W63" s="14" t="n"/>
      <x:c r="X63" s="15">
        <x:f>IF(COUNTA($T63:$W63)&lt;4,"",$S63*($O63*$T63+$P63*$U63+$Q63*$V63+$R63*$W63))</x:f>
      </x:c>
      <x:c r="Y63" s="14" t="n"/>
      <x:c r="Z63" s="14" t="n"/>
      <x:c r="AA63" s="16" t="n"/>
      <x:c r="AB63" s="16" t="n"/>
      <x:c r="AC63" s="11" t="n"/>
      <x:c r="AD63" s="11" t="n"/>
    </x:row>
    <x:row r="64">
      <x:c r="A64" s="11" t="n"/>
      <x:c r="B64" s="11" t="n"/>
      <x:c r="C64" s="11" t="n"/>
      <x:c r="D64" s="11" t="n"/>
      <x:c r="E64" s="11" t="n"/>
      <x:c r="F64" s="11" t="n"/>
      <x:c r="G64" s="11" t="n"/>
      <x:c r="H64" s="11" t="n"/>
      <x:c r="I64" s="11" t="n"/>
      <x:c r="J64" s="11" t="n"/>
      <x:c r="K64" s="11" t="n"/>
      <x:c r="L64" s="11" t="n"/>
      <x:c r="M64" s="11" t="n"/>
      <x:c r="N64" s="11" t="n"/>
      <x:c r="O64" s="12">
        <x:f>CONFIG_REFERENCIA!$E$3</x:f>
        <x:v>0.35</x:v>
      </x:c>
      <x:c r="P64" s="12">
        <x:f>CONFIG_REFERENCIA!$E$4</x:f>
        <x:v>0.25</x:v>
      </x:c>
      <x:c r="Q64" s="12">
        <x:f>CONFIG_REFERENCIA!$E$5</x:f>
        <x:v>0.25</x:v>
      </x:c>
      <x:c r="R64" s="12">
        <x:f>CONFIG_REFERENCIA!$E$6</x:f>
        <x:v>0.1</x:v>
      </x:c>
      <x:c r="S64" s="13">
        <x:f>IF($F64="","",INDEX(CONFIG_REFERENCIA!$B$3:$B$6,MATCH($F64,CONFIG_REFERENCIA!$A$3:$A$6,0)))</x:f>
      </x:c>
      <x:c r="T64" s="14" t="n"/>
      <x:c r="U64" s="14" t="n"/>
      <x:c r="V64" s="14" t="n"/>
      <x:c r="W64" s="14" t="n"/>
      <x:c r="X64" s="15">
        <x:f>IF(COUNTA($T64:$W64)&lt;4,"",$S64*($O64*$T64+$P64*$U64+$Q64*$V64+$R64*$W64))</x:f>
      </x:c>
      <x:c r="Y64" s="14" t="n"/>
      <x:c r="Z64" s="14" t="n"/>
      <x:c r="AA64" s="16" t="n"/>
      <x:c r="AB64" s="16" t="n"/>
      <x:c r="AC64" s="11" t="n"/>
      <x:c r="AD64" s="11" t="n"/>
    </x:row>
    <x:row r="65">
      <x:c r="A65" s="11" t="n"/>
      <x:c r="B65" s="11" t="n"/>
      <x:c r="C65" s="11" t="n"/>
      <x:c r="D65" s="11" t="n"/>
      <x:c r="E65" s="11" t="n"/>
      <x:c r="F65" s="11" t="n"/>
      <x:c r="G65" s="11" t="n"/>
      <x:c r="H65" s="11" t="n"/>
      <x:c r="I65" s="11" t="n"/>
      <x:c r="J65" s="11" t="n"/>
      <x:c r="K65" s="11" t="n"/>
      <x:c r="L65" s="11" t="n"/>
      <x:c r="M65" s="11" t="n"/>
      <x:c r="N65" s="11" t="n"/>
      <x:c r="O65" s="12">
        <x:f>CONFIG_REFERENCIA!$E$3</x:f>
        <x:v>0.35</x:v>
      </x:c>
      <x:c r="P65" s="12">
        <x:f>CONFIG_REFERENCIA!$E$4</x:f>
        <x:v>0.25</x:v>
      </x:c>
      <x:c r="Q65" s="12">
        <x:f>CONFIG_REFERENCIA!$E$5</x:f>
        <x:v>0.25</x:v>
      </x:c>
      <x:c r="R65" s="12">
        <x:f>CONFIG_REFERENCIA!$E$6</x:f>
        <x:v>0.1</x:v>
      </x:c>
      <x:c r="S65" s="13">
        <x:f>IF($F65="","",INDEX(CONFIG_REFERENCIA!$B$3:$B$6,MATCH($F65,CONFIG_REFERENCIA!$A$3:$A$6,0)))</x:f>
      </x:c>
      <x:c r="T65" s="14" t="n"/>
      <x:c r="U65" s="14" t="n"/>
      <x:c r="V65" s="14" t="n"/>
      <x:c r="W65" s="14" t="n"/>
      <x:c r="X65" s="15">
        <x:f>IF(COUNTA($T65:$W65)&lt;4,"",$S65*($O65*$T65+$P65*$U65+$Q65*$V65+$R65*$W65))</x:f>
      </x:c>
      <x:c r="Y65" s="14" t="n"/>
      <x:c r="Z65" s="14" t="n"/>
      <x:c r="AA65" s="16" t="n"/>
      <x:c r="AB65" s="16" t="n"/>
      <x:c r="AC65" s="11" t="n"/>
      <x:c r="AD65" s="11" t="n"/>
    </x:row>
    <x:row r="66">
      <x:c r="A66" s="11" t="n"/>
      <x:c r="B66" s="11" t="n"/>
      <x:c r="C66" s="11" t="n"/>
      <x:c r="D66" s="11" t="n"/>
      <x:c r="E66" s="11" t="n"/>
      <x:c r="F66" s="11" t="n"/>
      <x:c r="G66" s="11" t="n"/>
      <x:c r="H66" s="11" t="n"/>
      <x:c r="I66" s="11" t="n"/>
      <x:c r="J66" s="11" t="n"/>
      <x:c r="K66" s="11" t="n"/>
      <x:c r="L66" s="11" t="n"/>
      <x:c r="M66" s="11" t="n"/>
      <x:c r="N66" s="11" t="n"/>
      <x:c r="O66" s="12">
        <x:f>CONFIG_REFERENCIA!$E$3</x:f>
        <x:v>0.35</x:v>
      </x:c>
      <x:c r="P66" s="12">
        <x:f>CONFIG_REFERENCIA!$E$4</x:f>
        <x:v>0.25</x:v>
      </x:c>
      <x:c r="Q66" s="12">
        <x:f>CONFIG_REFERENCIA!$E$5</x:f>
        <x:v>0.25</x:v>
      </x:c>
      <x:c r="R66" s="12">
        <x:f>CONFIG_REFERENCIA!$E$6</x:f>
        <x:v>0.1</x:v>
      </x:c>
      <x:c r="S66" s="13">
        <x:f>IF($F66="","",INDEX(CONFIG_REFERENCIA!$B$3:$B$6,MATCH($F66,CONFIG_REFERENCIA!$A$3:$A$6,0)))</x:f>
      </x:c>
      <x:c r="T66" s="14" t="n"/>
      <x:c r="U66" s="14" t="n"/>
      <x:c r="V66" s="14" t="n"/>
      <x:c r="W66" s="14" t="n"/>
      <x:c r="X66" s="15">
        <x:f>IF(COUNTA($T66:$W66)&lt;4,"",$S66*($O66*$T66+$P66*$U66+$Q66*$V66+$R66*$W66))</x:f>
      </x:c>
      <x:c r="Y66" s="14" t="n"/>
      <x:c r="Z66" s="14" t="n"/>
      <x:c r="AA66" s="16" t="n"/>
      <x:c r="AB66" s="16" t="n"/>
      <x:c r="AC66" s="11" t="n"/>
      <x:c r="AD66" s="11" t="n"/>
    </x:row>
    <x:row r="67">
      <x:c r="A67" s="11" t="n"/>
      <x:c r="B67" s="11" t="n"/>
      <x:c r="C67" s="11" t="n"/>
      <x:c r="D67" s="11" t="n"/>
      <x:c r="E67" s="11" t="n"/>
      <x:c r="F67" s="11" t="n"/>
      <x:c r="G67" s="11" t="n"/>
      <x:c r="H67" s="11" t="n"/>
      <x:c r="I67" s="11" t="n"/>
      <x:c r="J67" s="11" t="n"/>
      <x:c r="K67" s="11" t="n"/>
      <x:c r="L67" s="11" t="n"/>
      <x:c r="M67" s="11" t="n"/>
      <x:c r="N67" s="11" t="n"/>
      <x:c r="O67" s="12">
        <x:f>CONFIG_REFERENCIA!$E$3</x:f>
        <x:v>0.35</x:v>
      </x:c>
      <x:c r="P67" s="12">
        <x:f>CONFIG_REFERENCIA!$E$4</x:f>
        <x:v>0.25</x:v>
      </x:c>
      <x:c r="Q67" s="12">
        <x:f>CONFIG_REFERENCIA!$E$5</x:f>
        <x:v>0.25</x:v>
      </x:c>
      <x:c r="R67" s="12">
        <x:f>CONFIG_REFERENCIA!$E$6</x:f>
        <x:v>0.1</x:v>
      </x:c>
      <x:c r="S67" s="13">
        <x:f>IF($F67="","",INDEX(CONFIG_REFERENCIA!$B$3:$B$6,MATCH($F67,CONFIG_REFERENCIA!$A$3:$A$6,0)))</x:f>
      </x:c>
      <x:c r="T67" s="14" t="n"/>
      <x:c r="U67" s="14" t="n"/>
      <x:c r="V67" s="14" t="n"/>
      <x:c r="W67" s="14" t="n"/>
      <x:c r="X67" s="15">
        <x:f>IF(COUNTA($T67:$W67)&lt;4,"",$S67*($O67*$T67+$P67*$U67+$Q67*$V67+$R67*$W67))</x:f>
      </x:c>
      <x:c r="Y67" s="14" t="n"/>
      <x:c r="Z67" s="14" t="n"/>
      <x:c r="AA67" s="16" t="n"/>
      <x:c r="AB67" s="16" t="n"/>
      <x:c r="AC67" s="11" t="n"/>
      <x:c r="AD67" s="11" t="n"/>
    </x:row>
    <x:row r="68">
      <x:c r="A68" s="11" t="n"/>
      <x:c r="B68" s="11" t="n"/>
      <x:c r="C68" s="11" t="n"/>
      <x:c r="D68" s="11" t="n"/>
      <x:c r="E68" s="11" t="n"/>
      <x:c r="F68" s="11" t="n"/>
      <x:c r="G68" s="11" t="n"/>
      <x:c r="H68" s="11" t="n"/>
      <x:c r="I68" s="11" t="n"/>
      <x:c r="J68" s="11" t="n"/>
      <x:c r="K68" s="11" t="n"/>
      <x:c r="L68" s="11" t="n"/>
      <x:c r="M68" s="11" t="n"/>
      <x:c r="N68" s="11" t="n"/>
      <x:c r="O68" s="12">
        <x:f>CONFIG_REFERENCIA!$E$3</x:f>
        <x:v>0.35</x:v>
      </x:c>
      <x:c r="P68" s="12">
        <x:f>CONFIG_REFERENCIA!$E$4</x:f>
        <x:v>0.25</x:v>
      </x:c>
      <x:c r="Q68" s="12">
        <x:f>CONFIG_REFERENCIA!$E$5</x:f>
        <x:v>0.25</x:v>
      </x:c>
      <x:c r="R68" s="12">
        <x:f>CONFIG_REFERENCIA!$E$6</x:f>
        <x:v>0.1</x:v>
      </x:c>
      <x:c r="S68" s="13">
        <x:f>IF($F68="","",INDEX(CONFIG_REFERENCIA!$B$3:$B$6,MATCH($F68,CONFIG_REFERENCIA!$A$3:$A$6,0)))</x:f>
      </x:c>
      <x:c r="T68" s="14" t="n"/>
      <x:c r="U68" s="14" t="n"/>
      <x:c r="V68" s="14" t="n"/>
      <x:c r="W68" s="14" t="n"/>
      <x:c r="X68" s="15">
        <x:f>IF(COUNTA($T68:$W68)&lt;4,"",$S68*($O68*$T68+$P68*$U68+$Q68*$V68+$R68*$W68))</x:f>
      </x:c>
      <x:c r="Y68" s="14" t="n"/>
      <x:c r="Z68" s="14" t="n"/>
      <x:c r="AA68" s="16" t="n"/>
      <x:c r="AB68" s="16" t="n"/>
      <x:c r="AC68" s="11" t="n"/>
      <x:c r="AD68" s="11" t="n"/>
    </x:row>
    <x:row r="69">
      <x:c r="A69" s="11" t="n"/>
      <x:c r="B69" s="11" t="n"/>
      <x:c r="C69" s="11" t="n"/>
      <x:c r="D69" s="11" t="n"/>
      <x:c r="E69" s="11" t="n"/>
      <x:c r="F69" s="11" t="n"/>
      <x:c r="G69" s="11" t="n"/>
      <x:c r="H69" s="11" t="n"/>
      <x:c r="I69" s="11" t="n"/>
      <x:c r="J69" s="11" t="n"/>
      <x:c r="K69" s="11" t="n"/>
      <x:c r="L69" s="11" t="n"/>
      <x:c r="M69" s="11" t="n"/>
      <x:c r="N69" s="11" t="n"/>
      <x:c r="O69" s="12">
        <x:f>CONFIG_REFERENCIA!$E$3</x:f>
        <x:v>0.35</x:v>
      </x:c>
      <x:c r="P69" s="12">
        <x:f>CONFIG_REFERENCIA!$E$4</x:f>
        <x:v>0.25</x:v>
      </x:c>
      <x:c r="Q69" s="12">
        <x:f>CONFIG_REFERENCIA!$E$5</x:f>
        <x:v>0.25</x:v>
      </x:c>
      <x:c r="R69" s="12">
        <x:f>CONFIG_REFERENCIA!$E$6</x:f>
        <x:v>0.1</x:v>
      </x:c>
      <x:c r="S69" s="13">
        <x:f>IF($F69="","",INDEX(CONFIG_REFERENCIA!$B$3:$B$6,MATCH($F69,CONFIG_REFERENCIA!$A$3:$A$6,0)))</x:f>
      </x:c>
      <x:c r="T69" s="14" t="n"/>
      <x:c r="U69" s="14" t="n"/>
      <x:c r="V69" s="14" t="n"/>
      <x:c r="W69" s="14" t="n"/>
      <x:c r="X69" s="15">
        <x:f>IF(COUNTA($T69:$W69)&lt;4,"",$S69*($O69*$T69+$P69*$U69+$Q69*$V69+$R69*$W69))</x:f>
      </x:c>
      <x:c r="Y69" s="14" t="n"/>
      <x:c r="Z69" s="14" t="n"/>
      <x:c r="AA69" s="16" t="n"/>
      <x:c r="AB69" s="16" t="n"/>
      <x:c r="AC69" s="11" t="n"/>
      <x:c r="AD69" s="11" t="n"/>
    </x:row>
    <x:row r="70">
      <x:c r="A70" s="11" t="n"/>
      <x:c r="B70" s="11" t="n"/>
      <x:c r="C70" s="11" t="n"/>
      <x:c r="D70" s="11" t="n"/>
      <x:c r="E70" s="11" t="n"/>
      <x:c r="F70" s="11" t="n"/>
      <x:c r="G70" s="11" t="n"/>
      <x:c r="H70" s="11" t="n"/>
      <x:c r="I70" s="11" t="n"/>
      <x:c r="J70" s="11" t="n"/>
      <x:c r="K70" s="11" t="n"/>
      <x:c r="L70" s="11" t="n"/>
      <x:c r="M70" s="11" t="n"/>
      <x:c r="N70" s="11" t="n"/>
      <x:c r="O70" s="12">
        <x:f>CONFIG_REFERENCIA!$E$3</x:f>
        <x:v>0.35</x:v>
      </x:c>
      <x:c r="P70" s="12">
        <x:f>CONFIG_REFERENCIA!$E$4</x:f>
        <x:v>0.25</x:v>
      </x:c>
      <x:c r="Q70" s="12">
        <x:f>CONFIG_REFERENCIA!$E$5</x:f>
        <x:v>0.25</x:v>
      </x:c>
      <x:c r="R70" s="12">
        <x:f>CONFIG_REFERENCIA!$E$6</x:f>
        <x:v>0.1</x:v>
      </x:c>
      <x:c r="S70" s="13">
        <x:f>IF($F70="","",INDEX(CONFIG_REFERENCIA!$B$3:$B$6,MATCH($F70,CONFIG_REFERENCIA!$A$3:$A$6,0)))</x:f>
      </x:c>
      <x:c r="T70" s="14" t="n"/>
      <x:c r="U70" s="14" t="n"/>
      <x:c r="V70" s="14" t="n"/>
      <x:c r="W70" s="14" t="n"/>
      <x:c r="X70" s="15">
        <x:f>IF(COUNTA($T70:$W70)&lt;4,"",$S70*($O70*$T70+$P70*$U70+$Q70*$V70+$R70*$W70))</x:f>
      </x:c>
      <x:c r="Y70" s="14" t="n"/>
      <x:c r="Z70" s="14" t="n"/>
      <x:c r="AA70" s="16" t="n"/>
      <x:c r="AB70" s="16" t="n"/>
      <x:c r="AC70" s="11" t="n"/>
      <x:c r="AD70" s="11" t="n"/>
    </x:row>
    <x:row r="71">
      <x:c r="A71" s="11" t="n"/>
      <x:c r="B71" s="11" t="n"/>
      <x:c r="C71" s="11" t="n"/>
      <x:c r="D71" s="11" t="n"/>
      <x:c r="E71" s="11" t="n"/>
      <x:c r="F71" s="11" t="n"/>
      <x:c r="G71" s="11" t="n"/>
      <x:c r="H71" s="11" t="n"/>
      <x:c r="I71" s="11" t="n"/>
      <x:c r="J71" s="11" t="n"/>
      <x:c r="K71" s="11" t="n"/>
      <x:c r="L71" s="11" t="n"/>
      <x:c r="M71" s="11" t="n"/>
      <x:c r="N71" s="11" t="n"/>
      <x:c r="O71" s="12">
        <x:f>CONFIG_REFERENCIA!$E$3</x:f>
        <x:v>0.35</x:v>
      </x:c>
      <x:c r="P71" s="12">
        <x:f>CONFIG_REFERENCIA!$E$4</x:f>
        <x:v>0.25</x:v>
      </x:c>
      <x:c r="Q71" s="12">
        <x:f>CONFIG_REFERENCIA!$E$5</x:f>
        <x:v>0.25</x:v>
      </x:c>
      <x:c r="R71" s="12">
        <x:f>CONFIG_REFERENCIA!$E$6</x:f>
        <x:v>0.1</x:v>
      </x:c>
      <x:c r="S71" s="13">
        <x:f>IF($F71="","",INDEX(CONFIG_REFERENCIA!$B$3:$B$6,MATCH($F71,CONFIG_REFERENCIA!$A$3:$A$6,0)))</x:f>
      </x:c>
      <x:c r="T71" s="14" t="n"/>
      <x:c r="U71" s="14" t="n"/>
      <x:c r="V71" s="14" t="n"/>
      <x:c r="W71" s="14" t="n"/>
      <x:c r="X71" s="15">
        <x:f>IF(COUNTA($T71:$W71)&lt;4,"",$S71*($O71*$T71+$P71*$U71+$Q71*$V71+$R71*$W71))</x:f>
      </x:c>
      <x:c r="Y71" s="14" t="n"/>
      <x:c r="Z71" s="14" t="n"/>
      <x:c r="AA71" s="16" t="n"/>
      <x:c r="AB71" s="16" t="n"/>
      <x:c r="AC71" s="11" t="n"/>
      <x:c r="AD71" s="11" t="n"/>
    </x:row>
    <x:row r="72">
      <x:c r="A72" s="11" t="n"/>
      <x:c r="B72" s="11" t="n"/>
      <x:c r="C72" s="11" t="n"/>
      <x:c r="D72" s="11" t="n"/>
      <x:c r="E72" s="11" t="n"/>
      <x:c r="F72" s="11" t="n"/>
      <x:c r="G72" s="11" t="n"/>
      <x:c r="H72" s="11" t="n"/>
      <x:c r="I72" s="11" t="n"/>
      <x:c r="J72" s="11" t="n"/>
      <x:c r="K72" s="11" t="n"/>
      <x:c r="L72" s="11" t="n"/>
      <x:c r="M72" s="11" t="n"/>
      <x:c r="N72" s="11" t="n"/>
      <x:c r="O72" s="12">
        <x:f>CONFIG_REFERENCIA!$E$3</x:f>
        <x:v>0.35</x:v>
      </x:c>
      <x:c r="P72" s="12">
        <x:f>CONFIG_REFERENCIA!$E$4</x:f>
        <x:v>0.25</x:v>
      </x:c>
      <x:c r="Q72" s="12">
        <x:f>CONFIG_REFERENCIA!$E$5</x:f>
        <x:v>0.25</x:v>
      </x:c>
      <x:c r="R72" s="12">
        <x:f>CONFIG_REFERENCIA!$E$6</x:f>
        <x:v>0.1</x:v>
      </x:c>
      <x:c r="S72" s="13">
        <x:f>IF($F72="","",INDEX(CONFIG_REFERENCIA!$B$3:$B$6,MATCH($F72,CONFIG_REFERENCIA!$A$3:$A$6,0)))</x:f>
      </x:c>
      <x:c r="T72" s="14" t="n"/>
      <x:c r="U72" s="14" t="n"/>
      <x:c r="V72" s="14" t="n"/>
      <x:c r="W72" s="14" t="n"/>
      <x:c r="X72" s="15">
        <x:f>IF(COUNTA($T72:$W72)&lt;4,"",$S72*($O72*$T72+$P72*$U72+$Q72*$V72+$R72*$W72))</x:f>
      </x:c>
      <x:c r="Y72" s="14" t="n"/>
      <x:c r="Z72" s="14" t="n"/>
      <x:c r="AA72" s="16" t="n"/>
      <x:c r="AB72" s="16" t="n"/>
      <x:c r="AC72" s="11" t="n"/>
      <x:c r="AD72" s="11" t="n"/>
    </x:row>
    <x:row r="73">
      <x:c r="A73" s="11" t="n"/>
      <x:c r="B73" s="11" t="n"/>
      <x:c r="C73" s="11" t="n"/>
      <x:c r="D73" s="11" t="n"/>
      <x:c r="E73" s="11" t="n"/>
      <x:c r="F73" s="11" t="n"/>
      <x:c r="G73" s="11" t="n"/>
      <x:c r="H73" s="11" t="n"/>
      <x:c r="I73" s="11" t="n"/>
      <x:c r="J73" s="11" t="n"/>
      <x:c r="K73" s="11" t="n"/>
      <x:c r="L73" s="11" t="n"/>
      <x:c r="M73" s="11" t="n"/>
      <x:c r="N73" s="11" t="n"/>
      <x:c r="O73" s="12">
        <x:f>CONFIG_REFERENCIA!$E$3</x:f>
        <x:v>0.35</x:v>
      </x:c>
      <x:c r="P73" s="12">
        <x:f>CONFIG_REFERENCIA!$E$4</x:f>
        <x:v>0.25</x:v>
      </x:c>
      <x:c r="Q73" s="12">
        <x:f>CONFIG_REFERENCIA!$E$5</x:f>
        <x:v>0.25</x:v>
      </x:c>
      <x:c r="R73" s="12">
        <x:f>CONFIG_REFERENCIA!$E$6</x:f>
        <x:v>0.1</x:v>
      </x:c>
      <x:c r="S73" s="13">
        <x:f>IF($F73="","",INDEX(CONFIG_REFERENCIA!$B$3:$B$6,MATCH($F73,CONFIG_REFERENCIA!$A$3:$A$6,0)))</x:f>
      </x:c>
      <x:c r="T73" s="14" t="n"/>
      <x:c r="U73" s="14" t="n"/>
      <x:c r="V73" s="14" t="n"/>
      <x:c r="W73" s="14" t="n"/>
      <x:c r="X73" s="15">
        <x:f>IF(COUNTA($T73:$W73)&lt;4,"",$S73*($O73*$T73+$P73*$U73+$Q73*$V73+$R73*$W73))</x:f>
      </x:c>
      <x:c r="Y73" s="14" t="n"/>
      <x:c r="Z73" s="14" t="n"/>
      <x:c r="AA73" s="16" t="n"/>
      <x:c r="AB73" s="16" t="n"/>
      <x:c r="AC73" s="11" t="n"/>
      <x:c r="AD73" s="11" t="n"/>
    </x:row>
    <x:row r="74">
      <x:c r="A74" s="11" t="n"/>
      <x:c r="B74" s="11" t="n"/>
      <x:c r="C74" s="11" t="n"/>
      <x:c r="D74" s="11" t="n"/>
      <x:c r="E74" s="11" t="n"/>
      <x:c r="F74" s="11" t="n"/>
      <x:c r="G74" s="11" t="n"/>
      <x:c r="H74" s="11" t="n"/>
      <x:c r="I74" s="11" t="n"/>
      <x:c r="J74" s="11" t="n"/>
      <x:c r="K74" s="11" t="n"/>
      <x:c r="L74" s="11" t="n"/>
      <x:c r="M74" s="11" t="n"/>
      <x:c r="N74" s="11" t="n"/>
      <x:c r="O74" s="12">
        <x:f>CONFIG_REFERENCIA!$E$3</x:f>
        <x:v>0.35</x:v>
      </x:c>
      <x:c r="P74" s="12">
        <x:f>CONFIG_REFERENCIA!$E$4</x:f>
        <x:v>0.25</x:v>
      </x:c>
      <x:c r="Q74" s="12">
        <x:f>CONFIG_REFERENCIA!$E$5</x:f>
        <x:v>0.25</x:v>
      </x:c>
      <x:c r="R74" s="12">
        <x:f>CONFIG_REFERENCIA!$E$6</x:f>
        <x:v>0.1</x:v>
      </x:c>
      <x:c r="S74" s="13">
        <x:f>IF($F74="","",INDEX(CONFIG_REFERENCIA!$B$3:$B$6,MATCH($F74,CONFIG_REFERENCIA!$A$3:$A$6,0)))</x:f>
      </x:c>
      <x:c r="T74" s="14" t="n"/>
      <x:c r="U74" s="14" t="n"/>
      <x:c r="V74" s="14" t="n"/>
      <x:c r="W74" s="14" t="n"/>
      <x:c r="X74" s="15">
        <x:f>IF(COUNTA($T74:$W74)&lt;4,"",$S74*($O74*$T74+$P74*$U74+$Q74*$V74+$R74*$W74))</x:f>
      </x:c>
      <x:c r="Y74" s="14" t="n"/>
      <x:c r="Z74" s="14" t="n"/>
      <x:c r="AA74" s="16" t="n"/>
      <x:c r="AB74" s="16" t="n"/>
      <x:c r="AC74" s="11" t="n"/>
      <x:c r="AD74" s="11" t="n"/>
    </x:row>
    <x:row r="75">
      <x:c r="A75" s="11" t="n"/>
      <x:c r="B75" s="11" t="n"/>
      <x:c r="C75" s="11" t="n"/>
      <x:c r="D75" s="11" t="n"/>
      <x:c r="E75" s="11" t="n"/>
      <x:c r="F75" s="11" t="n"/>
      <x:c r="G75" s="11" t="n"/>
      <x:c r="H75" s="11" t="n"/>
      <x:c r="I75" s="11" t="n"/>
      <x:c r="J75" s="11" t="n"/>
      <x:c r="K75" s="11" t="n"/>
      <x:c r="L75" s="11" t="n"/>
      <x:c r="M75" s="11" t="n"/>
      <x:c r="N75" s="11" t="n"/>
      <x:c r="O75" s="12">
        <x:f>CONFIG_REFERENCIA!$E$3</x:f>
        <x:v>0.35</x:v>
      </x:c>
      <x:c r="P75" s="12">
        <x:f>CONFIG_REFERENCIA!$E$4</x:f>
        <x:v>0.25</x:v>
      </x:c>
      <x:c r="Q75" s="12">
        <x:f>CONFIG_REFERENCIA!$E$5</x:f>
        <x:v>0.25</x:v>
      </x:c>
      <x:c r="R75" s="12">
        <x:f>CONFIG_REFERENCIA!$E$6</x:f>
        <x:v>0.1</x:v>
      </x:c>
      <x:c r="S75" s="13">
        <x:f>IF($F75="","",INDEX(CONFIG_REFERENCIA!$B$3:$B$6,MATCH($F75,CONFIG_REFERENCIA!$A$3:$A$6,0)))</x:f>
      </x:c>
      <x:c r="T75" s="14" t="n"/>
      <x:c r="U75" s="14" t="n"/>
      <x:c r="V75" s="14" t="n"/>
      <x:c r="W75" s="14" t="n"/>
      <x:c r="X75" s="15">
        <x:f>IF(COUNTA($T75:$W75)&lt;4,"",$S75*($O75*$T75+$P75*$U75+$Q75*$V75+$R75*$W75))</x:f>
      </x:c>
      <x:c r="Y75" s="14" t="n"/>
      <x:c r="Z75" s="14" t="n"/>
      <x:c r="AA75" s="16" t="n"/>
      <x:c r="AB75" s="16" t="n"/>
      <x:c r="AC75" s="11" t="n"/>
      <x:c r="AD75" s="11" t="n"/>
    </x:row>
    <x:row r="76">
      <x:c r="A76" s="11" t="n"/>
      <x:c r="B76" s="11" t="n"/>
      <x:c r="C76" s="11" t="n"/>
      <x:c r="D76" s="11" t="n"/>
      <x:c r="E76" s="11" t="n"/>
      <x:c r="F76" s="11" t="n"/>
      <x:c r="G76" s="11" t="n"/>
      <x:c r="H76" s="11" t="n"/>
      <x:c r="I76" s="11" t="n"/>
      <x:c r="J76" s="11" t="n"/>
      <x:c r="K76" s="11" t="n"/>
      <x:c r="L76" s="11" t="n"/>
      <x:c r="M76" s="11" t="n"/>
      <x:c r="N76" s="11" t="n"/>
      <x:c r="O76" s="12">
        <x:f>CONFIG_REFERENCIA!$E$3</x:f>
        <x:v>0.35</x:v>
      </x:c>
      <x:c r="P76" s="12">
        <x:f>CONFIG_REFERENCIA!$E$4</x:f>
        <x:v>0.25</x:v>
      </x:c>
      <x:c r="Q76" s="12">
        <x:f>CONFIG_REFERENCIA!$E$5</x:f>
        <x:v>0.25</x:v>
      </x:c>
      <x:c r="R76" s="12">
        <x:f>CONFIG_REFERENCIA!$E$6</x:f>
        <x:v>0.1</x:v>
      </x:c>
      <x:c r="S76" s="13">
        <x:f>IF($F76="","",INDEX(CONFIG_REFERENCIA!$B$3:$B$6,MATCH($F76,CONFIG_REFERENCIA!$A$3:$A$6,0)))</x:f>
      </x:c>
      <x:c r="T76" s="14" t="n"/>
      <x:c r="U76" s="14" t="n"/>
      <x:c r="V76" s="14" t="n"/>
      <x:c r="W76" s="14" t="n"/>
      <x:c r="X76" s="15">
        <x:f>IF(COUNTA($T76:$W76)&lt;4,"",$S76*($O76*$T76+$P76*$U76+$Q76*$V76+$R76*$W76))</x:f>
      </x:c>
      <x:c r="Y76" s="14" t="n"/>
      <x:c r="Z76" s="14" t="n"/>
      <x:c r="AA76" s="16" t="n"/>
      <x:c r="AB76" s="16" t="n"/>
      <x:c r="AC76" s="11" t="n"/>
      <x:c r="AD76" s="11" t="n"/>
    </x:row>
    <x:row r="77">
      <x:c r="A77" s="11" t="n"/>
      <x:c r="B77" s="11" t="n"/>
      <x:c r="C77" s="11" t="n"/>
      <x:c r="D77" s="11" t="n"/>
      <x:c r="E77" s="11" t="n"/>
      <x:c r="F77" s="11" t="n"/>
      <x:c r="G77" s="11" t="n"/>
      <x:c r="H77" s="11" t="n"/>
      <x:c r="I77" s="11" t="n"/>
      <x:c r="J77" s="11" t="n"/>
      <x:c r="K77" s="11" t="n"/>
      <x:c r="L77" s="11" t="n"/>
      <x:c r="M77" s="11" t="n"/>
      <x:c r="N77" s="11" t="n"/>
      <x:c r="O77" s="12">
        <x:f>CONFIG_REFERENCIA!$E$3</x:f>
        <x:v>0.35</x:v>
      </x:c>
      <x:c r="P77" s="12">
        <x:f>CONFIG_REFERENCIA!$E$4</x:f>
        <x:v>0.25</x:v>
      </x:c>
      <x:c r="Q77" s="12">
        <x:f>CONFIG_REFERENCIA!$E$5</x:f>
        <x:v>0.25</x:v>
      </x:c>
      <x:c r="R77" s="12">
        <x:f>CONFIG_REFERENCIA!$E$6</x:f>
        <x:v>0.1</x:v>
      </x:c>
      <x:c r="S77" s="13">
        <x:f>IF($F77="","",INDEX(CONFIG_REFERENCIA!$B$3:$B$6,MATCH($F77,CONFIG_REFERENCIA!$A$3:$A$6,0)))</x:f>
      </x:c>
      <x:c r="T77" s="14" t="n"/>
      <x:c r="U77" s="14" t="n"/>
      <x:c r="V77" s="14" t="n"/>
      <x:c r="W77" s="14" t="n"/>
      <x:c r="X77" s="15">
        <x:f>IF(COUNTA($T77:$W77)&lt;4,"",$S77*($O77*$T77+$P77*$U77+$Q77*$V77+$R77*$W77))</x:f>
      </x:c>
      <x:c r="Y77" s="14" t="n"/>
      <x:c r="Z77" s="14" t="n"/>
      <x:c r="AA77" s="16" t="n"/>
      <x:c r="AB77" s="16" t="n"/>
      <x:c r="AC77" s="11" t="n"/>
      <x:c r="AD77" s="11" t="n"/>
    </x:row>
    <x:row r="78">
      <x:c r="A78" s="11" t="n"/>
      <x:c r="B78" s="11" t="n"/>
      <x:c r="C78" s="11" t="n"/>
      <x:c r="D78" s="11" t="n"/>
      <x:c r="E78" s="11" t="n"/>
      <x:c r="F78" s="11" t="n"/>
      <x:c r="G78" s="11" t="n"/>
      <x:c r="H78" s="11" t="n"/>
      <x:c r="I78" s="11" t="n"/>
      <x:c r="J78" s="11" t="n"/>
      <x:c r="K78" s="11" t="n"/>
      <x:c r="L78" s="11" t="n"/>
      <x:c r="M78" s="11" t="n"/>
      <x:c r="N78" s="11" t="n"/>
      <x:c r="O78" s="12">
        <x:f>CONFIG_REFERENCIA!$E$3</x:f>
        <x:v>0.35</x:v>
      </x:c>
      <x:c r="P78" s="12">
        <x:f>CONFIG_REFERENCIA!$E$4</x:f>
        <x:v>0.25</x:v>
      </x:c>
      <x:c r="Q78" s="12">
        <x:f>CONFIG_REFERENCIA!$E$5</x:f>
        <x:v>0.25</x:v>
      </x:c>
      <x:c r="R78" s="12">
        <x:f>CONFIG_REFERENCIA!$E$6</x:f>
        <x:v>0.1</x:v>
      </x:c>
      <x:c r="S78" s="13">
        <x:f>IF($F78="","",INDEX(CONFIG_REFERENCIA!$B$3:$B$6,MATCH($F78,CONFIG_REFERENCIA!$A$3:$A$6,0)))</x:f>
      </x:c>
      <x:c r="T78" s="14" t="n"/>
      <x:c r="U78" s="14" t="n"/>
      <x:c r="V78" s="14" t="n"/>
      <x:c r="W78" s="14" t="n"/>
      <x:c r="X78" s="15">
        <x:f>IF(COUNTA($T78:$W78)&lt;4,"",$S78*($O78*$T78+$P78*$U78+$Q78*$V78+$R78*$W78))</x:f>
      </x:c>
      <x:c r="Y78" s="14" t="n"/>
      <x:c r="Z78" s="14" t="n"/>
      <x:c r="AA78" s="16" t="n"/>
      <x:c r="AB78" s="16" t="n"/>
      <x:c r="AC78" s="11" t="n"/>
      <x:c r="AD78" s="11" t="n"/>
    </x:row>
    <x:row r="79">
      <x:c r="A79" s="11" t="n"/>
      <x:c r="B79" s="11" t="n"/>
      <x:c r="C79" s="11" t="n"/>
      <x:c r="D79" s="11" t="n"/>
      <x:c r="E79" s="11" t="n"/>
      <x:c r="F79" s="11" t="n"/>
      <x:c r="G79" s="11" t="n"/>
      <x:c r="H79" s="11" t="n"/>
      <x:c r="I79" s="11" t="n"/>
      <x:c r="J79" s="11" t="n"/>
      <x:c r="K79" s="11" t="n"/>
      <x:c r="L79" s="11" t="n"/>
      <x:c r="M79" s="11" t="n"/>
      <x:c r="N79" s="11" t="n"/>
      <x:c r="O79" s="12">
        <x:f>CONFIG_REFERENCIA!$E$3</x:f>
        <x:v>0.35</x:v>
      </x:c>
      <x:c r="P79" s="12">
        <x:f>CONFIG_REFERENCIA!$E$4</x:f>
        <x:v>0.25</x:v>
      </x:c>
      <x:c r="Q79" s="12">
        <x:f>CONFIG_REFERENCIA!$E$5</x:f>
        <x:v>0.25</x:v>
      </x:c>
      <x:c r="R79" s="12">
        <x:f>CONFIG_REFERENCIA!$E$6</x:f>
        <x:v>0.1</x:v>
      </x:c>
      <x:c r="S79" s="13">
        <x:f>IF($F79="","",INDEX(CONFIG_REFERENCIA!$B$3:$B$6,MATCH($F79,CONFIG_REFERENCIA!$A$3:$A$6,0)))</x:f>
      </x:c>
      <x:c r="T79" s="14" t="n"/>
      <x:c r="U79" s="14" t="n"/>
      <x:c r="V79" s="14" t="n"/>
      <x:c r="W79" s="14" t="n"/>
      <x:c r="X79" s="15">
        <x:f>IF(COUNTA($T79:$W79)&lt;4,"",$S79*($O79*$T79+$P79*$U79+$Q79*$V79+$R79*$W79))</x:f>
      </x:c>
      <x:c r="Y79" s="14" t="n"/>
      <x:c r="Z79" s="14" t="n"/>
      <x:c r="AA79" s="16" t="n"/>
      <x:c r="AB79" s="16" t="n"/>
      <x:c r="AC79" s="11" t="n"/>
      <x:c r="AD79" s="11" t="n"/>
    </x:row>
    <x:row r="80">
      <x:c r="A80" s="11" t="n"/>
      <x:c r="B80" s="11" t="n"/>
      <x:c r="C80" s="11" t="n"/>
      <x:c r="D80" s="11" t="n"/>
      <x:c r="E80" s="11" t="n"/>
      <x:c r="F80" s="11" t="n"/>
      <x:c r="G80" s="11" t="n"/>
      <x:c r="H80" s="11" t="n"/>
      <x:c r="I80" s="11" t="n"/>
      <x:c r="J80" s="11" t="n"/>
      <x:c r="K80" s="11" t="n"/>
      <x:c r="L80" s="11" t="n"/>
      <x:c r="M80" s="11" t="n"/>
      <x:c r="N80" s="11" t="n"/>
      <x:c r="O80" s="12">
        <x:f>CONFIG_REFERENCIA!$E$3</x:f>
        <x:v>0.35</x:v>
      </x:c>
      <x:c r="P80" s="12">
        <x:f>CONFIG_REFERENCIA!$E$4</x:f>
        <x:v>0.25</x:v>
      </x:c>
      <x:c r="Q80" s="12">
        <x:f>CONFIG_REFERENCIA!$E$5</x:f>
        <x:v>0.25</x:v>
      </x:c>
      <x:c r="R80" s="12">
        <x:f>CONFIG_REFERENCIA!$E$6</x:f>
        <x:v>0.1</x:v>
      </x:c>
      <x:c r="S80" s="13">
        <x:f>IF($F80="","",INDEX(CONFIG_REFERENCIA!$B$3:$B$6,MATCH($F80,CONFIG_REFERENCIA!$A$3:$A$6,0)))</x:f>
      </x:c>
      <x:c r="T80" s="14" t="n"/>
      <x:c r="U80" s="14" t="n"/>
      <x:c r="V80" s="14" t="n"/>
      <x:c r="W80" s="14" t="n"/>
      <x:c r="X80" s="15">
        <x:f>IF(COUNTA($T80:$W80)&lt;4,"",$S80*($O80*$T80+$P80*$U80+$Q80*$V80+$R80*$W80))</x:f>
      </x:c>
      <x:c r="Y80" s="14" t="n"/>
      <x:c r="Z80" s="14" t="n"/>
      <x:c r="AA80" s="16" t="n"/>
      <x:c r="AB80" s="16" t="n"/>
      <x:c r="AC80" s="11" t="n"/>
      <x:c r="AD80" s="11" t="n"/>
    </x:row>
    <x:row r="81">
      <x:c r="A81" s="11" t="n"/>
      <x:c r="B81" s="11" t="n"/>
      <x:c r="C81" s="11" t="n"/>
      <x:c r="D81" s="11" t="n"/>
      <x:c r="E81" s="11" t="n"/>
      <x:c r="F81" s="11" t="n"/>
      <x:c r="G81" s="11" t="n"/>
      <x:c r="H81" s="11" t="n"/>
      <x:c r="I81" s="11" t="n"/>
      <x:c r="J81" s="11" t="n"/>
      <x:c r="K81" s="11" t="n"/>
      <x:c r="L81" s="11" t="n"/>
      <x:c r="M81" s="11" t="n"/>
      <x:c r="N81" s="11" t="n"/>
      <x:c r="O81" s="12">
        <x:f>CONFIG_REFERENCIA!$E$3</x:f>
        <x:v>0.35</x:v>
      </x:c>
      <x:c r="P81" s="12">
        <x:f>CONFIG_REFERENCIA!$E$4</x:f>
        <x:v>0.25</x:v>
      </x:c>
      <x:c r="Q81" s="12">
        <x:f>CONFIG_REFERENCIA!$E$5</x:f>
        <x:v>0.25</x:v>
      </x:c>
      <x:c r="R81" s="12">
        <x:f>CONFIG_REFERENCIA!$E$6</x:f>
        <x:v>0.1</x:v>
      </x:c>
      <x:c r="S81" s="13">
        <x:f>IF($F81="","",INDEX(CONFIG_REFERENCIA!$B$3:$B$6,MATCH($F81,CONFIG_REFERENCIA!$A$3:$A$6,0)))</x:f>
      </x:c>
      <x:c r="T81" s="14" t="n"/>
      <x:c r="U81" s="14" t="n"/>
      <x:c r="V81" s="14" t="n"/>
      <x:c r="W81" s="14" t="n"/>
      <x:c r="X81" s="15">
        <x:f>IF(COUNTA($T81:$W81)&lt;4,"",$S81*($O81*$T81+$P81*$U81+$Q81*$V81+$R81*$W81))</x:f>
      </x:c>
      <x:c r="Y81" s="14" t="n"/>
      <x:c r="Z81" s="14" t="n"/>
      <x:c r="AA81" s="16" t="n"/>
      <x:c r="AB81" s="16" t="n"/>
      <x:c r="AC81" s="11" t="n"/>
      <x:c r="AD81" s="11" t="n"/>
    </x:row>
    <x:row r="82">
      <x:c r="A82" s="11" t="n"/>
      <x:c r="B82" s="11" t="n"/>
      <x:c r="C82" s="11" t="n"/>
      <x:c r="D82" s="11" t="n"/>
      <x:c r="E82" s="11" t="n"/>
      <x:c r="F82" s="11" t="n"/>
      <x:c r="G82" s="11" t="n"/>
      <x:c r="H82" s="11" t="n"/>
      <x:c r="I82" s="11" t="n"/>
      <x:c r="J82" s="11" t="n"/>
      <x:c r="K82" s="11" t="n"/>
      <x:c r="L82" s="11" t="n"/>
      <x:c r="M82" s="11" t="n"/>
      <x:c r="N82" s="11" t="n"/>
      <x:c r="O82" s="12">
        <x:f>CONFIG_REFERENCIA!$E$3</x:f>
        <x:v>0.35</x:v>
      </x:c>
      <x:c r="P82" s="12">
        <x:f>CONFIG_REFERENCIA!$E$4</x:f>
        <x:v>0.25</x:v>
      </x:c>
      <x:c r="Q82" s="12">
        <x:f>CONFIG_REFERENCIA!$E$5</x:f>
        <x:v>0.25</x:v>
      </x:c>
      <x:c r="R82" s="12">
        <x:f>CONFIG_REFERENCIA!$E$6</x:f>
        <x:v>0.1</x:v>
      </x:c>
      <x:c r="S82" s="13">
        <x:f>IF($F82="","",INDEX(CONFIG_REFERENCIA!$B$3:$B$6,MATCH($F82,CONFIG_REFERENCIA!$A$3:$A$6,0)))</x:f>
      </x:c>
      <x:c r="T82" s="14" t="n"/>
      <x:c r="U82" s="14" t="n"/>
      <x:c r="V82" s="14" t="n"/>
      <x:c r="W82" s="14" t="n"/>
      <x:c r="X82" s="15">
        <x:f>IF(COUNTA($T82:$W82)&lt;4,"",$S82*($O82*$T82+$P82*$U82+$Q82*$V82+$R82*$W82))</x:f>
      </x:c>
      <x:c r="Y82" s="14" t="n"/>
      <x:c r="Z82" s="14" t="n"/>
      <x:c r="AA82" s="16" t="n"/>
      <x:c r="AB82" s="16" t="n"/>
      <x:c r="AC82" s="11" t="n"/>
      <x:c r="AD82" s="11" t="n"/>
    </x:row>
    <x:row r="83">
      <x:c r="A83" s="11" t="n"/>
      <x:c r="B83" s="11" t="n"/>
      <x:c r="C83" s="11" t="n"/>
      <x:c r="D83" s="11" t="n"/>
      <x:c r="E83" s="11" t="n"/>
      <x:c r="F83" s="11" t="n"/>
      <x:c r="G83" s="11" t="n"/>
      <x:c r="H83" s="11" t="n"/>
      <x:c r="I83" s="11" t="n"/>
      <x:c r="J83" s="11" t="n"/>
      <x:c r="K83" s="11" t="n"/>
      <x:c r="L83" s="11" t="n"/>
      <x:c r="M83" s="11" t="n"/>
      <x:c r="N83" s="11" t="n"/>
      <x:c r="O83" s="12">
        <x:f>CONFIG_REFERENCIA!$E$3</x:f>
        <x:v>0.35</x:v>
      </x:c>
      <x:c r="P83" s="12">
        <x:f>CONFIG_REFERENCIA!$E$4</x:f>
        <x:v>0.25</x:v>
      </x:c>
      <x:c r="Q83" s="12">
        <x:f>CONFIG_REFERENCIA!$E$5</x:f>
        <x:v>0.25</x:v>
      </x:c>
      <x:c r="R83" s="12">
        <x:f>CONFIG_REFERENCIA!$E$6</x:f>
        <x:v>0.1</x:v>
      </x:c>
      <x:c r="S83" s="13">
        <x:f>IF($F83="","",INDEX(CONFIG_REFERENCIA!$B$3:$B$6,MATCH($F83,CONFIG_REFERENCIA!$A$3:$A$6,0)))</x:f>
      </x:c>
      <x:c r="T83" s="14" t="n"/>
      <x:c r="U83" s="14" t="n"/>
      <x:c r="V83" s="14" t="n"/>
      <x:c r="W83" s="14" t="n"/>
      <x:c r="X83" s="15">
        <x:f>IF(COUNTA($T83:$W83)&lt;4,"",$S83*($O83*$T83+$P83*$U83+$Q83*$V83+$R83*$W83))</x:f>
      </x:c>
      <x:c r="Y83" s="14" t="n"/>
      <x:c r="Z83" s="14" t="n"/>
      <x:c r="AA83" s="16" t="n"/>
      <x:c r="AB83" s="16" t="n"/>
      <x:c r="AC83" s="11" t="n"/>
      <x:c r="AD83" s="11" t="n"/>
    </x:row>
    <x:row r="84">
      <x:c r="A84" s="11" t="n"/>
      <x:c r="B84" s="11" t="n"/>
      <x:c r="C84" s="11" t="n"/>
      <x:c r="D84" s="11" t="n"/>
      <x:c r="E84" s="11" t="n"/>
      <x:c r="F84" s="11" t="n"/>
      <x:c r="G84" s="11" t="n"/>
      <x:c r="H84" s="11" t="n"/>
      <x:c r="I84" s="11" t="n"/>
      <x:c r="J84" s="11" t="n"/>
      <x:c r="K84" s="11" t="n"/>
      <x:c r="L84" s="11" t="n"/>
      <x:c r="M84" s="11" t="n"/>
      <x:c r="N84" s="11" t="n"/>
      <x:c r="O84" s="12">
        <x:f>CONFIG_REFERENCIA!$E$3</x:f>
        <x:v>0.35</x:v>
      </x:c>
      <x:c r="P84" s="12">
        <x:f>CONFIG_REFERENCIA!$E$4</x:f>
        <x:v>0.25</x:v>
      </x:c>
      <x:c r="Q84" s="12">
        <x:f>CONFIG_REFERENCIA!$E$5</x:f>
        <x:v>0.25</x:v>
      </x:c>
      <x:c r="R84" s="12">
        <x:f>CONFIG_REFERENCIA!$E$6</x:f>
        <x:v>0.1</x:v>
      </x:c>
      <x:c r="S84" s="13">
        <x:f>IF($F84="","",INDEX(CONFIG_REFERENCIA!$B$3:$B$6,MATCH($F84,CONFIG_REFERENCIA!$A$3:$A$6,0)))</x:f>
      </x:c>
      <x:c r="T84" s="14" t="n"/>
      <x:c r="U84" s="14" t="n"/>
      <x:c r="V84" s="14" t="n"/>
      <x:c r="W84" s="14" t="n"/>
      <x:c r="X84" s="15">
        <x:f>IF(COUNTA($T84:$W84)&lt;4,"",$S84*($O84*$T84+$P84*$U84+$Q84*$V84+$R84*$W84))</x:f>
      </x:c>
      <x:c r="Y84" s="14" t="n"/>
      <x:c r="Z84" s="14" t="n"/>
      <x:c r="AA84" s="16" t="n"/>
      <x:c r="AB84" s="16" t="n"/>
      <x:c r="AC84" s="11" t="n"/>
      <x:c r="AD84" s="11" t="n"/>
    </x:row>
    <x:row r="85">
      <x:c r="A85" s="11" t="n"/>
      <x:c r="B85" s="11" t="n"/>
      <x:c r="C85" s="11" t="n"/>
      <x:c r="D85" s="11" t="n"/>
      <x:c r="E85" s="11" t="n"/>
      <x:c r="F85" s="11" t="n"/>
      <x:c r="G85" s="11" t="n"/>
      <x:c r="H85" s="11" t="n"/>
      <x:c r="I85" s="11" t="n"/>
      <x:c r="J85" s="11" t="n"/>
      <x:c r="K85" s="11" t="n"/>
      <x:c r="L85" s="11" t="n"/>
      <x:c r="M85" s="11" t="n"/>
      <x:c r="N85" s="11" t="n"/>
      <x:c r="O85" s="12">
        <x:f>CONFIG_REFERENCIA!$E$3</x:f>
        <x:v>0.35</x:v>
      </x:c>
      <x:c r="P85" s="12">
        <x:f>CONFIG_REFERENCIA!$E$4</x:f>
        <x:v>0.25</x:v>
      </x:c>
      <x:c r="Q85" s="12">
        <x:f>CONFIG_REFERENCIA!$E$5</x:f>
        <x:v>0.25</x:v>
      </x:c>
      <x:c r="R85" s="12">
        <x:f>CONFIG_REFERENCIA!$E$6</x:f>
        <x:v>0.1</x:v>
      </x:c>
      <x:c r="S85" s="13">
        <x:f>IF($F85="","",INDEX(CONFIG_REFERENCIA!$B$3:$B$6,MATCH($F85,CONFIG_REFERENCIA!$A$3:$A$6,0)))</x:f>
      </x:c>
      <x:c r="T85" s="14" t="n"/>
      <x:c r="U85" s="14" t="n"/>
      <x:c r="V85" s="14" t="n"/>
      <x:c r="W85" s="14" t="n"/>
      <x:c r="X85" s="15">
        <x:f>IF(COUNTA($T85:$W85)&lt;4,"",$S85*($O85*$T85+$P85*$U85+$Q85*$V85+$R85*$W85))</x:f>
      </x:c>
      <x:c r="Y85" s="14" t="n"/>
      <x:c r="Z85" s="14" t="n"/>
      <x:c r="AA85" s="16" t="n"/>
      <x:c r="AB85" s="16" t="n"/>
      <x:c r="AC85" s="11" t="n"/>
      <x:c r="AD85" s="11" t="n"/>
    </x:row>
    <x:row r="86">
      <x:c r="A86" s="11" t="n"/>
      <x:c r="B86" s="11" t="n"/>
      <x:c r="C86" s="11" t="n"/>
      <x:c r="D86" s="11" t="n"/>
      <x:c r="E86" s="11" t="n"/>
      <x:c r="F86" s="11" t="n"/>
      <x:c r="G86" s="11" t="n"/>
      <x:c r="H86" s="11" t="n"/>
      <x:c r="I86" s="11" t="n"/>
      <x:c r="J86" s="11" t="n"/>
      <x:c r="K86" s="11" t="n"/>
      <x:c r="L86" s="11" t="n"/>
      <x:c r="M86" s="11" t="n"/>
      <x:c r="N86" s="11" t="n"/>
      <x:c r="O86" s="12">
        <x:f>CONFIG_REFERENCIA!$E$3</x:f>
        <x:v>0.35</x:v>
      </x:c>
      <x:c r="P86" s="12">
        <x:f>CONFIG_REFERENCIA!$E$4</x:f>
        <x:v>0.25</x:v>
      </x:c>
      <x:c r="Q86" s="12">
        <x:f>CONFIG_REFERENCIA!$E$5</x:f>
        <x:v>0.25</x:v>
      </x:c>
      <x:c r="R86" s="12">
        <x:f>CONFIG_REFERENCIA!$E$6</x:f>
        <x:v>0.1</x:v>
      </x:c>
      <x:c r="S86" s="13">
        <x:f>IF($F86="","",INDEX(CONFIG_REFERENCIA!$B$3:$B$6,MATCH($F86,CONFIG_REFERENCIA!$A$3:$A$6,0)))</x:f>
      </x:c>
      <x:c r="T86" s="14" t="n"/>
      <x:c r="U86" s="14" t="n"/>
      <x:c r="V86" s="14" t="n"/>
      <x:c r="W86" s="14" t="n"/>
      <x:c r="X86" s="15">
        <x:f>IF(COUNTA($T86:$W86)&lt;4,"",$S86*($O86*$T86+$P86*$U86+$Q86*$V86+$R86*$W86))</x:f>
      </x:c>
      <x:c r="Y86" s="14" t="n"/>
      <x:c r="Z86" s="14" t="n"/>
      <x:c r="AA86" s="16" t="n"/>
      <x:c r="AB86" s="16" t="n"/>
      <x:c r="AC86" s="11" t="n"/>
      <x:c r="AD86" s="11" t="n"/>
    </x:row>
    <x:row r="87">
      <x:c r="A87" s="11" t="n"/>
      <x:c r="B87" s="11" t="n"/>
      <x:c r="C87" s="11" t="n"/>
      <x:c r="D87" s="11" t="n"/>
      <x:c r="E87" s="11" t="n"/>
      <x:c r="F87" s="11" t="n"/>
      <x:c r="G87" s="11" t="n"/>
      <x:c r="H87" s="11" t="n"/>
      <x:c r="I87" s="11" t="n"/>
      <x:c r="J87" s="11" t="n"/>
      <x:c r="K87" s="11" t="n"/>
      <x:c r="L87" s="11" t="n"/>
      <x:c r="M87" s="11" t="n"/>
      <x:c r="N87" s="11" t="n"/>
      <x:c r="O87" s="12">
        <x:f>CONFIG_REFERENCIA!$E$3</x:f>
        <x:v>0.35</x:v>
      </x:c>
      <x:c r="P87" s="12">
        <x:f>CONFIG_REFERENCIA!$E$4</x:f>
        <x:v>0.25</x:v>
      </x:c>
      <x:c r="Q87" s="12">
        <x:f>CONFIG_REFERENCIA!$E$5</x:f>
        <x:v>0.25</x:v>
      </x:c>
      <x:c r="R87" s="12">
        <x:f>CONFIG_REFERENCIA!$E$6</x:f>
        <x:v>0.1</x:v>
      </x:c>
      <x:c r="S87" s="13">
        <x:f>IF($F87="","",INDEX(CONFIG_REFERENCIA!$B$3:$B$6,MATCH($F87,CONFIG_REFERENCIA!$A$3:$A$6,0)))</x:f>
      </x:c>
      <x:c r="T87" s="14" t="n"/>
      <x:c r="U87" s="14" t="n"/>
      <x:c r="V87" s="14" t="n"/>
      <x:c r="W87" s="14" t="n"/>
      <x:c r="X87" s="15">
        <x:f>IF(COUNTA($T87:$W87)&lt;4,"",$S87*($O87*$T87+$P87*$U87+$Q87*$V87+$R87*$W87))</x:f>
      </x:c>
      <x:c r="Y87" s="14" t="n"/>
      <x:c r="Z87" s="14" t="n"/>
      <x:c r="AA87" s="16" t="n"/>
      <x:c r="AB87" s="16" t="n"/>
      <x:c r="AC87" s="11" t="n"/>
      <x:c r="AD87" s="11" t="n"/>
    </x:row>
    <x:row r="88">
      <x:c r="A88" s="11" t="n"/>
      <x:c r="B88" s="11" t="n"/>
      <x:c r="C88" s="11" t="n"/>
      <x:c r="D88" s="11" t="n"/>
      <x:c r="E88" s="11" t="n"/>
      <x:c r="F88" s="11" t="n"/>
      <x:c r="G88" s="11" t="n"/>
      <x:c r="H88" s="11" t="n"/>
      <x:c r="I88" s="11" t="n"/>
      <x:c r="J88" s="11" t="n"/>
      <x:c r="K88" s="11" t="n"/>
      <x:c r="L88" s="11" t="n"/>
      <x:c r="M88" s="11" t="n"/>
      <x:c r="N88" s="11" t="n"/>
      <x:c r="O88" s="12">
        <x:f>CONFIG_REFERENCIA!$E$3</x:f>
        <x:v>0.35</x:v>
      </x:c>
      <x:c r="P88" s="12">
        <x:f>CONFIG_REFERENCIA!$E$4</x:f>
        <x:v>0.25</x:v>
      </x:c>
      <x:c r="Q88" s="12">
        <x:f>CONFIG_REFERENCIA!$E$5</x:f>
        <x:v>0.25</x:v>
      </x:c>
      <x:c r="R88" s="12">
        <x:f>CONFIG_REFERENCIA!$E$6</x:f>
        <x:v>0.1</x:v>
      </x:c>
      <x:c r="S88" s="13">
        <x:f>IF($F88="","",INDEX(CONFIG_REFERENCIA!$B$3:$B$6,MATCH($F88,CONFIG_REFERENCIA!$A$3:$A$6,0)))</x:f>
      </x:c>
      <x:c r="T88" s="14" t="n"/>
      <x:c r="U88" s="14" t="n"/>
      <x:c r="V88" s="14" t="n"/>
      <x:c r="W88" s="14" t="n"/>
      <x:c r="X88" s="15">
        <x:f>IF(COUNTA($T88:$W88)&lt;4,"",$S88*($O88*$T88+$P88*$U88+$Q88*$V88+$R88*$W88))</x:f>
      </x:c>
      <x:c r="Y88" s="14" t="n"/>
      <x:c r="Z88" s="14" t="n"/>
      <x:c r="AA88" s="16" t="n"/>
      <x:c r="AB88" s="16" t="n"/>
      <x:c r="AC88" s="11" t="n"/>
      <x:c r="AD88" s="11" t="n"/>
    </x:row>
    <x:row r="89">
      <x:c r="A89" s="11" t="n"/>
      <x:c r="B89" s="11" t="n"/>
      <x:c r="C89" s="11" t="n"/>
      <x:c r="D89" s="11" t="n"/>
      <x:c r="E89" s="11" t="n"/>
      <x:c r="F89" s="11" t="n"/>
      <x:c r="G89" s="11" t="n"/>
      <x:c r="H89" s="11" t="n"/>
      <x:c r="I89" s="11" t="n"/>
      <x:c r="J89" s="11" t="n"/>
      <x:c r="K89" s="11" t="n"/>
      <x:c r="L89" s="11" t="n"/>
      <x:c r="M89" s="11" t="n"/>
      <x:c r="N89" s="11" t="n"/>
      <x:c r="O89" s="12">
        <x:f>CONFIG_REFERENCIA!$E$3</x:f>
        <x:v>0.35</x:v>
      </x:c>
      <x:c r="P89" s="12">
        <x:f>CONFIG_REFERENCIA!$E$4</x:f>
        <x:v>0.25</x:v>
      </x:c>
      <x:c r="Q89" s="12">
        <x:f>CONFIG_REFERENCIA!$E$5</x:f>
        <x:v>0.25</x:v>
      </x:c>
      <x:c r="R89" s="12">
        <x:f>CONFIG_REFERENCIA!$E$6</x:f>
        <x:v>0.1</x:v>
      </x:c>
      <x:c r="S89" s="13">
        <x:f>IF($F89="","",INDEX(CONFIG_REFERENCIA!$B$3:$B$6,MATCH($F89,CONFIG_REFERENCIA!$A$3:$A$6,0)))</x:f>
      </x:c>
      <x:c r="T89" s="14" t="n"/>
      <x:c r="U89" s="14" t="n"/>
      <x:c r="V89" s="14" t="n"/>
      <x:c r="W89" s="14" t="n"/>
      <x:c r="X89" s="15">
        <x:f>IF(COUNTA($T89:$W89)&lt;4,"",$S89*($O89*$T89+$P89*$U89+$Q89*$V89+$R89*$W89))</x:f>
      </x:c>
      <x:c r="Y89" s="14" t="n"/>
      <x:c r="Z89" s="14" t="n"/>
      <x:c r="AA89" s="16" t="n"/>
      <x:c r="AB89" s="16" t="n"/>
      <x:c r="AC89" s="11" t="n"/>
      <x:c r="AD89" s="11" t="n"/>
    </x:row>
    <x:row r="90">
      <x:c r="A90" s="11" t="n"/>
      <x:c r="B90" s="11" t="n"/>
      <x:c r="C90" s="11" t="n"/>
      <x:c r="D90" s="11" t="n"/>
      <x:c r="E90" s="11" t="n"/>
      <x:c r="F90" s="11" t="n"/>
      <x:c r="G90" s="11" t="n"/>
      <x:c r="H90" s="11" t="n"/>
      <x:c r="I90" s="11" t="n"/>
      <x:c r="J90" s="11" t="n"/>
      <x:c r="K90" s="11" t="n"/>
      <x:c r="L90" s="11" t="n"/>
      <x:c r="M90" s="11" t="n"/>
      <x:c r="N90" s="11" t="n"/>
      <x:c r="O90" s="12">
        <x:f>CONFIG_REFERENCIA!$E$3</x:f>
        <x:v>0.35</x:v>
      </x:c>
      <x:c r="P90" s="12">
        <x:f>CONFIG_REFERENCIA!$E$4</x:f>
        <x:v>0.25</x:v>
      </x:c>
      <x:c r="Q90" s="12">
        <x:f>CONFIG_REFERENCIA!$E$5</x:f>
        <x:v>0.25</x:v>
      </x:c>
      <x:c r="R90" s="12">
        <x:f>CONFIG_REFERENCIA!$E$6</x:f>
        <x:v>0.1</x:v>
      </x:c>
      <x:c r="S90" s="13">
        <x:f>IF($F90="","",INDEX(CONFIG_REFERENCIA!$B$3:$B$6,MATCH($F90,CONFIG_REFERENCIA!$A$3:$A$6,0)))</x:f>
      </x:c>
      <x:c r="T90" s="14" t="n"/>
      <x:c r="U90" s="14" t="n"/>
      <x:c r="V90" s="14" t="n"/>
      <x:c r="W90" s="14" t="n"/>
      <x:c r="X90" s="15">
        <x:f>IF(COUNTA($T90:$W90)&lt;4,"",$S90*($O90*$T90+$P90*$U90+$Q90*$V90+$R90*$W90))</x:f>
      </x:c>
      <x:c r="Y90" s="14" t="n"/>
      <x:c r="Z90" s="14" t="n"/>
      <x:c r="AA90" s="16" t="n"/>
      <x:c r="AB90" s="16" t="n"/>
      <x:c r="AC90" s="11" t="n"/>
      <x:c r="AD90" s="11" t="n"/>
    </x:row>
    <x:row r="91">
      <x:c r="A91" s="11" t="n"/>
      <x:c r="B91" s="11" t="n"/>
      <x:c r="C91" s="11" t="n"/>
      <x:c r="D91" s="11" t="n"/>
      <x:c r="E91" s="11" t="n"/>
      <x:c r="F91" s="11" t="n"/>
      <x:c r="G91" s="11" t="n"/>
      <x:c r="H91" s="11" t="n"/>
      <x:c r="I91" s="11" t="n"/>
      <x:c r="J91" s="11" t="n"/>
      <x:c r="K91" s="11" t="n"/>
      <x:c r="L91" s="11" t="n"/>
      <x:c r="M91" s="11" t="n"/>
      <x:c r="N91" s="11" t="n"/>
      <x:c r="O91" s="12">
        <x:f>CONFIG_REFERENCIA!$E$3</x:f>
        <x:v>0.35</x:v>
      </x:c>
      <x:c r="P91" s="12">
        <x:f>CONFIG_REFERENCIA!$E$4</x:f>
        <x:v>0.25</x:v>
      </x:c>
      <x:c r="Q91" s="12">
        <x:f>CONFIG_REFERENCIA!$E$5</x:f>
        <x:v>0.25</x:v>
      </x:c>
      <x:c r="R91" s="12">
        <x:f>CONFIG_REFERENCIA!$E$6</x:f>
        <x:v>0.1</x:v>
      </x:c>
      <x:c r="S91" s="13">
        <x:f>IF($F91="","",INDEX(CONFIG_REFERENCIA!$B$3:$B$6,MATCH($F91,CONFIG_REFERENCIA!$A$3:$A$6,0)))</x:f>
      </x:c>
      <x:c r="T91" s="14" t="n"/>
      <x:c r="U91" s="14" t="n"/>
      <x:c r="V91" s="14" t="n"/>
      <x:c r="W91" s="14" t="n"/>
      <x:c r="X91" s="15">
        <x:f>IF(COUNTA($T91:$W91)&lt;4,"",$S91*($O91*$T91+$P91*$U91+$Q91*$V91+$R91*$W91))</x:f>
      </x:c>
      <x:c r="Y91" s="14" t="n"/>
      <x:c r="Z91" s="14" t="n"/>
      <x:c r="AA91" s="16" t="n"/>
      <x:c r="AB91" s="16" t="n"/>
      <x:c r="AC91" s="11" t="n"/>
      <x:c r="AD91" s="11" t="n"/>
    </x:row>
    <x:row r="92">
      <x:c r="A92" s="11" t="n"/>
      <x:c r="B92" s="11" t="n"/>
      <x:c r="C92" s="11" t="n"/>
      <x:c r="D92" s="11" t="n"/>
      <x:c r="E92" s="11" t="n"/>
      <x:c r="F92" s="11" t="n"/>
      <x:c r="G92" s="11" t="n"/>
      <x:c r="H92" s="11" t="n"/>
      <x:c r="I92" s="11" t="n"/>
      <x:c r="J92" s="11" t="n"/>
      <x:c r="K92" s="11" t="n"/>
      <x:c r="L92" s="11" t="n"/>
      <x:c r="M92" s="11" t="n"/>
      <x:c r="N92" s="11" t="n"/>
      <x:c r="O92" s="12">
        <x:f>CONFIG_REFERENCIA!$E$3</x:f>
        <x:v>0.35</x:v>
      </x:c>
      <x:c r="P92" s="12">
        <x:f>CONFIG_REFERENCIA!$E$4</x:f>
        <x:v>0.25</x:v>
      </x:c>
      <x:c r="Q92" s="12">
        <x:f>CONFIG_REFERENCIA!$E$5</x:f>
        <x:v>0.25</x:v>
      </x:c>
      <x:c r="R92" s="12">
        <x:f>CONFIG_REFERENCIA!$E$6</x:f>
        <x:v>0.1</x:v>
      </x:c>
      <x:c r="S92" s="13">
        <x:f>IF($F92="","",INDEX(CONFIG_REFERENCIA!$B$3:$B$6,MATCH($F92,CONFIG_REFERENCIA!$A$3:$A$6,0)))</x:f>
      </x:c>
      <x:c r="T92" s="14" t="n"/>
      <x:c r="U92" s="14" t="n"/>
      <x:c r="V92" s="14" t="n"/>
      <x:c r="W92" s="14" t="n"/>
      <x:c r="X92" s="15">
        <x:f>IF(COUNTA($T92:$W92)&lt;4,"",$S92*($O92*$T92+$P92*$U92+$Q92*$V92+$R92*$W92))</x:f>
      </x:c>
      <x:c r="Y92" s="14" t="n"/>
      <x:c r="Z92" s="14" t="n"/>
      <x:c r="AA92" s="16" t="n"/>
      <x:c r="AB92" s="16" t="n"/>
      <x:c r="AC92" s="11" t="n"/>
      <x:c r="AD92" s="11" t="n"/>
    </x:row>
    <x:row r="93">
      <x:c r="A93" s="11" t="n"/>
      <x:c r="B93" s="11" t="n"/>
      <x:c r="C93" s="11" t="n"/>
      <x:c r="D93" s="11" t="n"/>
      <x:c r="E93" s="11" t="n"/>
      <x:c r="F93" s="11" t="n"/>
      <x:c r="G93" s="11" t="n"/>
      <x:c r="H93" s="11" t="n"/>
      <x:c r="I93" s="11" t="n"/>
      <x:c r="J93" s="11" t="n"/>
      <x:c r="K93" s="11" t="n"/>
      <x:c r="L93" s="11" t="n"/>
      <x:c r="M93" s="11" t="n"/>
      <x:c r="N93" s="11" t="n"/>
      <x:c r="O93" s="12">
        <x:f>CONFIG_REFERENCIA!$E$3</x:f>
        <x:v>0.35</x:v>
      </x:c>
      <x:c r="P93" s="12">
        <x:f>CONFIG_REFERENCIA!$E$4</x:f>
        <x:v>0.25</x:v>
      </x:c>
      <x:c r="Q93" s="12">
        <x:f>CONFIG_REFERENCIA!$E$5</x:f>
        <x:v>0.25</x:v>
      </x:c>
      <x:c r="R93" s="12">
        <x:f>CONFIG_REFERENCIA!$E$6</x:f>
        <x:v>0.1</x:v>
      </x:c>
      <x:c r="S93" s="13">
        <x:f>IF($F93="","",INDEX(CONFIG_REFERENCIA!$B$3:$B$6,MATCH($F93,CONFIG_REFERENCIA!$A$3:$A$6,0)))</x:f>
      </x:c>
      <x:c r="T93" s="14" t="n"/>
      <x:c r="U93" s="14" t="n"/>
      <x:c r="V93" s="14" t="n"/>
      <x:c r="W93" s="14" t="n"/>
      <x:c r="X93" s="15">
        <x:f>IF(COUNTA($T93:$W93)&lt;4,"",$S93*($O93*$T93+$P93*$U93+$Q93*$V93+$R93*$W93))</x:f>
      </x:c>
      <x:c r="Y93" s="14" t="n"/>
      <x:c r="Z93" s="14" t="n"/>
      <x:c r="AA93" s="16" t="n"/>
      <x:c r="AB93" s="16" t="n"/>
      <x:c r="AC93" s="11" t="n"/>
      <x:c r="AD93" s="11" t="n"/>
    </x:row>
    <x:row r="94">
      <x:c r="A94" s="11" t="n"/>
      <x:c r="B94" s="11" t="n"/>
      <x:c r="C94" s="11" t="n"/>
      <x:c r="D94" s="11" t="n"/>
      <x:c r="E94" s="11" t="n"/>
      <x:c r="F94" s="11" t="n"/>
      <x:c r="G94" s="11" t="n"/>
      <x:c r="H94" s="11" t="n"/>
      <x:c r="I94" s="11" t="n"/>
      <x:c r="J94" s="11" t="n"/>
      <x:c r="K94" s="11" t="n"/>
      <x:c r="L94" s="11" t="n"/>
      <x:c r="M94" s="11" t="n"/>
      <x:c r="N94" s="11" t="n"/>
      <x:c r="O94" s="12">
        <x:f>CONFIG_REFERENCIA!$E$3</x:f>
        <x:v>0.35</x:v>
      </x:c>
      <x:c r="P94" s="12">
        <x:f>CONFIG_REFERENCIA!$E$4</x:f>
        <x:v>0.25</x:v>
      </x:c>
      <x:c r="Q94" s="12">
        <x:f>CONFIG_REFERENCIA!$E$5</x:f>
        <x:v>0.25</x:v>
      </x:c>
      <x:c r="R94" s="12">
        <x:f>CONFIG_REFERENCIA!$E$6</x:f>
        <x:v>0.1</x:v>
      </x:c>
      <x:c r="S94" s="13">
        <x:f>IF($F94="","",INDEX(CONFIG_REFERENCIA!$B$3:$B$6,MATCH($F94,CONFIG_REFERENCIA!$A$3:$A$6,0)))</x:f>
      </x:c>
      <x:c r="T94" s="14" t="n"/>
      <x:c r="U94" s="14" t="n"/>
      <x:c r="V94" s="14" t="n"/>
      <x:c r="W94" s="14" t="n"/>
      <x:c r="X94" s="15">
        <x:f>IF(COUNTA($T94:$W94)&lt;4,"",$S94*($O94*$T94+$P94*$U94+$Q94*$V94+$R94*$W94))</x:f>
      </x:c>
      <x:c r="Y94" s="14" t="n"/>
      <x:c r="Z94" s="14" t="n"/>
      <x:c r="AA94" s="16" t="n"/>
      <x:c r="AB94" s="16" t="n"/>
      <x:c r="AC94" s="11" t="n"/>
      <x:c r="AD94" s="11" t="n"/>
    </x:row>
    <x:row r="95">
      <x:c r="A95" s="11" t="n"/>
      <x:c r="B95" s="11" t="n"/>
      <x:c r="C95" s="11" t="n"/>
      <x:c r="D95" s="11" t="n"/>
      <x:c r="E95" s="11" t="n"/>
      <x:c r="F95" s="11" t="n"/>
      <x:c r="G95" s="11" t="n"/>
      <x:c r="H95" s="11" t="n"/>
      <x:c r="I95" s="11" t="n"/>
      <x:c r="J95" s="11" t="n"/>
      <x:c r="K95" s="11" t="n"/>
      <x:c r="L95" s="11" t="n"/>
      <x:c r="M95" s="11" t="n"/>
      <x:c r="N95" s="11" t="n"/>
      <x:c r="O95" s="12">
        <x:f>CONFIG_REFERENCIA!$E$3</x:f>
        <x:v>0.35</x:v>
      </x:c>
      <x:c r="P95" s="12">
        <x:f>CONFIG_REFERENCIA!$E$4</x:f>
        <x:v>0.25</x:v>
      </x:c>
      <x:c r="Q95" s="12">
        <x:f>CONFIG_REFERENCIA!$E$5</x:f>
        <x:v>0.25</x:v>
      </x:c>
      <x:c r="R95" s="12">
        <x:f>CONFIG_REFERENCIA!$E$6</x:f>
        <x:v>0.1</x:v>
      </x:c>
      <x:c r="S95" s="13">
        <x:f>IF($F95="","",INDEX(CONFIG_REFERENCIA!$B$3:$B$6,MATCH($F95,CONFIG_REFERENCIA!$A$3:$A$6,0)))</x:f>
      </x:c>
      <x:c r="T95" s="14" t="n"/>
      <x:c r="U95" s="14" t="n"/>
      <x:c r="V95" s="14" t="n"/>
      <x:c r="W95" s="14" t="n"/>
      <x:c r="X95" s="15">
        <x:f>IF(COUNTA($T95:$W95)&lt;4,"",$S95*($O95*$T95+$P95*$U95+$Q95*$V95+$R95*$W95))</x:f>
      </x:c>
      <x:c r="Y95" s="14" t="n"/>
      <x:c r="Z95" s="14" t="n"/>
      <x:c r="AA95" s="16" t="n"/>
      <x:c r="AB95" s="16" t="n"/>
      <x:c r="AC95" s="11" t="n"/>
      <x:c r="AD95" s="11" t="n"/>
    </x:row>
    <x:row r="96">
      <x:c r="A96" s="11" t="n"/>
      <x:c r="B96" s="11" t="n"/>
      <x:c r="C96" s="11" t="n"/>
      <x:c r="D96" s="11" t="n"/>
      <x:c r="E96" s="11" t="n"/>
      <x:c r="F96" s="11" t="n"/>
      <x:c r="G96" s="11" t="n"/>
      <x:c r="H96" s="11" t="n"/>
      <x:c r="I96" s="11" t="n"/>
      <x:c r="J96" s="11" t="n"/>
      <x:c r="K96" s="11" t="n"/>
      <x:c r="L96" s="11" t="n"/>
      <x:c r="M96" s="11" t="n"/>
      <x:c r="N96" s="11" t="n"/>
      <x:c r="O96" s="12">
        <x:f>CONFIG_REFERENCIA!$E$3</x:f>
        <x:v>0.35</x:v>
      </x:c>
      <x:c r="P96" s="12">
        <x:f>CONFIG_REFERENCIA!$E$4</x:f>
        <x:v>0.25</x:v>
      </x:c>
      <x:c r="Q96" s="12">
        <x:f>CONFIG_REFERENCIA!$E$5</x:f>
        <x:v>0.25</x:v>
      </x:c>
      <x:c r="R96" s="12">
        <x:f>CONFIG_REFERENCIA!$E$6</x:f>
        <x:v>0.1</x:v>
      </x:c>
      <x:c r="S96" s="13">
        <x:f>IF($F96="","",INDEX(CONFIG_REFERENCIA!$B$3:$B$6,MATCH($F96,CONFIG_REFERENCIA!$A$3:$A$6,0)))</x:f>
      </x:c>
      <x:c r="T96" s="14" t="n"/>
      <x:c r="U96" s="14" t="n"/>
      <x:c r="V96" s="14" t="n"/>
      <x:c r="W96" s="14" t="n"/>
      <x:c r="X96" s="15">
        <x:f>IF(COUNTA($T96:$W96)&lt;4,"",$S96*($O96*$T96+$P96*$U96+$Q96*$V96+$R96*$W96))</x:f>
      </x:c>
      <x:c r="Y96" s="14" t="n"/>
      <x:c r="Z96" s="14" t="n"/>
      <x:c r="AA96" s="16" t="n"/>
      <x:c r="AB96" s="16" t="n"/>
      <x:c r="AC96" s="11" t="n"/>
      <x:c r="AD96" s="11" t="n"/>
    </x:row>
    <x:row r="97">
      <x:c r="A97" s="11" t="n"/>
      <x:c r="B97" s="11" t="n"/>
      <x:c r="C97" s="11" t="n"/>
      <x:c r="D97" s="11" t="n"/>
      <x:c r="E97" s="11" t="n"/>
      <x:c r="F97" s="11" t="n"/>
      <x:c r="G97" s="11" t="n"/>
      <x:c r="H97" s="11" t="n"/>
      <x:c r="I97" s="11" t="n"/>
      <x:c r="J97" s="11" t="n"/>
      <x:c r="K97" s="11" t="n"/>
      <x:c r="L97" s="11" t="n"/>
      <x:c r="M97" s="11" t="n"/>
      <x:c r="N97" s="11" t="n"/>
      <x:c r="O97" s="12">
        <x:f>CONFIG_REFERENCIA!$E$3</x:f>
        <x:v>0.35</x:v>
      </x:c>
      <x:c r="P97" s="12">
        <x:f>CONFIG_REFERENCIA!$E$4</x:f>
        <x:v>0.25</x:v>
      </x:c>
      <x:c r="Q97" s="12">
        <x:f>CONFIG_REFERENCIA!$E$5</x:f>
        <x:v>0.25</x:v>
      </x:c>
      <x:c r="R97" s="12">
        <x:f>CONFIG_REFERENCIA!$E$6</x:f>
        <x:v>0.1</x:v>
      </x:c>
      <x:c r="S97" s="13">
        <x:f>IF($F97="","",INDEX(CONFIG_REFERENCIA!$B$3:$B$6,MATCH($F97,CONFIG_REFERENCIA!$A$3:$A$6,0)))</x:f>
      </x:c>
      <x:c r="T97" s="14" t="n"/>
      <x:c r="U97" s="14" t="n"/>
      <x:c r="V97" s="14" t="n"/>
      <x:c r="W97" s="14" t="n"/>
      <x:c r="X97" s="15">
        <x:f>IF(COUNTA($T97:$W97)&lt;4,"",$S97*($O97*$T97+$P97*$U97+$Q97*$V97+$R97*$W97))</x:f>
      </x:c>
      <x:c r="Y97" s="14" t="n"/>
      <x:c r="Z97" s="14" t="n"/>
      <x:c r="AA97" s="16" t="n"/>
      <x:c r="AB97" s="16" t="n"/>
      <x:c r="AC97" s="11" t="n"/>
      <x:c r="AD97" s="11" t="n"/>
    </x:row>
    <x:row r="98">
      <x:c r="A98" s="11" t="n"/>
      <x:c r="B98" s="11" t="n"/>
      <x:c r="C98" s="11" t="n"/>
      <x:c r="D98" s="11" t="n"/>
      <x:c r="E98" s="11" t="n"/>
      <x:c r="F98" s="11" t="n"/>
      <x:c r="G98" s="11" t="n"/>
      <x:c r="H98" s="11" t="n"/>
      <x:c r="I98" s="11" t="n"/>
      <x:c r="J98" s="11" t="n"/>
      <x:c r="K98" s="11" t="n"/>
      <x:c r="L98" s="11" t="n"/>
      <x:c r="M98" s="11" t="n"/>
      <x:c r="N98" s="11" t="n"/>
      <x:c r="O98" s="12">
        <x:f>CONFIG_REFERENCIA!$E$3</x:f>
        <x:v>0.35</x:v>
      </x:c>
      <x:c r="P98" s="12">
        <x:f>CONFIG_REFERENCIA!$E$4</x:f>
        <x:v>0.25</x:v>
      </x:c>
      <x:c r="Q98" s="12">
        <x:f>CONFIG_REFERENCIA!$E$5</x:f>
        <x:v>0.25</x:v>
      </x:c>
      <x:c r="R98" s="12">
        <x:f>CONFIG_REFERENCIA!$E$6</x:f>
        <x:v>0.1</x:v>
      </x:c>
      <x:c r="S98" s="13">
        <x:f>IF($F98="","",INDEX(CONFIG_REFERENCIA!$B$3:$B$6,MATCH($F98,CONFIG_REFERENCIA!$A$3:$A$6,0)))</x:f>
      </x:c>
      <x:c r="T98" s="14" t="n"/>
      <x:c r="U98" s="14" t="n"/>
      <x:c r="V98" s="14" t="n"/>
      <x:c r="W98" s="14" t="n"/>
      <x:c r="X98" s="15">
        <x:f>IF(COUNTA($T98:$W98)&lt;4,"",$S98*($O98*$T98+$P98*$U98+$Q98*$V98+$R98*$W98))</x:f>
      </x:c>
      <x:c r="Y98" s="14" t="n"/>
      <x:c r="Z98" s="14" t="n"/>
      <x:c r="AA98" s="16" t="n"/>
      <x:c r="AB98" s="16" t="n"/>
      <x:c r="AC98" s="11" t="n"/>
      <x:c r="AD98" s="11" t="n"/>
    </x:row>
    <x:row r="99">
      <x:c r="A99" s="11" t="n"/>
      <x:c r="B99" s="11" t="n"/>
      <x:c r="C99" s="11" t="n"/>
      <x:c r="D99" s="11" t="n"/>
      <x:c r="E99" s="11" t="n"/>
      <x:c r="F99" s="11" t="n"/>
      <x:c r="G99" s="11" t="n"/>
      <x:c r="H99" s="11" t="n"/>
      <x:c r="I99" s="11" t="n"/>
      <x:c r="J99" s="11" t="n"/>
      <x:c r="K99" s="11" t="n"/>
      <x:c r="L99" s="11" t="n"/>
      <x:c r="M99" s="11" t="n"/>
      <x:c r="N99" s="11" t="n"/>
      <x:c r="O99" s="12">
        <x:f>CONFIG_REFERENCIA!$E$3</x:f>
        <x:v>0.35</x:v>
      </x:c>
      <x:c r="P99" s="12">
        <x:f>CONFIG_REFERENCIA!$E$4</x:f>
        <x:v>0.25</x:v>
      </x:c>
      <x:c r="Q99" s="12">
        <x:f>CONFIG_REFERENCIA!$E$5</x:f>
        <x:v>0.25</x:v>
      </x:c>
      <x:c r="R99" s="12">
        <x:f>CONFIG_REFERENCIA!$E$6</x:f>
        <x:v>0.1</x:v>
      </x:c>
      <x:c r="S99" s="13">
        <x:f>IF($F99="","",INDEX(CONFIG_REFERENCIA!$B$3:$B$6,MATCH($F99,CONFIG_REFERENCIA!$A$3:$A$6,0)))</x:f>
      </x:c>
      <x:c r="T99" s="14" t="n"/>
      <x:c r="U99" s="14" t="n"/>
      <x:c r="V99" s="14" t="n"/>
      <x:c r="W99" s="14" t="n"/>
      <x:c r="X99" s="15">
        <x:f>IF(COUNTA($T99:$W99)&lt;4,"",$S99*($O99*$T99+$P99*$U99+$Q99*$V99+$R99*$W99))</x:f>
      </x:c>
      <x:c r="Y99" s="14" t="n"/>
      <x:c r="Z99" s="14" t="n"/>
      <x:c r="AA99" s="16" t="n"/>
      <x:c r="AB99" s="16" t="n"/>
      <x:c r="AC99" s="11" t="n"/>
      <x:c r="AD99" s="11" t="n"/>
    </x:row>
    <x:row r="100">
      <x:c r="A100" s="11" t="n"/>
      <x:c r="B100" s="11" t="n"/>
      <x:c r="C100" s="11" t="n"/>
      <x:c r="D100" s="11" t="n"/>
      <x:c r="E100" s="11" t="n"/>
      <x:c r="F100" s="11" t="n"/>
      <x:c r="G100" s="11" t="n"/>
      <x:c r="H100" s="11" t="n"/>
      <x:c r="I100" s="11" t="n"/>
      <x:c r="J100" s="11" t="n"/>
      <x:c r="K100" s="11" t="n"/>
      <x:c r="L100" s="11" t="n"/>
      <x:c r="M100" s="11" t="n"/>
      <x:c r="N100" s="11" t="n"/>
      <x:c r="O100" s="12">
        <x:f>CONFIG_REFERENCIA!$E$3</x:f>
        <x:v>0.35</x:v>
      </x:c>
      <x:c r="P100" s="12">
        <x:f>CONFIG_REFERENCIA!$E$4</x:f>
        <x:v>0.25</x:v>
      </x:c>
      <x:c r="Q100" s="12">
        <x:f>CONFIG_REFERENCIA!$E$5</x:f>
        <x:v>0.25</x:v>
      </x:c>
      <x:c r="R100" s="12">
        <x:f>CONFIG_REFERENCIA!$E$6</x:f>
        <x:v>0.1</x:v>
      </x:c>
      <x:c r="S100" s="13">
        <x:f>IF($F100="","",INDEX(CONFIG_REFERENCIA!$B$3:$B$6,MATCH($F100,CONFIG_REFERENCIA!$A$3:$A$6,0)))</x:f>
      </x:c>
      <x:c r="T100" s="14" t="n"/>
      <x:c r="U100" s="14" t="n"/>
      <x:c r="V100" s="14" t="n"/>
      <x:c r="W100" s="14" t="n"/>
      <x:c r="X100" s="15">
        <x:f>IF(COUNTA($T100:$W100)&lt;4,"",$S100*($O100*$T100+$P100*$U100+$Q100*$V100+$R100*$W100))</x:f>
      </x:c>
      <x:c r="Y100" s="14" t="n"/>
      <x:c r="Z100" s="14" t="n"/>
      <x:c r="AA100" s="16" t="n"/>
      <x:c r="AB100" s="16" t="n"/>
      <x:c r="AC100" s="11" t="n"/>
      <x:c r="AD100" s="11" t="n"/>
    </x:row>
    <x:row r="101">
      <x:c r="A101" s="11" t="n"/>
      <x:c r="B101" s="11" t="n"/>
      <x:c r="C101" s="11" t="n"/>
      <x:c r="D101" s="11" t="n"/>
      <x:c r="E101" s="11" t="n"/>
      <x:c r="F101" s="11" t="n"/>
      <x:c r="G101" s="11" t="n"/>
      <x:c r="H101" s="11" t="n"/>
      <x:c r="I101" s="11" t="n"/>
      <x:c r="J101" s="11" t="n"/>
      <x:c r="K101" s="11" t="n"/>
      <x:c r="L101" s="11" t="n"/>
      <x:c r="M101" s="11" t="n"/>
      <x:c r="N101" s="11" t="n"/>
      <x:c r="O101" s="12">
        <x:f>CONFIG_REFERENCIA!$E$3</x:f>
        <x:v>0.35</x:v>
      </x:c>
      <x:c r="P101" s="12">
        <x:f>CONFIG_REFERENCIA!$E$4</x:f>
        <x:v>0.25</x:v>
      </x:c>
      <x:c r="Q101" s="12">
        <x:f>CONFIG_REFERENCIA!$E$5</x:f>
        <x:v>0.25</x:v>
      </x:c>
      <x:c r="R101" s="12">
        <x:f>CONFIG_REFERENCIA!$E$6</x:f>
        <x:v>0.1</x:v>
      </x:c>
      <x:c r="S101" s="13">
        <x:f>IF($F101="","",INDEX(CONFIG_REFERENCIA!$B$3:$B$6,MATCH($F101,CONFIG_REFERENCIA!$A$3:$A$6,0)))</x:f>
      </x:c>
      <x:c r="T101" s="14" t="n"/>
      <x:c r="U101" s="14" t="n"/>
      <x:c r="V101" s="14" t="n"/>
      <x:c r="W101" s="14" t="n"/>
      <x:c r="X101" s="15">
        <x:f>IF(COUNTA($T101:$W101)&lt;4,"",$S101*($O101*$T101+$P101*$U101+$Q101*$V101+$R101*$W101))</x:f>
      </x:c>
      <x:c r="Y101" s="14" t="n"/>
      <x:c r="Z101" s="14" t="n"/>
      <x:c r="AA101" s="16" t="n"/>
      <x:c r="AB101" s="16" t="n"/>
      <x:c r="AC101" s="11" t="n"/>
      <x:c r="AD101" s="11" t="n"/>
    </x:row>
    <x:row r="102">
      <x:c r="A102" s="11" t="n"/>
      <x:c r="B102" s="11" t="n"/>
      <x:c r="C102" s="11" t="n"/>
      <x:c r="D102" s="11" t="n"/>
      <x:c r="E102" s="11" t="n"/>
      <x:c r="F102" s="11" t="n"/>
      <x:c r="G102" s="11" t="n"/>
      <x:c r="H102" s="11" t="n"/>
      <x:c r="I102" s="11" t="n"/>
      <x:c r="J102" s="11" t="n"/>
      <x:c r="K102" s="11" t="n"/>
      <x:c r="L102" s="11" t="n"/>
      <x:c r="M102" s="11" t="n"/>
      <x:c r="N102" s="11" t="n"/>
      <x:c r="O102" s="12">
        <x:f>CONFIG_REFERENCIA!$E$3</x:f>
        <x:v>0.35</x:v>
      </x:c>
      <x:c r="P102" s="12">
        <x:f>CONFIG_REFERENCIA!$E$4</x:f>
        <x:v>0.25</x:v>
      </x:c>
      <x:c r="Q102" s="12">
        <x:f>CONFIG_REFERENCIA!$E$5</x:f>
        <x:v>0.25</x:v>
      </x:c>
      <x:c r="R102" s="12">
        <x:f>CONFIG_REFERENCIA!$E$6</x:f>
        <x:v>0.1</x:v>
      </x:c>
      <x:c r="S102" s="13">
        <x:f>IF($F102="","",INDEX(CONFIG_REFERENCIA!$B$3:$B$6,MATCH($F102,CONFIG_REFERENCIA!$A$3:$A$6,0)))</x:f>
      </x:c>
      <x:c r="T102" s="14" t="n"/>
      <x:c r="U102" s="14" t="n"/>
      <x:c r="V102" s="14" t="n"/>
      <x:c r="W102" s="14" t="n"/>
      <x:c r="X102" s="15">
        <x:f>IF(COUNTA($T102:$W102)&lt;4,"",$S102*($O102*$T102+$P102*$U102+$Q102*$V102+$R102*$W102))</x:f>
      </x:c>
      <x:c r="Y102" s="14" t="n"/>
      <x:c r="Z102" s="14" t="n"/>
      <x:c r="AA102" s="16" t="n"/>
      <x:c r="AB102" s="16" t="n"/>
      <x:c r="AC102" s="11" t="n"/>
      <x:c r="AD102" s="11" t="n"/>
    </x:row>
    <x:row r="103">
      <x:c r="A103" s="11" t="n"/>
      <x:c r="B103" s="11" t="n"/>
      <x:c r="C103" s="11" t="n"/>
      <x:c r="D103" s="11" t="n"/>
      <x:c r="E103" s="11" t="n"/>
      <x:c r="F103" s="11" t="n"/>
      <x:c r="G103" s="11" t="n"/>
      <x:c r="H103" s="11" t="n"/>
      <x:c r="I103" s="11" t="n"/>
      <x:c r="J103" s="11" t="n"/>
      <x:c r="K103" s="11" t="n"/>
      <x:c r="L103" s="11" t="n"/>
      <x:c r="M103" s="11" t="n"/>
      <x:c r="N103" s="11" t="n"/>
      <x:c r="O103" s="12">
        <x:f>CONFIG_REFERENCIA!$E$3</x:f>
        <x:v>0.35</x:v>
      </x:c>
      <x:c r="P103" s="12">
        <x:f>CONFIG_REFERENCIA!$E$4</x:f>
        <x:v>0.25</x:v>
      </x:c>
      <x:c r="Q103" s="12">
        <x:f>CONFIG_REFERENCIA!$E$5</x:f>
        <x:v>0.25</x:v>
      </x:c>
      <x:c r="R103" s="12">
        <x:f>CONFIG_REFERENCIA!$E$6</x:f>
        <x:v>0.1</x:v>
      </x:c>
      <x:c r="S103" s="13">
        <x:f>IF($F103="","",INDEX(CONFIG_REFERENCIA!$B$3:$B$6,MATCH($F103,CONFIG_REFERENCIA!$A$3:$A$6,0)))</x:f>
      </x:c>
      <x:c r="T103" s="14" t="n"/>
      <x:c r="U103" s="14" t="n"/>
      <x:c r="V103" s="14" t="n"/>
      <x:c r="W103" s="14" t="n"/>
      <x:c r="X103" s="15">
        <x:f>IF(COUNTA($T103:$W103)&lt;4,"",$S103*($O103*$T103+$P103*$U103+$Q103*$V103+$R103*$W103))</x:f>
      </x:c>
      <x:c r="Y103" s="14" t="n"/>
      <x:c r="Z103" s="14" t="n"/>
      <x:c r="AA103" s="16" t="n"/>
      <x:c r="AB103" s="16" t="n"/>
      <x:c r="AC103" s="11" t="n"/>
      <x:c r="AD103" s="11" t="n"/>
    </x:row>
    <x:row r="104">
      <x:c r="A104" s="11" t="n"/>
      <x:c r="B104" s="11" t="n"/>
      <x:c r="C104" s="11" t="n"/>
      <x:c r="D104" s="11" t="n"/>
      <x:c r="E104" s="11" t="n"/>
      <x:c r="F104" s="11" t="n"/>
      <x:c r="G104" s="11" t="n"/>
      <x:c r="H104" s="11" t="n"/>
      <x:c r="I104" s="11" t="n"/>
      <x:c r="J104" s="11" t="n"/>
      <x:c r="K104" s="11" t="n"/>
      <x:c r="L104" s="11" t="n"/>
      <x:c r="M104" s="11" t="n"/>
      <x:c r="N104" s="11" t="n"/>
      <x:c r="O104" s="12">
        <x:f>CONFIG_REFERENCIA!$E$3</x:f>
        <x:v>0.35</x:v>
      </x:c>
      <x:c r="P104" s="12">
        <x:f>CONFIG_REFERENCIA!$E$4</x:f>
        <x:v>0.25</x:v>
      </x:c>
      <x:c r="Q104" s="12">
        <x:f>CONFIG_REFERENCIA!$E$5</x:f>
        <x:v>0.25</x:v>
      </x:c>
      <x:c r="R104" s="12">
        <x:f>CONFIG_REFERENCIA!$E$6</x:f>
        <x:v>0.1</x:v>
      </x:c>
      <x:c r="S104" s="13">
        <x:f>IF($F104="","",INDEX(CONFIG_REFERENCIA!$B$3:$B$6,MATCH($F104,CONFIG_REFERENCIA!$A$3:$A$6,0)))</x:f>
      </x:c>
      <x:c r="T104" s="14" t="n"/>
      <x:c r="U104" s="14" t="n"/>
      <x:c r="V104" s="14" t="n"/>
      <x:c r="W104" s="14" t="n"/>
      <x:c r="X104" s="15">
        <x:f>IF(COUNTA($T104:$W104)&lt;4,"",$S104*($O104*$T104+$P104*$U104+$Q104*$V104+$R104*$W104))</x:f>
      </x:c>
      <x:c r="Y104" s="14" t="n"/>
      <x:c r="Z104" s="14" t="n"/>
      <x:c r="AA104" s="16" t="n"/>
      <x:c r="AB104" s="16" t="n"/>
      <x:c r="AC104" s="11" t="n"/>
      <x:c r="AD104" s="11" t="n"/>
    </x:row>
    <x:row r="105">
      <x:c r="A105" s="11" t="n"/>
      <x:c r="B105" s="11" t="n"/>
      <x:c r="C105" s="11" t="n"/>
      <x:c r="D105" s="11" t="n"/>
      <x:c r="E105" s="11" t="n"/>
      <x:c r="F105" s="11" t="n"/>
      <x:c r="G105" s="11" t="n"/>
      <x:c r="H105" s="11" t="n"/>
      <x:c r="I105" s="11" t="n"/>
      <x:c r="J105" s="11" t="n"/>
      <x:c r="K105" s="11" t="n"/>
      <x:c r="L105" s="11" t="n"/>
      <x:c r="M105" s="11" t="n"/>
      <x:c r="N105" s="11" t="n"/>
      <x:c r="O105" s="12">
        <x:f>CONFIG_REFERENCIA!$E$3</x:f>
        <x:v>0.35</x:v>
      </x:c>
      <x:c r="P105" s="12">
        <x:f>CONFIG_REFERENCIA!$E$4</x:f>
        <x:v>0.25</x:v>
      </x:c>
      <x:c r="Q105" s="12">
        <x:f>CONFIG_REFERENCIA!$E$5</x:f>
        <x:v>0.25</x:v>
      </x:c>
      <x:c r="R105" s="12">
        <x:f>CONFIG_REFERENCIA!$E$6</x:f>
        <x:v>0.1</x:v>
      </x:c>
      <x:c r="S105" s="13">
        <x:f>IF($F105="","",INDEX(CONFIG_REFERENCIA!$B$3:$B$6,MATCH($F105,CONFIG_REFERENCIA!$A$3:$A$6,0)))</x:f>
      </x:c>
      <x:c r="T105" s="14" t="n"/>
      <x:c r="U105" s="14" t="n"/>
      <x:c r="V105" s="14" t="n"/>
      <x:c r="W105" s="14" t="n"/>
      <x:c r="X105" s="15">
        <x:f>IF(COUNTA($T105:$W105)&lt;4,"",$S105*($O105*$T105+$P105*$U105+$Q105*$V105+$R105*$W105))</x:f>
      </x:c>
      <x:c r="Y105" s="14" t="n"/>
      <x:c r="Z105" s="14" t="n"/>
      <x:c r="AA105" s="16" t="n"/>
      <x:c r="AB105" s="16" t="n"/>
      <x:c r="AC105" s="11" t="n"/>
      <x:c r="AD105" s="11" t="n"/>
    </x:row>
    <x:row r="106">
      <x:c r="A106" s="11" t="n"/>
      <x:c r="B106" s="11" t="n"/>
      <x:c r="C106" s="11" t="n"/>
      <x:c r="D106" s="11" t="n"/>
      <x:c r="E106" s="11" t="n"/>
      <x:c r="F106" s="11" t="n"/>
      <x:c r="G106" s="11" t="n"/>
      <x:c r="H106" s="11" t="n"/>
      <x:c r="I106" s="11" t="n"/>
      <x:c r="J106" s="11" t="n"/>
      <x:c r="K106" s="11" t="n"/>
      <x:c r="L106" s="11" t="n"/>
      <x:c r="M106" s="11" t="n"/>
      <x:c r="N106" s="11" t="n"/>
      <x:c r="O106" s="12">
        <x:f>CONFIG_REFERENCIA!$E$3</x:f>
        <x:v>0.35</x:v>
      </x:c>
      <x:c r="P106" s="12">
        <x:f>CONFIG_REFERENCIA!$E$4</x:f>
        <x:v>0.25</x:v>
      </x:c>
      <x:c r="Q106" s="12">
        <x:f>CONFIG_REFERENCIA!$E$5</x:f>
        <x:v>0.25</x:v>
      </x:c>
      <x:c r="R106" s="12">
        <x:f>CONFIG_REFERENCIA!$E$6</x:f>
        <x:v>0.1</x:v>
      </x:c>
      <x:c r="S106" s="13">
        <x:f>IF($F106="","",INDEX(CONFIG_REFERENCIA!$B$3:$B$6,MATCH($F106,CONFIG_REFERENCIA!$A$3:$A$6,0)))</x:f>
      </x:c>
      <x:c r="T106" s="14" t="n"/>
      <x:c r="U106" s="14" t="n"/>
      <x:c r="V106" s="14" t="n"/>
      <x:c r="W106" s="14" t="n"/>
      <x:c r="X106" s="15">
        <x:f>IF(COUNTA($T106:$W106)&lt;4,"",$S106*($O106*$T106+$P106*$U106+$Q106*$V106+$R106*$W106))</x:f>
      </x:c>
      <x:c r="Y106" s="14" t="n"/>
      <x:c r="Z106" s="14" t="n"/>
      <x:c r="AA106" s="16" t="n"/>
      <x:c r="AB106" s="16" t="n"/>
      <x:c r="AC106" s="11" t="n"/>
      <x:c r="AD106" s="11" t="n"/>
    </x:row>
    <x:row r="107">
      <x:c r="A107" s="11" t="n"/>
      <x:c r="B107" s="11" t="n"/>
      <x:c r="C107" s="11" t="n"/>
      <x:c r="D107" s="11" t="n"/>
      <x:c r="E107" s="11" t="n"/>
      <x:c r="F107" s="11" t="n"/>
      <x:c r="G107" s="11" t="n"/>
      <x:c r="H107" s="11" t="n"/>
      <x:c r="I107" s="11" t="n"/>
      <x:c r="J107" s="11" t="n"/>
      <x:c r="K107" s="11" t="n"/>
      <x:c r="L107" s="11" t="n"/>
      <x:c r="M107" s="11" t="n"/>
      <x:c r="N107" s="11" t="n"/>
      <x:c r="O107" s="12">
        <x:f>CONFIG_REFERENCIA!$E$3</x:f>
        <x:v>0.35</x:v>
      </x:c>
      <x:c r="P107" s="12">
        <x:f>CONFIG_REFERENCIA!$E$4</x:f>
        <x:v>0.25</x:v>
      </x:c>
      <x:c r="Q107" s="12">
        <x:f>CONFIG_REFERENCIA!$E$5</x:f>
        <x:v>0.25</x:v>
      </x:c>
      <x:c r="R107" s="12">
        <x:f>CONFIG_REFERENCIA!$E$6</x:f>
        <x:v>0.1</x:v>
      </x:c>
      <x:c r="S107" s="13">
        <x:f>IF($F107="","",INDEX(CONFIG_REFERENCIA!$B$3:$B$6,MATCH($F107,CONFIG_REFERENCIA!$A$3:$A$6,0)))</x:f>
      </x:c>
      <x:c r="T107" s="14" t="n"/>
      <x:c r="U107" s="14" t="n"/>
      <x:c r="V107" s="14" t="n"/>
      <x:c r="W107" s="14" t="n"/>
      <x:c r="X107" s="15">
        <x:f>IF(COUNTA($T107:$W107)&lt;4,"",$S107*($O107*$T107+$P107*$U107+$Q107*$V107+$R107*$W107))</x:f>
      </x:c>
      <x:c r="Y107" s="14" t="n"/>
      <x:c r="Z107" s="14" t="n"/>
      <x:c r="AA107" s="16" t="n"/>
      <x:c r="AB107" s="16" t="n"/>
      <x:c r="AC107" s="11" t="n"/>
      <x:c r="AD107" s="11" t="n"/>
    </x:row>
    <x:row r="108">
      <x:c r="A108" s="11" t="n"/>
      <x:c r="B108" s="11" t="n"/>
      <x:c r="C108" s="11" t="n"/>
      <x:c r="D108" s="11" t="n"/>
      <x:c r="E108" s="11" t="n"/>
      <x:c r="F108" s="11" t="n"/>
      <x:c r="G108" s="11" t="n"/>
      <x:c r="H108" s="11" t="n"/>
      <x:c r="I108" s="11" t="n"/>
      <x:c r="J108" s="11" t="n"/>
      <x:c r="K108" s="11" t="n"/>
      <x:c r="L108" s="11" t="n"/>
      <x:c r="M108" s="11" t="n"/>
      <x:c r="N108" s="11" t="n"/>
      <x:c r="O108" s="12">
        <x:f>CONFIG_REFERENCIA!$E$3</x:f>
        <x:v>0.35</x:v>
      </x:c>
      <x:c r="P108" s="12">
        <x:f>CONFIG_REFERENCIA!$E$4</x:f>
        <x:v>0.25</x:v>
      </x:c>
      <x:c r="Q108" s="12">
        <x:f>CONFIG_REFERENCIA!$E$5</x:f>
        <x:v>0.25</x:v>
      </x:c>
      <x:c r="R108" s="12">
        <x:f>CONFIG_REFERENCIA!$E$6</x:f>
        <x:v>0.1</x:v>
      </x:c>
      <x:c r="S108" s="13">
        <x:f>IF($F108="","",INDEX(CONFIG_REFERENCIA!$B$3:$B$6,MATCH($F108,CONFIG_REFERENCIA!$A$3:$A$6,0)))</x:f>
      </x:c>
      <x:c r="T108" s="14" t="n"/>
      <x:c r="U108" s="14" t="n"/>
      <x:c r="V108" s="14" t="n"/>
      <x:c r="W108" s="14" t="n"/>
      <x:c r="X108" s="15">
        <x:f>IF(COUNTA($T108:$W108)&lt;4,"",$S108*($O108*$T108+$P108*$U108+$Q108*$V108+$R108*$W108))</x:f>
      </x:c>
      <x:c r="Y108" s="14" t="n"/>
      <x:c r="Z108" s="14" t="n"/>
      <x:c r="AA108" s="16" t="n"/>
      <x:c r="AB108" s="16" t="n"/>
      <x:c r="AC108" s="11" t="n"/>
      <x:c r="AD108" s="11" t="n"/>
    </x:row>
    <x:row r="109">
      <x:c r="A109" s="11" t="n"/>
      <x:c r="B109" s="11" t="n"/>
      <x:c r="C109" s="11" t="n"/>
      <x:c r="D109" s="11" t="n"/>
      <x:c r="E109" s="11" t="n"/>
      <x:c r="F109" s="11" t="n"/>
      <x:c r="G109" s="11" t="n"/>
      <x:c r="H109" s="11" t="n"/>
      <x:c r="I109" s="11" t="n"/>
      <x:c r="J109" s="11" t="n"/>
      <x:c r="K109" s="11" t="n"/>
      <x:c r="L109" s="11" t="n"/>
      <x:c r="M109" s="11" t="n"/>
      <x:c r="N109" s="11" t="n"/>
      <x:c r="O109" s="12">
        <x:f>CONFIG_REFERENCIA!$E$3</x:f>
        <x:v>0.35</x:v>
      </x:c>
      <x:c r="P109" s="12">
        <x:f>CONFIG_REFERENCIA!$E$4</x:f>
        <x:v>0.25</x:v>
      </x:c>
      <x:c r="Q109" s="12">
        <x:f>CONFIG_REFERENCIA!$E$5</x:f>
        <x:v>0.25</x:v>
      </x:c>
      <x:c r="R109" s="12">
        <x:f>CONFIG_REFERENCIA!$E$6</x:f>
        <x:v>0.1</x:v>
      </x:c>
      <x:c r="S109" s="13">
        <x:f>IF($F109="","",INDEX(CONFIG_REFERENCIA!$B$3:$B$6,MATCH($F109,CONFIG_REFERENCIA!$A$3:$A$6,0)))</x:f>
      </x:c>
      <x:c r="T109" s="14" t="n"/>
      <x:c r="U109" s="14" t="n"/>
      <x:c r="V109" s="14" t="n"/>
      <x:c r="W109" s="14" t="n"/>
      <x:c r="X109" s="15">
        <x:f>IF(COUNTA($T109:$W109)&lt;4,"",$S109*($O109*$T109+$P109*$U109+$Q109*$V109+$R109*$W109))</x:f>
      </x:c>
      <x:c r="Y109" s="14" t="n"/>
      <x:c r="Z109" s="14" t="n"/>
      <x:c r="AA109" s="16" t="n"/>
      <x:c r="AB109" s="16" t="n"/>
      <x:c r="AC109" s="11" t="n"/>
      <x:c r="AD109" s="11" t="n"/>
    </x:row>
    <x:row r="110">
      <x:c r="A110" s="11" t="n"/>
      <x:c r="B110" s="11" t="n"/>
      <x:c r="C110" s="11" t="n"/>
      <x:c r="D110" s="11" t="n"/>
      <x:c r="E110" s="11" t="n"/>
      <x:c r="F110" s="11" t="n"/>
      <x:c r="G110" s="11" t="n"/>
      <x:c r="H110" s="11" t="n"/>
      <x:c r="I110" s="11" t="n"/>
      <x:c r="J110" s="11" t="n"/>
      <x:c r="K110" s="11" t="n"/>
      <x:c r="L110" s="11" t="n"/>
      <x:c r="M110" s="11" t="n"/>
      <x:c r="N110" s="11" t="n"/>
      <x:c r="O110" s="12">
        <x:f>CONFIG_REFERENCIA!$E$3</x:f>
        <x:v>0.35</x:v>
      </x:c>
      <x:c r="P110" s="12">
        <x:f>CONFIG_REFERENCIA!$E$4</x:f>
        <x:v>0.25</x:v>
      </x:c>
      <x:c r="Q110" s="12">
        <x:f>CONFIG_REFERENCIA!$E$5</x:f>
        <x:v>0.25</x:v>
      </x:c>
      <x:c r="R110" s="12">
        <x:f>CONFIG_REFERENCIA!$E$6</x:f>
        <x:v>0.1</x:v>
      </x:c>
      <x:c r="S110" s="13">
        <x:f>IF($F110="","",INDEX(CONFIG_REFERENCIA!$B$3:$B$6,MATCH($F110,CONFIG_REFERENCIA!$A$3:$A$6,0)))</x:f>
      </x:c>
      <x:c r="T110" s="14" t="n"/>
      <x:c r="U110" s="14" t="n"/>
      <x:c r="V110" s="14" t="n"/>
      <x:c r="W110" s="14" t="n"/>
      <x:c r="X110" s="15">
        <x:f>IF(COUNTA($T110:$W110)&lt;4,"",$S110*($O110*$T110+$P110*$U110+$Q110*$V110+$R110*$W110))</x:f>
      </x:c>
      <x:c r="Y110" s="14" t="n"/>
      <x:c r="Z110" s="14" t="n"/>
      <x:c r="AA110" s="16" t="n"/>
      <x:c r="AB110" s="16" t="n"/>
      <x:c r="AC110" s="11" t="n"/>
      <x:c r="AD110" s="11" t="n"/>
    </x:row>
    <x:row r="111">
      <x:c r="A111" s="11" t="n"/>
      <x:c r="B111" s="11" t="n"/>
      <x:c r="C111" s="11" t="n"/>
      <x:c r="D111" s="11" t="n"/>
      <x:c r="E111" s="11" t="n"/>
      <x:c r="F111" s="11" t="n"/>
      <x:c r="G111" s="11" t="n"/>
      <x:c r="H111" s="11" t="n"/>
      <x:c r="I111" s="11" t="n"/>
      <x:c r="J111" s="11" t="n"/>
      <x:c r="K111" s="11" t="n"/>
      <x:c r="L111" s="11" t="n"/>
      <x:c r="M111" s="11" t="n"/>
      <x:c r="N111" s="11" t="n"/>
      <x:c r="O111" s="12">
        <x:f>CONFIG_REFERENCIA!$E$3</x:f>
        <x:v>0.35</x:v>
      </x:c>
      <x:c r="P111" s="12">
        <x:f>CONFIG_REFERENCIA!$E$4</x:f>
        <x:v>0.25</x:v>
      </x:c>
      <x:c r="Q111" s="12">
        <x:f>CONFIG_REFERENCIA!$E$5</x:f>
        <x:v>0.25</x:v>
      </x:c>
      <x:c r="R111" s="12">
        <x:f>CONFIG_REFERENCIA!$E$6</x:f>
        <x:v>0.1</x:v>
      </x:c>
      <x:c r="S111" s="13">
        <x:f>IF($F111="","",INDEX(CONFIG_REFERENCIA!$B$3:$B$6,MATCH($F111,CONFIG_REFERENCIA!$A$3:$A$6,0)))</x:f>
      </x:c>
      <x:c r="T111" s="14" t="n"/>
      <x:c r="U111" s="14" t="n"/>
      <x:c r="V111" s="14" t="n"/>
      <x:c r="W111" s="14" t="n"/>
      <x:c r="X111" s="15">
        <x:f>IF(COUNTA($T111:$W111)&lt;4,"",$S111*($O111*$T111+$P111*$U111+$Q111*$V111+$R111*$W111))</x:f>
      </x:c>
      <x:c r="Y111" s="14" t="n"/>
      <x:c r="Z111" s="14" t="n"/>
      <x:c r="AA111" s="16" t="n"/>
      <x:c r="AB111" s="16" t="n"/>
      <x:c r="AC111" s="11" t="n"/>
      <x:c r="AD111" s="11" t="n"/>
    </x:row>
    <x:row r="112">
      <x:c r="A112" s="11" t="n"/>
      <x:c r="B112" s="11" t="n"/>
      <x:c r="C112" s="11" t="n"/>
      <x:c r="D112" s="11" t="n"/>
      <x:c r="E112" s="11" t="n"/>
      <x:c r="F112" s="11" t="n"/>
      <x:c r="G112" s="11" t="n"/>
      <x:c r="H112" s="11" t="n"/>
      <x:c r="I112" s="11" t="n"/>
      <x:c r="J112" s="11" t="n"/>
      <x:c r="K112" s="11" t="n"/>
      <x:c r="L112" s="11" t="n"/>
      <x:c r="M112" s="11" t="n"/>
      <x:c r="N112" s="11" t="n"/>
      <x:c r="O112" s="12">
        <x:f>CONFIG_REFERENCIA!$E$3</x:f>
        <x:v>0.35</x:v>
      </x:c>
      <x:c r="P112" s="12">
        <x:f>CONFIG_REFERENCIA!$E$4</x:f>
        <x:v>0.25</x:v>
      </x:c>
      <x:c r="Q112" s="12">
        <x:f>CONFIG_REFERENCIA!$E$5</x:f>
        <x:v>0.25</x:v>
      </x:c>
      <x:c r="R112" s="12">
        <x:f>CONFIG_REFERENCIA!$E$6</x:f>
        <x:v>0.1</x:v>
      </x:c>
      <x:c r="S112" s="13">
        <x:f>IF($F112="","",INDEX(CONFIG_REFERENCIA!$B$3:$B$6,MATCH($F112,CONFIG_REFERENCIA!$A$3:$A$6,0)))</x:f>
      </x:c>
      <x:c r="T112" s="14" t="n"/>
      <x:c r="U112" s="14" t="n"/>
      <x:c r="V112" s="14" t="n"/>
      <x:c r="W112" s="14" t="n"/>
      <x:c r="X112" s="15">
        <x:f>IF(COUNTA($T112:$W112)&lt;4,"",$S112*($O112*$T112+$P112*$U112+$Q112*$V112+$R112*$W112))</x:f>
      </x:c>
      <x:c r="Y112" s="14" t="n"/>
      <x:c r="Z112" s="14" t="n"/>
      <x:c r="AA112" s="16" t="n"/>
      <x:c r="AB112" s="16" t="n"/>
      <x:c r="AC112" s="11" t="n"/>
      <x:c r="AD112" s="11" t="n"/>
    </x:row>
    <x:row r="113">
      <x:c r="A113" s="11" t="n"/>
      <x:c r="B113" s="11" t="n"/>
      <x:c r="C113" s="11" t="n"/>
      <x:c r="D113" s="11" t="n"/>
      <x:c r="E113" s="11" t="n"/>
      <x:c r="F113" s="11" t="n"/>
      <x:c r="G113" s="11" t="n"/>
      <x:c r="H113" s="11" t="n"/>
      <x:c r="I113" s="11" t="n"/>
      <x:c r="J113" s="11" t="n"/>
      <x:c r="K113" s="11" t="n"/>
      <x:c r="L113" s="11" t="n"/>
      <x:c r="M113" s="11" t="n"/>
      <x:c r="N113" s="11" t="n"/>
      <x:c r="O113" s="12">
        <x:f>CONFIG_REFERENCIA!$E$3</x:f>
        <x:v>0.35</x:v>
      </x:c>
      <x:c r="P113" s="12">
        <x:f>CONFIG_REFERENCIA!$E$4</x:f>
        <x:v>0.25</x:v>
      </x:c>
      <x:c r="Q113" s="12">
        <x:f>CONFIG_REFERENCIA!$E$5</x:f>
        <x:v>0.25</x:v>
      </x:c>
      <x:c r="R113" s="12">
        <x:f>CONFIG_REFERENCIA!$E$6</x:f>
        <x:v>0.1</x:v>
      </x:c>
      <x:c r="S113" s="13">
        <x:f>IF($F113="","",INDEX(CONFIG_REFERENCIA!$B$3:$B$6,MATCH($F113,CONFIG_REFERENCIA!$A$3:$A$6,0)))</x:f>
      </x:c>
      <x:c r="T113" s="14" t="n"/>
      <x:c r="U113" s="14" t="n"/>
      <x:c r="V113" s="14" t="n"/>
      <x:c r="W113" s="14" t="n"/>
      <x:c r="X113" s="15">
        <x:f>IF(COUNTA($T113:$W113)&lt;4,"",$S113*($O113*$T113+$P113*$U113+$Q113*$V113+$R113*$W113))</x:f>
      </x:c>
      <x:c r="Y113" s="14" t="n"/>
      <x:c r="Z113" s="14" t="n"/>
      <x:c r="AA113" s="16" t="n"/>
      <x:c r="AB113" s="16" t="n"/>
      <x:c r="AC113" s="11" t="n"/>
      <x:c r="AD113" s="11" t="n"/>
    </x:row>
    <x:row r="114">
      <x:c r="A114" s="11" t="n"/>
      <x:c r="B114" s="11" t="n"/>
      <x:c r="C114" s="11" t="n"/>
      <x:c r="D114" s="11" t="n"/>
      <x:c r="E114" s="11" t="n"/>
      <x:c r="F114" s="11" t="n"/>
      <x:c r="G114" s="11" t="n"/>
      <x:c r="H114" s="11" t="n"/>
      <x:c r="I114" s="11" t="n"/>
      <x:c r="J114" s="11" t="n"/>
      <x:c r="K114" s="11" t="n"/>
      <x:c r="L114" s="11" t="n"/>
      <x:c r="M114" s="11" t="n"/>
      <x:c r="N114" s="11" t="n"/>
      <x:c r="O114" s="12">
        <x:f>CONFIG_REFERENCIA!$E$3</x:f>
        <x:v>0.35</x:v>
      </x:c>
      <x:c r="P114" s="12">
        <x:f>CONFIG_REFERENCIA!$E$4</x:f>
        <x:v>0.25</x:v>
      </x:c>
      <x:c r="Q114" s="12">
        <x:f>CONFIG_REFERENCIA!$E$5</x:f>
        <x:v>0.25</x:v>
      </x:c>
      <x:c r="R114" s="12">
        <x:f>CONFIG_REFERENCIA!$E$6</x:f>
        <x:v>0.1</x:v>
      </x:c>
      <x:c r="S114" s="13">
        <x:f>IF($F114="","",INDEX(CONFIG_REFERENCIA!$B$3:$B$6,MATCH($F114,CONFIG_REFERENCIA!$A$3:$A$6,0)))</x:f>
      </x:c>
      <x:c r="T114" s="14" t="n"/>
      <x:c r="U114" s="14" t="n"/>
      <x:c r="V114" s="14" t="n"/>
      <x:c r="W114" s="14" t="n"/>
      <x:c r="X114" s="15">
        <x:f>IF(COUNTA($T114:$W114)&lt;4,"",$S114*($O114*$T114+$P114*$U114+$Q114*$V114+$R114*$W114))</x:f>
      </x:c>
      <x:c r="Y114" s="14" t="n"/>
      <x:c r="Z114" s="14" t="n"/>
      <x:c r="AA114" s="16" t="n"/>
      <x:c r="AB114" s="16" t="n"/>
      <x:c r="AC114" s="11" t="n"/>
      <x:c r="AD114" s="11" t="n"/>
    </x:row>
    <x:row r="115">
      <x:c r="A115" s="11" t="n"/>
      <x:c r="B115" s="11" t="n"/>
      <x:c r="C115" s="11" t="n"/>
      <x:c r="D115" s="11" t="n"/>
      <x:c r="E115" s="11" t="n"/>
      <x:c r="F115" s="11" t="n"/>
      <x:c r="G115" s="11" t="n"/>
      <x:c r="H115" s="11" t="n"/>
      <x:c r="I115" s="11" t="n"/>
      <x:c r="J115" s="11" t="n"/>
      <x:c r="K115" s="11" t="n"/>
      <x:c r="L115" s="11" t="n"/>
      <x:c r="M115" s="11" t="n"/>
      <x:c r="N115" s="11" t="n"/>
      <x:c r="O115" s="12">
        <x:f>CONFIG_REFERENCIA!$E$3</x:f>
        <x:v>0.35</x:v>
      </x:c>
      <x:c r="P115" s="12">
        <x:f>CONFIG_REFERENCIA!$E$4</x:f>
        <x:v>0.25</x:v>
      </x:c>
      <x:c r="Q115" s="12">
        <x:f>CONFIG_REFERENCIA!$E$5</x:f>
        <x:v>0.25</x:v>
      </x:c>
      <x:c r="R115" s="12">
        <x:f>CONFIG_REFERENCIA!$E$6</x:f>
        <x:v>0.1</x:v>
      </x:c>
      <x:c r="S115" s="13">
        <x:f>IF($F115="","",INDEX(CONFIG_REFERENCIA!$B$3:$B$6,MATCH($F115,CONFIG_REFERENCIA!$A$3:$A$6,0)))</x:f>
      </x:c>
      <x:c r="T115" s="14" t="n"/>
      <x:c r="U115" s="14" t="n"/>
      <x:c r="V115" s="14" t="n"/>
      <x:c r="W115" s="14" t="n"/>
      <x:c r="X115" s="15">
        <x:f>IF(COUNTA($T115:$W115)&lt;4,"",$S115*($O115*$T115+$P115*$U115+$Q115*$V115+$R115*$W115))</x:f>
      </x:c>
      <x:c r="Y115" s="14" t="n"/>
      <x:c r="Z115" s="14" t="n"/>
      <x:c r="AA115" s="16" t="n"/>
      <x:c r="AB115" s="16" t="n"/>
      <x:c r="AC115" s="11" t="n"/>
      <x:c r="AD115" s="11" t="n"/>
    </x:row>
    <x:row r="116">
      <x:c r="A116" s="11" t="n"/>
      <x:c r="B116" s="11" t="n"/>
      <x:c r="C116" s="11" t="n"/>
      <x:c r="D116" s="11" t="n"/>
      <x:c r="E116" s="11" t="n"/>
      <x:c r="F116" s="11" t="n"/>
      <x:c r="G116" s="11" t="n"/>
      <x:c r="H116" s="11" t="n"/>
      <x:c r="I116" s="11" t="n"/>
      <x:c r="J116" s="11" t="n"/>
      <x:c r="K116" s="11" t="n"/>
      <x:c r="L116" s="11" t="n"/>
      <x:c r="M116" s="11" t="n"/>
      <x:c r="N116" s="11" t="n"/>
      <x:c r="O116" s="12">
        <x:f>CONFIG_REFERENCIA!$E$3</x:f>
        <x:v>0.35</x:v>
      </x:c>
      <x:c r="P116" s="12">
        <x:f>CONFIG_REFERENCIA!$E$4</x:f>
        <x:v>0.25</x:v>
      </x:c>
      <x:c r="Q116" s="12">
        <x:f>CONFIG_REFERENCIA!$E$5</x:f>
        <x:v>0.25</x:v>
      </x:c>
      <x:c r="R116" s="12">
        <x:f>CONFIG_REFERENCIA!$E$6</x:f>
        <x:v>0.1</x:v>
      </x:c>
      <x:c r="S116" s="13">
        <x:f>IF($F116="","",INDEX(CONFIG_REFERENCIA!$B$3:$B$6,MATCH($F116,CONFIG_REFERENCIA!$A$3:$A$6,0)))</x:f>
      </x:c>
      <x:c r="T116" s="14" t="n"/>
      <x:c r="U116" s="14" t="n"/>
      <x:c r="V116" s="14" t="n"/>
      <x:c r="W116" s="14" t="n"/>
      <x:c r="X116" s="15">
        <x:f>IF(COUNTA($T116:$W116)&lt;4,"",$S116*($O116*$T116+$P116*$U116+$Q116*$V116+$R116*$W116))</x:f>
      </x:c>
      <x:c r="Y116" s="14" t="n"/>
      <x:c r="Z116" s="14" t="n"/>
      <x:c r="AA116" s="16" t="n"/>
      <x:c r="AB116" s="16" t="n"/>
      <x:c r="AC116" s="11" t="n"/>
      <x:c r="AD116" s="11" t="n"/>
    </x:row>
    <x:row r="117">
      <x:c r="A117" s="11" t="n"/>
      <x:c r="B117" s="11" t="n"/>
      <x:c r="C117" s="11" t="n"/>
      <x:c r="D117" s="11" t="n"/>
      <x:c r="E117" s="11" t="n"/>
      <x:c r="F117" s="11" t="n"/>
      <x:c r="G117" s="11" t="n"/>
      <x:c r="H117" s="11" t="n"/>
      <x:c r="I117" s="11" t="n"/>
      <x:c r="J117" s="11" t="n"/>
      <x:c r="K117" s="11" t="n"/>
      <x:c r="L117" s="11" t="n"/>
      <x:c r="M117" s="11" t="n"/>
      <x:c r="N117" s="11" t="n"/>
      <x:c r="O117" s="12">
        <x:f>CONFIG_REFERENCIA!$E$3</x:f>
        <x:v>0.35</x:v>
      </x:c>
      <x:c r="P117" s="12">
        <x:f>CONFIG_REFERENCIA!$E$4</x:f>
        <x:v>0.25</x:v>
      </x:c>
      <x:c r="Q117" s="12">
        <x:f>CONFIG_REFERENCIA!$E$5</x:f>
        <x:v>0.25</x:v>
      </x:c>
      <x:c r="R117" s="12">
        <x:f>CONFIG_REFERENCIA!$E$6</x:f>
        <x:v>0.1</x:v>
      </x:c>
      <x:c r="S117" s="13">
        <x:f>IF($F117="","",INDEX(CONFIG_REFERENCIA!$B$3:$B$6,MATCH($F117,CONFIG_REFERENCIA!$A$3:$A$6,0)))</x:f>
      </x:c>
      <x:c r="T117" s="14" t="n"/>
      <x:c r="U117" s="14" t="n"/>
      <x:c r="V117" s="14" t="n"/>
      <x:c r="W117" s="14" t="n"/>
      <x:c r="X117" s="15">
        <x:f>IF(COUNTA($T117:$W117)&lt;4,"",$S117*($O117*$T117+$P117*$U117+$Q117*$V117+$R117*$W117))</x:f>
      </x:c>
      <x:c r="Y117" s="14" t="n"/>
      <x:c r="Z117" s="14" t="n"/>
      <x:c r="AA117" s="16" t="n"/>
      <x:c r="AB117" s="16" t="n"/>
      <x:c r="AC117" s="11" t="n"/>
      <x:c r="AD117" s="11" t="n"/>
    </x:row>
    <x:row r="118">
      <x:c r="A118" s="11" t="n"/>
      <x:c r="B118" s="11" t="n"/>
      <x:c r="C118" s="11" t="n"/>
      <x:c r="D118" s="11" t="n"/>
      <x:c r="E118" s="11" t="n"/>
      <x:c r="F118" s="11" t="n"/>
      <x:c r="G118" s="11" t="n"/>
      <x:c r="H118" s="11" t="n"/>
      <x:c r="I118" s="11" t="n"/>
      <x:c r="J118" s="11" t="n"/>
      <x:c r="K118" s="11" t="n"/>
      <x:c r="L118" s="11" t="n"/>
      <x:c r="M118" s="11" t="n"/>
      <x:c r="N118" s="11" t="n"/>
      <x:c r="O118" s="12">
        <x:f>CONFIG_REFERENCIA!$E$3</x:f>
        <x:v>0.35</x:v>
      </x:c>
      <x:c r="P118" s="12">
        <x:f>CONFIG_REFERENCIA!$E$4</x:f>
        <x:v>0.25</x:v>
      </x:c>
      <x:c r="Q118" s="12">
        <x:f>CONFIG_REFERENCIA!$E$5</x:f>
        <x:v>0.25</x:v>
      </x:c>
      <x:c r="R118" s="12">
        <x:f>CONFIG_REFERENCIA!$E$6</x:f>
        <x:v>0.1</x:v>
      </x:c>
      <x:c r="S118" s="13">
        <x:f>IF($F118="","",INDEX(CONFIG_REFERENCIA!$B$3:$B$6,MATCH($F118,CONFIG_REFERENCIA!$A$3:$A$6,0)))</x:f>
      </x:c>
      <x:c r="T118" s="14" t="n"/>
      <x:c r="U118" s="14" t="n"/>
      <x:c r="V118" s="14" t="n"/>
      <x:c r="W118" s="14" t="n"/>
      <x:c r="X118" s="15">
        <x:f>IF(COUNTA($T118:$W118)&lt;4,"",$S118*($O118*$T118+$P118*$U118+$Q118*$V118+$R118*$W118))</x:f>
      </x:c>
      <x:c r="Y118" s="14" t="n"/>
      <x:c r="Z118" s="14" t="n"/>
      <x:c r="AA118" s="16" t="n"/>
      <x:c r="AB118" s="16" t="n"/>
      <x:c r="AC118" s="11" t="n"/>
      <x:c r="AD118" s="11" t="n"/>
    </x:row>
    <x:row r="119">
      <x:c r="A119" s="11" t="n"/>
      <x:c r="B119" s="11" t="n"/>
      <x:c r="C119" s="11" t="n"/>
      <x:c r="D119" s="11" t="n"/>
      <x:c r="E119" s="11" t="n"/>
      <x:c r="F119" s="11" t="n"/>
      <x:c r="G119" s="11" t="n"/>
      <x:c r="H119" s="11" t="n"/>
      <x:c r="I119" s="11" t="n"/>
      <x:c r="J119" s="11" t="n"/>
      <x:c r="K119" s="11" t="n"/>
      <x:c r="L119" s="11" t="n"/>
      <x:c r="M119" s="11" t="n"/>
      <x:c r="N119" s="11" t="n"/>
      <x:c r="O119" s="12">
        <x:f>CONFIG_REFERENCIA!$E$3</x:f>
        <x:v>0.35</x:v>
      </x:c>
      <x:c r="P119" s="12">
        <x:f>CONFIG_REFERENCIA!$E$4</x:f>
        <x:v>0.25</x:v>
      </x:c>
      <x:c r="Q119" s="12">
        <x:f>CONFIG_REFERENCIA!$E$5</x:f>
        <x:v>0.25</x:v>
      </x:c>
      <x:c r="R119" s="12">
        <x:f>CONFIG_REFERENCIA!$E$6</x:f>
        <x:v>0.1</x:v>
      </x:c>
      <x:c r="S119" s="13">
        <x:f>IF($F119="","",INDEX(CONFIG_REFERENCIA!$B$3:$B$6,MATCH($F119,CONFIG_REFERENCIA!$A$3:$A$6,0)))</x:f>
      </x:c>
      <x:c r="T119" s="14" t="n"/>
      <x:c r="U119" s="14" t="n"/>
      <x:c r="V119" s="14" t="n"/>
      <x:c r="W119" s="14" t="n"/>
      <x:c r="X119" s="15">
        <x:f>IF(COUNTA($T119:$W119)&lt;4,"",$S119*($O119*$T119+$P119*$U119+$Q119*$V119+$R119*$W119))</x:f>
      </x:c>
      <x:c r="Y119" s="14" t="n"/>
      <x:c r="Z119" s="14" t="n"/>
      <x:c r="AA119" s="16" t="n"/>
      <x:c r="AB119" s="16" t="n"/>
      <x:c r="AC119" s="11" t="n"/>
      <x:c r="AD119" s="11" t="n"/>
    </x:row>
    <x:row r="120">
      <x:c r="A120" s="11" t="n"/>
      <x:c r="B120" s="11" t="n"/>
      <x:c r="C120" s="11" t="n"/>
      <x:c r="D120" s="11" t="n"/>
      <x:c r="E120" s="11" t="n"/>
      <x:c r="F120" s="11" t="n"/>
      <x:c r="G120" s="11" t="n"/>
      <x:c r="H120" s="11" t="n"/>
      <x:c r="I120" s="11" t="n"/>
      <x:c r="J120" s="11" t="n"/>
      <x:c r="K120" s="11" t="n"/>
      <x:c r="L120" s="11" t="n"/>
      <x:c r="M120" s="11" t="n"/>
      <x:c r="N120" s="11" t="n"/>
      <x:c r="O120" s="12">
        <x:f>CONFIG_REFERENCIA!$E$3</x:f>
        <x:v>0.35</x:v>
      </x:c>
      <x:c r="P120" s="12">
        <x:f>CONFIG_REFERENCIA!$E$4</x:f>
        <x:v>0.25</x:v>
      </x:c>
      <x:c r="Q120" s="12">
        <x:f>CONFIG_REFERENCIA!$E$5</x:f>
        <x:v>0.25</x:v>
      </x:c>
      <x:c r="R120" s="12">
        <x:f>CONFIG_REFERENCIA!$E$6</x:f>
        <x:v>0.1</x:v>
      </x:c>
      <x:c r="S120" s="13">
        <x:f>IF($F120="","",INDEX(CONFIG_REFERENCIA!$B$3:$B$6,MATCH($F120,CONFIG_REFERENCIA!$A$3:$A$6,0)))</x:f>
      </x:c>
      <x:c r="T120" s="14" t="n"/>
      <x:c r="U120" s="14" t="n"/>
      <x:c r="V120" s="14" t="n"/>
      <x:c r="W120" s="14" t="n"/>
      <x:c r="X120" s="15">
        <x:f>IF(COUNTA($T120:$W120)&lt;4,"",$S120*($O120*$T120+$P120*$U120+$Q120*$V120+$R120*$W120))</x:f>
      </x:c>
      <x:c r="Y120" s="14" t="n"/>
      <x:c r="Z120" s="14" t="n"/>
      <x:c r="AA120" s="16" t="n"/>
      <x:c r="AB120" s="16" t="n"/>
      <x:c r="AC120" s="11" t="n"/>
      <x:c r="AD120" s="11" t="n"/>
    </x:row>
    <x:row r="121">
      <x:c r="A121" s="11" t="n"/>
      <x:c r="B121" s="11" t="n"/>
      <x:c r="C121" s="11" t="n"/>
      <x:c r="D121" s="11" t="n"/>
      <x:c r="E121" s="11" t="n"/>
      <x:c r="F121" s="11" t="n"/>
      <x:c r="G121" s="11" t="n"/>
      <x:c r="H121" s="11" t="n"/>
      <x:c r="I121" s="11" t="n"/>
      <x:c r="J121" s="11" t="n"/>
      <x:c r="K121" s="11" t="n"/>
      <x:c r="L121" s="11" t="n"/>
      <x:c r="M121" s="11" t="n"/>
      <x:c r="N121" s="11" t="n"/>
      <x:c r="O121" s="12">
        <x:f>CONFIG_REFERENCIA!$E$3</x:f>
        <x:v>0.35</x:v>
      </x:c>
      <x:c r="P121" s="12">
        <x:f>CONFIG_REFERENCIA!$E$4</x:f>
        <x:v>0.25</x:v>
      </x:c>
      <x:c r="Q121" s="12">
        <x:f>CONFIG_REFERENCIA!$E$5</x:f>
        <x:v>0.25</x:v>
      </x:c>
      <x:c r="R121" s="12">
        <x:f>CONFIG_REFERENCIA!$E$6</x:f>
        <x:v>0.1</x:v>
      </x:c>
      <x:c r="S121" s="13">
        <x:f>IF($F121="","",INDEX(CONFIG_REFERENCIA!$B$3:$B$6,MATCH($F121,CONFIG_REFERENCIA!$A$3:$A$6,0)))</x:f>
      </x:c>
      <x:c r="T121" s="14" t="n"/>
      <x:c r="U121" s="14" t="n"/>
      <x:c r="V121" s="14" t="n"/>
      <x:c r="W121" s="14" t="n"/>
      <x:c r="X121" s="15">
        <x:f>IF(COUNTA($T121:$W121)&lt;4,"",$S121*($O121*$T121+$P121*$U121+$Q121*$V121+$R121*$W121))</x:f>
      </x:c>
      <x:c r="Y121" s="14" t="n"/>
      <x:c r="Z121" s="14" t="n"/>
      <x:c r="AA121" s="16" t="n"/>
      <x:c r="AB121" s="16" t="n"/>
      <x:c r="AC121" s="11" t="n"/>
      <x:c r="AD121" s="11" t="n"/>
    </x:row>
    <x:row r="122">
      <x:c r="A122" s="11" t="n"/>
      <x:c r="B122" s="11" t="n"/>
      <x:c r="C122" s="11" t="n"/>
      <x:c r="D122" s="11" t="n"/>
      <x:c r="E122" s="11" t="n"/>
      <x:c r="F122" s="11" t="n"/>
      <x:c r="G122" s="11" t="n"/>
      <x:c r="H122" s="11" t="n"/>
      <x:c r="I122" s="11" t="n"/>
      <x:c r="J122" s="11" t="n"/>
      <x:c r="K122" s="11" t="n"/>
      <x:c r="L122" s="11" t="n"/>
      <x:c r="M122" s="11" t="n"/>
      <x:c r="N122" s="11" t="n"/>
      <x:c r="O122" s="12">
        <x:f>CONFIG_REFERENCIA!$E$3</x:f>
        <x:v>0.35</x:v>
      </x:c>
      <x:c r="P122" s="12">
        <x:f>CONFIG_REFERENCIA!$E$4</x:f>
        <x:v>0.25</x:v>
      </x:c>
      <x:c r="Q122" s="12">
        <x:f>CONFIG_REFERENCIA!$E$5</x:f>
        <x:v>0.25</x:v>
      </x:c>
      <x:c r="R122" s="12">
        <x:f>CONFIG_REFERENCIA!$E$6</x:f>
        <x:v>0.1</x:v>
      </x:c>
      <x:c r="S122" s="13">
        <x:f>IF($F122="","",INDEX(CONFIG_REFERENCIA!$B$3:$B$6,MATCH($F122,CONFIG_REFERENCIA!$A$3:$A$6,0)))</x:f>
      </x:c>
      <x:c r="T122" s="14" t="n"/>
      <x:c r="U122" s="14" t="n"/>
      <x:c r="V122" s="14" t="n"/>
      <x:c r="W122" s="14" t="n"/>
      <x:c r="X122" s="15">
        <x:f>IF(COUNTA($T122:$W122)&lt;4,"",$S122*($O122*$T122+$P122*$U122+$Q122*$V122+$R122*$W122))</x:f>
      </x:c>
      <x:c r="Y122" s="14" t="n"/>
      <x:c r="Z122" s="14" t="n"/>
      <x:c r="AA122" s="16" t="n"/>
      <x:c r="AB122" s="16" t="n"/>
      <x:c r="AC122" s="11" t="n"/>
      <x:c r="AD122" s="11" t="n"/>
    </x:row>
    <x:row r="123">
      <x:c r="A123" s="11" t="n"/>
      <x:c r="B123" s="11" t="n"/>
      <x:c r="C123" s="11" t="n"/>
      <x:c r="D123" s="11" t="n"/>
      <x:c r="E123" s="11" t="n"/>
      <x:c r="F123" s="11" t="n"/>
      <x:c r="G123" s="11" t="n"/>
      <x:c r="H123" s="11" t="n"/>
      <x:c r="I123" s="11" t="n"/>
      <x:c r="J123" s="11" t="n"/>
      <x:c r="K123" s="11" t="n"/>
      <x:c r="L123" s="11" t="n"/>
      <x:c r="M123" s="11" t="n"/>
      <x:c r="N123" s="11" t="n"/>
      <x:c r="O123" s="12">
        <x:f>CONFIG_REFERENCIA!$E$3</x:f>
        <x:v>0.35</x:v>
      </x:c>
      <x:c r="P123" s="12">
        <x:f>CONFIG_REFERENCIA!$E$4</x:f>
        <x:v>0.25</x:v>
      </x:c>
      <x:c r="Q123" s="12">
        <x:f>CONFIG_REFERENCIA!$E$5</x:f>
        <x:v>0.25</x:v>
      </x:c>
      <x:c r="R123" s="12">
        <x:f>CONFIG_REFERENCIA!$E$6</x:f>
        <x:v>0.1</x:v>
      </x:c>
      <x:c r="S123" s="13">
        <x:f>IF($F123="","",INDEX(CONFIG_REFERENCIA!$B$3:$B$6,MATCH($F123,CONFIG_REFERENCIA!$A$3:$A$6,0)))</x:f>
      </x:c>
      <x:c r="T123" s="14" t="n"/>
      <x:c r="U123" s="14" t="n"/>
      <x:c r="V123" s="14" t="n"/>
      <x:c r="W123" s="14" t="n"/>
      <x:c r="X123" s="15">
        <x:f>IF(COUNTA($T123:$W123)&lt;4,"",$S123*($O123*$T123+$P123*$U123+$Q123*$V123+$R123*$W123))</x:f>
      </x:c>
      <x:c r="Y123" s="14" t="n"/>
      <x:c r="Z123" s="14" t="n"/>
      <x:c r="AA123" s="16" t="n"/>
      <x:c r="AB123" s="16" t="n"/>
      <x:c r="AC123" s="11" t="n"/>
      <x:c r="AD123" s="11" t="n"/>
    </x:row>
    <x:row r="124">
      <x:c r="A124" s="11" t="n"/>
      <x:c r="B124" s="11" t="n"/>
      <x:c r="C124" s="11" t="n"/>
      <x:c r="D124" s="11" t="n"/>
      <x:c r="E124" s="11" t="n"/>
      <x:c r="F124" s="11" t="n"/>
      <x:c r="G124" s="11" t="n"/>
      <x:c r="H124" s="11" t="n"/>
      <x:c r="I124" s="11" t="n"/>
      <x:c r="J124" s="11" t="n"/>
      <x:c r="K124" s="11" t="n"/>
      <x:c r="L124" s="11" t="n"/>
      <x:c r="M124" s="11" t="n"/>
      <x:c r="N124" s="11" t="n"/>
      <x:c r="O124" s="12">
        <x:f>CONFIG_REFERENCIA!$E$3</x:f>
        <x:v>0.35</x:v>
      </x:c>
      <x:c r="P124" s="12">
        <x:f>CONFIG_REFERENCIA!$E$4</x:f>
        <x:v>0.25</x:v>
      </x:c>
      <x:c r="Q124" s="12">
        <x:f>CONFIG_REFERENCIA!$E$5</x:f>
        <x:v>0.25</x:v>
      </x:c>
      <x:c r="R124" s="12">
        <x:f>CONFIG_REFERENCIA!$E$6</x:f>
        <x:v>0.1</x:v>
      </x:c>
      <x:c r="S124" s="13">
        <x:f>IF($F124="","",INDEX(CONFIG_REFERENCIA!$B$3:$B$6,MATCH($F124,CONFIG_REFERENCIA!$A$3:$A$6,0)))</x:f>
      </x:c>
      <x:c r="T124" s="14" t="n"/>
      <x:c r="U124" s="14" t="n"/>
      <x:c r="V124" s="14" t="n"/>
      <x:c r="W124" s="14" t="n"/>
      <x:c r="X124" s="15">
        <x:f>IF(COUNTA($T124:$W124)&lt;4,"",$S124*($O124*$T124+$P124*$U124+$Q124*$V124+$R124*$W124))</x:f>
      </x:c>
      <x:c r="Y124" s="14" t="n"/>
      <x:c r="Z124" s="14" t="n"/>
      <x:c r="AA124" s="16" t="n"/>
      <x:c r="AB124" s="16" t="n"/>
      <x:c r="AC124" s="11" t="n"/>
      <x:c r="AD124" s="11" t="n"/>
    </x:row>
    <x:row r="125">
      <x:c r="A125" s="11" t="n"/>
      <x:c r="B125" s="11" t="n"/>
      <x:c r="C125" s="11" t="n"/>
      <x:c r="D125" s="11" t="n"/>
      <x:c r="E125" s="11" t="n"/>
      <x:c r="F125" s="11" t="n"/>
      <x:c r="G125" s="11" t="n"/>
      <x:c r="H125" s="11" t="n"/>
      <x:c r="I125" s="11" t="n"/>
      <x:c r="J125" s="11" t="n"/>
      <x:c r="K125" s="11" t="n"/>
      <x:c r="L125" s="11" t="n"/>
      <x:c r="M125" s="11" t="n"/>
      <x:c r="N125" s="11" t="n"/>
      <x:c r="O125" s="12">
        <x:f>CONFIG_REFERENCIA!$E$3</x:f>
        <x:v>0.35</x:v>
      </x:c>
      <x:c r="P125" s="12">
        <x:f>CONFIG_REFERENCIA!$E$4</x:f>
        <x:v>0.25</x:v>
      </x:c>
      <x:c r="Q125" s="12">
        <x:f>CONFIG_REFERENCIA!$E$5</x:f>
        <x:v>0.25</x:v>
      </x:c>
      <x:c r="R125" s="12">
        <x:f>CONFIG_REFERENCIA!$E$6</x:f>
        <x:v>0.1</x:v>
      </x:c>
      <x:c r="S125" s="13">
        <x:f>IF($F125="","",INDEX(CONFIG_REFERENCIA!$B$3:$B$6,MATCH($F125,CONFIG_REFERENCIA!$A$3:$A$6,0)))</x:f>
      </x:c>
      <x:c r="T125" s="14" t="n"/>
      <x:c r="U125" s="14" t="n"/>
      <x:c r="V125" s="14" t="n"/>
      <x:c r="W125" s="14" t="n"/>
      <x:c r="X125" s="15">
        <x:f>IF(COUNTA($T125:$W125)&lt;4,"",$S125*($O125*$T125+$P125*$U125+$Q125*$V125+$R125*$W125))</x:f>
      </x:c>
      <x:c r="Y125" s="14" t="n"/>
      <x:c r="Z125" s="14" t="n"/>
      <x:c r="AA125" s="16" t="n"/>
      <x:c r="AB125" s="16" t="n"/>
      <x:c r="AC125" s="11" t="n"/>
      <x:c r="AD125" s="11" t="n"/>
    </x:row>
    <x:row r="126">
      <x:c r="A126" s="11" t="n"/>
      <x:c r="B126" s="11" t="n"/>
      <x:c r="C126" s="11" t="n"/>
      <x:c r="D126" s="11" t="n"/>
      <x:c r="E126" s="11" t="n"/>
      <x:c r="F126" s="11" t="n"/>
      <x:c r="G126" s="11" t="n"/>
      <x:c r="H126" s="11" t="n"/>
      <x:c r="I126" s="11" t="n"/>
      <x:c r="J126" s="11" t="n"/>
      <x:c r="K126" s="11" t="n"/>
      <x:c r="L126" s="11" t="n"/>
      <x:c r="M126" s="11" t="n"/>
      <x:c r="N126" s="11" t="n"/>
      <x:c r="O126" s="12">
        <x:f>CONFIG_REFERENCIA!$E$3</x:f>
        <x:v>0.35</x:v>
      </x:c>
      <x:c r="P126" s="12">
        <x:f>CONFIG_REFERENCIA!$E$4</x:f>
        <x:v>0.25</x:v>
      </x:c>
      <x:c r="Q126" s="12">
        <x:f>CONFIG_REFERENCIA!$E$5</x:f>
        <x:v>0.25</x:v>
      </x:c>
      <x:c r="R126" s="12">
        <x:f>CONFIG_REFERENCIA!$E$6</x:f>
        <x:v>0.1</x:v>
      </x:c>
      <x:c r="S126" s="13">
        <x:f>IF($F126="","",INDEX(CONFIG_REFERENCIA!$B$3:$B$6,MATCH($F126,CONFIG_REFERENCIA!$A$3:$A$6,0)))</x:f>
      </x:c>
      <x:c r="T126" s="14" t="n"/>
      <x:c r="U126" s="14" t="n"/>
      <x:c r="V126" s="14" t="n"/>
      <x:c r="W126" s="14" t="n"/>
      <x:c r="X126" s="15">
        <x:f>IF(COUNTA($T126:$W126)&lt;4,"",$S126*($O126*$T126+$P126*$U126+$Q126*$V126+$R126*$W126))</x:f>
      </x:c>
      <x:c r="Y126" s="14" t="n"/>
      <x:c r="Z126" s="14" t="n"/>
      <x:c r="AA126" s="16" t="n"/>
      <x:c r="AB126" s="16" t="n"/>
      <x:c r="AC126" s="11" t="n"/>
      <x:c r="AD126" s="11" t="n"/>
    </x:row>
    <x:row r="127">
      <x:c r="A127" s="11" t="n"/>
      <x:c r="B127" s="11" t="n"/>
      <x:c r="C127" s="11" t="n"/>
      <x:c r="D127" s="11" t="n"/>
      <x:c r="E127" s="11" t="n"/>
      <x:c r="F127" s="11" t="n"/>
      <x:c r="G127" s="11" t="n"/>
      <x:c r="H127" s="11" t="n"/>
      <x:c r="I127" s="11" t="n"/>
      <x:c r="J127" s="11" t="n"/>
      <x:c r="K127" s="11" t="n"/>
      <x:c r="L127" s="11" t="n"/>
      <x:c r="M127" s="11" t="n"/>
      <x:c r="N127" s="11" t="n"/>
      <x:c r="O127" s="12">
        <x:f>CONFIG_REFERENCIA!$E$3</x:f>
        <x:v>0.35</x:v>
      </x:c>
      <x:c r="P127" s="12">
        <x:f>CONFIG_REFERENCIA!$E$4</x:f>
        <x:v>0.25</x:v>
      </x:c>
      <x:c r="Q127" s="12">
        <x:f>CONFIG_REFERENCIA!$E$5</x:f>
        <x:v>0.25</x:v>
      </x:c>
      <x:c r="R127" s="12">
        <x:f>CONFIG_REFERENCIA!$E$6</x:f>
        <x:v>0.1</x:v>
      </x:c>
      <x:c r="S127" s="13">
        <x:f>IF($F127="","",INDEX(CONFIG_REFERENCIA!$B$3:$B$6,MATCH($F127,CONFIG_REFERENCIA!$A$3:$A$6,0)))</x:f>
      </x:c>
      <x:c r="T127" s="14" t="n"/>
      <x:c r="U127" s="14" t="n"/>
      <x:c r="V127" s="14" t="n"/>
      <x:c r="W127" s="14" t="n"/>
      <x:c r="X127" s="15">
        <x:f>IF(COUNTA($T127:$W127)&lt;4,"",$S127*($O127*$T127+$P127*$U127+$Q127*$V127+$R127*$W127))</x:f>
      </x:c>
      <x:c r="Y127" s="14" t="n"/>
      <x:c r="Z127" s="14" t="n"/>
      <x:c r="AA127" s="16" t="n"/>
      <x:c r="AB127" s="16" t="n"/>
      <x:c r="AC127" s="11" t="n"/>
      <x:c r="AD127" s="11" t="n"/>
    </x:row>
    <x:row r="128">
      <x:c r="A128" s="11" t="n"/>
      <x:c r="B128" s="11" t="n"/>
      <x:c r="C128" s="11" t="n"/>
      <x:c r="D128" s="11" t="n"/>
      <x:c r="E128" s="11" t="n"/>
      <x:c r="F128" s="11" t="n"/>
      <x:c r="G128" s="11" t="n"/>
      <x:c r="H128" s="11" t="n"/>
      <x:c r="I128" s="11" t="n"/>
      <x:c r="J128" s="11" t="n"/>
      <x:c r="K128" s="11" t="n"/>
      <x:c r="L128" s="11" t="n"/>
      <x:c r="M128" s="11" t="n"/>
      <x:c r="N128" s="11" t="n"/>
      <x:c r="O128" s="12">
        <x:f>CONFIG_REFERENCIA!$E$3</x:f>
        <x:v>0.35</x:v>
      </x:c>
      <x:c r="P128" s="12">
        <x:f>CONFIG_REFERENCIA!$E$4</x:f>
        <x:v>0.25</x:v>
      </x:c>
      <x:c r="Q128" s="12">
        <x:f>CONFIG_REFERENCIA!$E$5</x:f>
        <x:v>0.25</x:v>
      </x:c>
      <x:c r="R128" s="12">
        <x:f>CONFIG_REFERENCIA!$E$6</x:f>
        <x:v>0.1</x:v>
      </x:c>
      <x:c r="S128" s="13">
        <x:f>IF($F128="","",INDEX(CONFIG_REFERENCIA!$B$3:$B$6,MATCH($F128,CONFIG_REFERENCIA!$A$3:$A$6,0)))</x:f>
      </x:c>
      <x:c r="T128" s="14" t="n"/>
      <x:c r="U128" s="14" t="n"/>
      <x:c r="V128" s="14" t="n"/>
      <x:c r="W128" s="14" t="n"/>
      <x:c r="X128" s="15">
        <x:f>IF(COUNTA($T128:$W128)&lt;4,"",$S128*($O128*$T128+$P128*$U128+$Q128*$V128+$R128*$W128))</x:f>
      </x:c>
      <x:c r="Y128" s="14" t="n"/>
      <x:c r="Z128" s="14" t="n"/>
      <x:c r="AA128" s="16" t="n"/>
      <x:c r="AB128" s="16" t="n"/>
      <x:c r="AC128" s="11" t="n"/>
      <x:c r="AD128" s="11" t="n"/>
    </x:row>
    <x:row r="129">
      <x:c r="A129" s="11" t="n"/>
      <x:c r="B129" s="11" t="n"/>
      <x:c r="C129" s="11" t="n"/>
      <x:c r="D129" s="11" t="n"/>
      <x:c r="E129" s="11" t="n"/>
      <x:c r="F129" s="11" t="n"/>
      <x:c r="G129" s="11" t="n"/>
      <x:c r="H129" s="11" t="n"/>
      <x:c r="I129" s="11" t="n"/>
      <x:c r="J129" s="11" t="n"/>
      <x:c r="K129" s="11" t="n"/>
      <x:c r="L129" s="11" t="n"/>
      <x:c r="M129" s="11" t="n"/>
      <x:c r="N129" s="11" t="n"/>
      <x:c r="O129" s="12">
        <x:f>CONFIG_REFERENCIA!$E$3</x:f>
        <x:v>0.35</x:v>
      </x:c>
      <x:c r="P129" s="12">
        <x:f>CONFIG_REFERENCIA!$E$4</x:f>
        <x:v>0.25</x:v>
      </x:c>
      <x:c r="Q129" s="12">
        <x:f>CONFIG_REFERENCIA!$E$5</x:f>
        <x:v>0.25</x:v>
      </x:c>
      <x:c r="R129" s="12">
        <x:f>CONFIG_REFERENCIA!$E$6</x:f>
        <x:v>0.1</x:v>
      </x:c>
      <x:c r="S129" s="13">
        <x:f>IF($F129="","",INDEX(CONFIG_REFERENCIA!$B$3:$B$6,MATCH($F129,CONFIG_REFERENCIA!$A$3:$A$6,0)))</x:f>
      </x:c>
      <x:c r="T129" s="14" t="n"/>
      <x:c r="U129" s="14" t="n"/>
      <x:c r="V129" s="14" t="n"/>
      <x:c r="W129" s="14" t="n"/>
      <x:c r="X129" s="15">
        <x:f>IF(COUNTA($T129:$W129)&lt;4,"",$S129*($O129*$T129+$P129*$U129+$Q129*$V129+$R129*$W129))</x:f>
      </x:c>
      <x:c r="Y129" s="14" t="n"/>
      <x:c r="Z129" s="14" t="n"/>
      <x:c r="AA129" s="16" t="n"/>
      <x:c r="AB129" s="16" t="n"/>
      <x:c r="AC129" s="11" t="n"/>
      <x:c r="AD129" s="11" t="n"/>
    </x:row>
    <x:row r="130">
      <x:c r="A130" s="11" t="n"/>
      <x:c r="B130" s="11" t="n"/>
      <x:c r="C130" s="11" t="n"/>
      <x:c r="D130" s="11" t="n"/>
      <x:c r="E130" s="11" t="n"/>
      <x:c r="F130" s="11" t="n"/>
      <x:c r="G130" s="11" t="n"/>
      <x:c r="H130" s="11" t="n"/>
      <x:c r="I130" s="11" t="n"/>
      <x:c r="J130" s="11" t="n"/>
      <x:c r="K130" s="11" t="n"/>
      <x:c r="L130" s="11" t="n"/>
      <x:c r="M130" s="11" t="n"/>
      <x:c r="N130" s="11" t="n"/>
      <x:c r="O130" s="12">
        <x:f>CONFIG_REFERENCIA!$E$3</x:f>
        <x:v>0.35</x:v>
      </x:c>
      <x:c r="P130" s="12">
        <x:f>CONFIG_REFERENCIA!$E$4</x:f>
        <x:v>0.25</x:v>
      </x:c>
      <x:c r="Q130" s="12">
        <x:f>CONFIG_REFERENCIA!$E$5</x:f>
        <x:v>0.25</x:v>
      </x:c>
      <x:c r="R130" s="12">
        <x:f>CONFIG_REFERENCIA!$E$6</x:f>
        <x:v>0.1</x:v>
      </x:c>
      <x:c r="S130" s="13">
        <x:f>IF($F130="","",INDEX(CONFIG_REFERENCIA!$B$3:$B$6,MATCH($F130,CONFIG_REFERENCIA!$A$3:$A$6,0)))</x:f>
      </x:c>
      <x:c r="T130" s="14" t="n"/>
      <x:c r="U130" s="14" t="n"/>
      <x:c r="V130" s="14" t="n"/>
      <x:c r="W130" s="14" t="n"/>
      <x:c r="X130" s="15">
        <x:f>IF(COUNTA($T130:$W130)&lt;4,"",$S130*($O130*$T130+$P130*$U130+$Q130*$V130+$R130*$W130))</x:f>
      </x:c>
      <x:c r="Y130" s="14" t="n"/>
      <x:c r="Z130" s="14" t="n"/>
      <x:c r="AA130" s="16" t="n"/>
      <x:c r="AB130" s="16" t="n"/>
      <x:c r="AC130" s="11" t="n"/>
      <x:c r="AD130" s="11" t="n"/>
    </x:row>
    <x:row r="131">
      <x:c r="A131" s="11" t="n"/>
      <x:c r="B131" s="11" t="n"/>
      <x:c r="C131" s="11" t="n"/>
      <x:c r="D131" s="11" t="n"/>
      <x:c r="E131" s="11" t="n"/>
      <x:c r="F131" s="11" t="n"/>
      <x:c r="G131" s="11" t="n"/>
      <x:c r="H131" s="11" t="n"/>
      <x:c r="I131" s="11" t="n"/>
      <x:c r="J131" s="11" t="n"/>
      <x:c r="K131" s="11" t="n"/>
      <x:c r="L131" s="11" t="n"/>
      <x:c r="M131" s="11" t="n"/>
      <x:c r="N131" s="11" t="n"/>
      <x:c r="O131" s="12">
        <x:f>CONFIG_REFERENCIA!$E$3</x:f>
        <x:v>0.35</x:v>
      </x:c>
      <x:c r="P131" s="12">
        <x:f>CONFIG_REFERENCIA!$E$4</x:f>
        <x:v>0.25</x:v>
      </x:c>
      <x:c r="Q131" s="12">
        <x:f>CONFIG_REFERENCIA!$E$5</x:f>
        <x:v>0.25</x:v>
      </x:c>
      <x:c r="R131" s="12">
        <x:f>CONFIG_REFERENCIA!$E$6</x:f>
        <x:v>0.1</x:v>
      </x:c>
      <x:c r="S131" s="13">
        <x:f>IF($F131="","",INDEX(CONFIG_REFERENCIA!$B$3:$B$6,MATCH($F131,CONFIG_REFERENCIA!$A$3:$A$6,0)))</x:f>
      </x:c>
      <x:c r="T131" s="14" t="n"/>
      <x:c r="U131" s="14" t="n"/>
      <x:c r="V131" s="14" t="n"/>
      <x:c r="W131" s="14" t="n"/>
      <x:c r="X131" s="15">
        <x:f>IF(COUNTA($T131:$W131)&lt;4,"",$S131*($O131*$T131+$P131*$U131+$Q131*$V131+$R131*$W131))</x:f>
      </x:c>
      <x:c r="Y131" s="14" t="n"/>
      <x:c r="Z131" s="14" t="n"/>
      <x:c r="AA131" s="16" t="n"/>
      <x:c r="AB131" s="16" t="n"/>
      <x:c r="AC131" s="11" t="n"/>
      <x:c r="AD131" s="11" t="n"/>
    </x:row>
    <x:row r="132">
      <x:c r="A132" s="11" t="n"/>
      <x:c r="B132" s="11" t="n"/>
      <x:c r="C132" s="11" t="n"/>
      <x:c r="D132" s="11" t="n"/>
      <x:c r="E132" s="11" t="n"/>
      <x:c r="F132" s="11" t="n"/>
      <x:c r="G132" s="11" t="n"/>
      <x:c r="H132" s="11" t="n"/>
      <x:c r="I132" s="11" t="n"/>
      <x:c r="J132" s="11" t="n"/>
      <x:c r="K132" s="11" t="n"/>
      <x:c r="L132" s="11" t="n"/>
      <x:c r="M132" s="11" t="n"/>
      <x:c r="N132" s="11" t="n"/>
      <x:c r="O132" s="12">
        <x:f>CONFIG_REFERENCIA!$E$3</x:f>
        <x:v>0.35</x:v>
      </x:c>
      <x:c r="P132" s="12">
        <x:f>CONFIG_REFERENCIA!$E$4</x:f>
        <x:v>0.25</x:v>
      </x:c>
      <x:c r="Q132" s="12">
        <x:f>CONFIG_REFERENCIA!$E$5</x:f>
        <x:v>0.25</x:v>
      </x:c>
      <x:c r="R132" s="12">
        <x:f>CONFIG_REFERENCIA!$E$6</x:f>
        <x:v>0.1</x:v>
      </x:c>
      <x:c r="S132" s="13">
        <x:f>IF($F132="","",INDEX(CONFIG_REFERENCIA!$B$3:$B$6,MATCH($F132,CONFIG_REFERENCIA!$A$3:$A$6,0)))</x:f>
      </x:c>
      <x:c r="T132" s="14" t="n"/>
      <x:c r="U132" s="14" t="n"/>
      <x:c r="V132" s="14" t="n"/>
      <x:c r="W132" s="14" t="n"/>
      <x:c r="X132" s="15">
        <x:f>IF(COUNTA($T132:$W132)&lt;4,"",$S132*($O132*$T132+$P132*$U132+$Q132*$V132+$R132*$W132))</x:f>
      </x:c>
      <x:c r="Y132" s="14" t="n"/>
      <x:c r="Z132" s="14" t="n"/>
      <x:c r="AA132" s="16" t="n"/>
      <x:c r="AB132" s="16" t="n"/>
      <x:c r="AC132" s="11" t="n"/>
      <x:c r="AD132" s="11" t="n"/>
    </x:row>
    <x:row r="133">
      <x:c r="A133" s="11" t="n"/>
      <x:c r="B133" s="11" t="n"/>
      <x:c r="C133" s="11" t="n"/>
      <x:c r="D133" s="11" t="n"/>
      <x:c r="E133" s="11" t="n"/>
      <x:c r="F133" s="11" t="n"/>
      <x:c r="G133" s="11" t="n"/>
      <x:c r="H133" s="11" t="n"/>
      <x:c r="I133" s="11" t="n"/>
      <x:c r="J133" s="11" t="n"/>
      <x:c r="K133" s="11" t="n"/>
      <x:c r="L133" s="11" t="n"/>
      <x:c r="M133" s="11" t="n"/>
      <x:c r="N133" s="11" t="n"/>
      <x:c r="O133" s="12">
        <x:f>CONFIG_REFERENCIA!$E$3</x:f>
        <x:v>0.35</x:v>
      </x:c>
      <x:c r="P133" s="12">
        <x:f>CONFIG_REFERENCIA!$E$4</x:f>
        <x:v>0.25</x:v>
      </x:c>
      <x:c r="Q133" s="12">
        <x:f>CONFIG_REFERENCIA!$E$5</x:f>
        <x:v>0.25</x:v>
      </x:c>
      <x:c r="R133" s="12">
        <x:f>CONFIG_REFERENCIA!$E$6</x:f>
        <x:v>0.1</x:v>
      </x:c>
      <x:c r="S133" s="13">
        <x:f>IF($F133="","",INDEX(CONFIG_REFERENCIA!$B$3:$B$6,MATCH($F133,CONFIG_REFERENCIA!$A$3:$A$6,0)))</x:f>
      </x:c>
      <x:c r="T133" s="14" t="n"/>
      <x:c r="U133" s="14" t="n"/>
      <x:c r="V133" s="14" t="n"/>
      <x:c r="W133" s="14" t="n"/>
      <x:c r="X133" s="15">
        <x:f>IF(COUNTA($T133:$W133)&lt;4,"",$S133*($O133*$T133+$P133*$U133+$Q133*$V133+$R133*$W133))</x:f>
      </x:c>
      <x:c r="Y133" s="14" t="n"/>
      <x:c r="Z133" s="14" t="n"/>
      <x:c r="AA133" s="16" t="n"/>
      <x:c r="AB133" s="16" t="n"/>
      <x:c r="AC133" s="11" t="n"/>
      <x:c r="AD133" s="11" t="n"/>
    </x:row>
    <x:row r="134">
      <x:c r="A134" s="11" t="n"/>
      <x:c r="B134" s="11" t="n"/>
      <x:c r="C134" s="11" t="n"/>
      <x:c r="D134" s="11" t="n"/>
      <x:c r="E134" s="11" t="n"/>
      <x:c r="F134" s="11" t="n"/>
      <x:c r="G134" s="11" t="n"/>
      <x:c r="H134" s="11" t="n"/>
      <x:c r="I134" s="11" t="n"/>
      <x:c r="J134" s="11" t="n"/>
      <x:c r="K134" s="11" t="n"/>
      <x:c r="L134" s="11" t="n"/>
      <x:c r="M134" s="11" t="n"/>
      <x:c r="N134" s="11" t="n"/>
      <x:c r="O134" s="12">
        <x:f>CONFIG_REFERENCIA!$E$3</x:f>
        <x:v>0.35</x:v>
      </x:c>
      <x:c r="P134" s="12">
        <x:f>CONFIG_REFERENCIA!$E$4</x:f>
        <x:v>0.25</x:v>
      </x:c>
      <x:c r="Q134" s="12">
        <x:f>CONFIG_REFERENCIA!$E$5</x:f>
        <x:v>0.25</x:v>
      </x:c>
      <x:c r="R134" s="12">
        <x:f>CONFIG_REFERENCIA!$E$6</x:f>
        <x:v>0.1</x:v>
      </x:c>
      <x:c r="S134" s="13">
        <x:f>IF($F134="","",INDEX(CONFIG_REFERENCIA!$B$3:$B$6,MATCH($F134,CONFIG_REFERENCIA!$A$3:$A$6,0)))</x:f>
      </x:c>
      <x:c r="T134" s="14" t="n"/>
      <x:c r="U134" s="14" t="n"/>
      <x:c r="V134" s="14" t="n"/>
      <x:c r="W134" s="14" t="n"/>
      <x:c r="X134" s="15">
        <x:f>IF(COUNTA($T134:$W134)&lt;4,"",$S134*($O134*$T134+$P134*$U134+$Q134*$V134+$R134*$W134))</x:f>
      </x:c>
      <x:c r="Y134" s="14" t="n"/>
      <x:c r="Z134" s="14" t="n"/>
      <x:c r="AA134" s="16" t="n"/>
      <x:c r="AB134" s="16" t="n"/>
      <x:c r="AC134" s="11" t="n"/>
      <x:c r="AD134" s="11" t="n"/>
    </x:row>
    <x:row r="135">
      <x:c r="A135" s="11" t="n"/>
      <x:c r="B135" s="11" t="n"/>
      <x:c r="C135" s="11" t="n"/>
      <x:c r="D135" s="11" t="n"/>
      <x:c r="E135" s="11" t="n"/>
      <x:c r="F135" s="11" t="n"/>
      <x:c r="G135" s="11" t="n"/>
      <x:c r="H135" s="11" t="n"/>
      <x:c r="I135" s="11" t="n"/>
      <x:c r="J135" s="11" t="n"/>
      <x:c r="K135" s="11" t="n"/>
      <x:c r="L135" s="11" t="n"/>
      <x:c r="M135" s="11" t="n"/>
      <x:c r="N135" s="11" t="n"/>
      <x:c r="O135" s="12">
        <x:f>CONFIG_REFERENCIA!$E$3</x:f>
        <x:v>0.35</x:v>
      </x:c>
      <x:c r="P135" s="12">
        <x:f>CONFIG_REFERENCIA!$E$4</x:f>
        <x:v>0.25</x:v>
      </x:c>
      <x:c r="Q135" s="12">
        <x:f>CONFIG_REFERENCIA!$E$5</x:f>
        <x:v>0.25</x:v>
      </x:c>
      <x:c r="R135" s="12">
        <x:f>CONFIG_REFERENCIA!$E$6</x:f>
        <x:v>0.1</x:v>
      </x:c>
      <x:c r="S135" s="13">
        <x:f>IF($F135="","",INDEX(CONFIG_REFERENCIA!$B$3:$B$6,MATCH($F135,CONFIG_REFERENCIA!$A$3:$A$6,0)))</x:f>
      </x:c>
      <x:c r="T135" s="14" t="n"/>
      <x:c r="U135" s="14" t="n"/>
      <x:c r="V135" s="14" t="n"/>
      <x:c r="W135" s="14" t="n"/>
      <x:c r="X135" s="15">
        <x:f>IF(COUNTA($T135:$W135)&lt;4,"",$S135*($O135*$T135+$P135*$U135+$Q135*$V135+$R135*$W135))</x:f>
      </x:c>
      <x:c r="Y135" s="14" t="n"/>
      <x:c r="Z135" s="14" t="n"/>
      <x:c r="AA135" s="16" t="n"/>
      <x:c r="AB135" s="16" t="n"/>
      <x:c r="AC135" s="11" t="n"/>
      <x:c r="AD135" s="11" t="n"/>
    </x:row>
    <x:row r="136">
      <x:c r="A136" s="11" t="n"/>
      <x:c r="B136" s="11" t="n"/>
      <x:c r="C136" s="11" t="n"/>
      <x:c r="D136" s="11" t="n"/>
      <x:c r="E136" s="11" t="n"/>
      <x:c r="F136" s="11" t="n"/>
      <x:c r="G136" s="11" t="n"/>
      <x:c r="H136" s="11" t="n"/>
      <x:c r="I136" s="11" t="n"/>
      <x:c r="J136" s="11" t="n"/>
      <x:c r="K136" s="11" t="n"/>
      <x:c r="L136" s="11" t="n"/>
      <x:c r="M136" s="11" t="n"/>
      <x:c r="N136" s="11" t="n"/>
      <x:c r="O136" s="12">
        <x:f>CONFIG_REFERENCIA!$E$3</x:f>
        <x:v>0.35</x:v>
      </x:c>
      <x:c r="P136" s="12">
        <x:f>CONFIG_REFERENCIA!$E$4</x:f>
        <x:v>0.25</x:v>
      </x:c>
      <x:c r="Q136" s="12">
        <x:f>CONFIG_REFERENCIA!$E$5</x:f>
        <x:v>0.25</x:v>
      </x:c>
      <x:c r="R136" s="12">
        <x:f>CONFIG_REFERENCIA!$E$6</x:f>
        <x:v>0.1</x:v>
      </x:c>
      <x:c r="S136" s="13">
        <x:f>IF($F136="","",INDEX(CONFIG_REFERENCIA!$B$3:$B$6,MATCH($F136,CONFIG_REFERENCIA!$A$3:$A$6,0)))</x:f>
      </x:c>
      <x:c r="T136" s="14" t="n"/>
      <x:c r="U136" s="14" t="n"/>
      <x:c r="V136" s="14" t="n"/>
      <x:c r="W136" s="14" t="n"/>
      <x:c r="X136" s="15">
        <x:f>IF(COUNTA($T136:$W136)&lt;4,"",$S136*($O136*$T136+$P136*$U136+$Q136*$V136+$R136*$W136))</x:f>
      </x:c>
      <x:c r="Y136" s="14" t="n"/>
      <x:c r="Z136" s="14" t="n"/>
      <x:c r="AA136" s="16" t="n"/>
      <x:c r="AB136" s="16" t="n"/>
      <x:c r="AC136" s="11" t="n"/>
      <x:c r="AD136" s="11" t="n"/>
    </x:row>
    <x:row r="137">
      <x:c r="A137" s="11" t="n"/>
      <x:c r="B137" s="11" t="n"/>
      <x:c r="C137" s="11" t="n"/>
      <x:c r="D137" s="11" t="n"/>
      <x:c r="E137" s="11" t="n"/>
      <x:c r="F137" s="11" t="n"/>
      <x:c r="G137" s="11" t="n"/>
      <x:c r="H137" s="11" t="n"/>
      <x:c r="I137" s="11" t="n"/>
      <x:c r="J137" s="11" t="n"/>
      <x:c r="K137" s="11" t="n"/>
      <x:c r="L137" s="11" t="n"/>
      <x:c r="M137" s="11" t="n"/>
      <x:c r="N137" s="11" t="n"/>
      <x:c r="O137" s="12">
        <x:f>CONFIG_REFERENCIA!$E$3</x:f>
        <x:v>0.35</x:v>
      </x:c>
      <x:c r="P137" s="12">
        <x:f>CONFIG_REFERENCIA!$E$4</x:f>
        <x:v>0.25</x:v>
      </x:c>
      <x:c r="Q137" s="12">
        <x:f>CONFIG_REFERENCIA!$E$5</x:f>
        <x:v>0.25</x:v>
      </x:c>
      <x:c r="R137" s="12">
        <x:f>CONFIG_REFERENCIA!$E$6</x:f>
        <x:v>0.1</x:v>
      </x:c>
      <x:c r="S137" s="13">
        <x:f>IF($F137="","",INDEX(CONFIG_REFERENCIA!$B$3:$B$6,MATCH($F137,CONFIG_REFERENCIA!$A$3:$A$6,0)))</x:f>
      </x:c>
      <x:c r="T137" s="14" t="n"/>
      <x:c r="U137" s="14" t="n"/>
      <x:c r="V137" s="14" t="n"/>
      <x:c r="W137" s="14" t="n"/>
      <x:c r="X137" s="15">
        <x:f>IF(COUNTA($T137:$W137)&lt;4,"",$S137*($O137*$T137+$P137*$U137+$Q137*$V137+$R137*$W137))</x:f>
      </x:c>
      <x:c r="Y137" s="14" t="n"/>
      <x:c r="Z137" s="14" t="n"/>
      <x:c r="AA137" s="16" t="n"/>
      <x:c r="AB137" s="16" t="n"/>
      <x:c r="AC137" s="11" t="n"/>
      <x:c r="AD137" s="11" t="n"/>
    </x:row>
    <x:row r="138">
      <x:c r="A138" s="11" t="n"/>
      <x:c r="B138" s="11" t="n"/>
      <x:c r="C138" s="11" t="n"/>
      <x:c r="D138" s="11" t="n"/>
      <x:c r="E138" s="11" t="n"/>
      <x:c r="F138" s="11" t="n"/>
      <x:c r="G138" s="11" t="n"/>
      <x:c r="H138" s="11" t="n"/>
      <x:c r="I138" s="11" t="n"/>
      <x:c r="J138" s="11" t="n"/>
      <x:c r="K138" s="11" t="n"/>
      <x:c r="L138" s="11" t="n"/>
      <x:c r="M138" s="11" t="n"/>
      <x:c r="N138" s="11" t="n"/>
      <x:c r="O138" s="12">
        <x:f>CONFIG_REFERENCIA!$E$3</x:f>
        <x:v>0.35</x:v>
      </x:c>
      <x:c r="P138" s="12">
        <x:f>CONFIG_REFERENCIA!$E$4</x:f>
        <x:v>0.25</x:v>
      </x:c>
      <x:c r="Q138" s="12">
        <x:f>CONFIG_REFERENCIA!$E$5</x:f>
        <x:v>0.25</x:v>
      </x:c>
      <x:c r="R138" s="12">
        <x:f>CONFIG_REFERENCIA!$E$6</x:f>
        <x:v>0.1</x:v>
      </x:c>
      <x:c r="S138" s="13">
        <x:f>IF($F138="","",INDEX(CONFIG_REFERENCIA!$B$3:$B$6,MATCH($F138,CONFIG_REFERENCIA!$A$3:$A$6,0)))</x:f>
      </x:c>
      <x:c r="T138" s="14" t="n"/>
      <x:c r="U138" s="14" t="n"/>
      <x:c r="V138" s="14" t="n"/>
      <x:c r="W138" s="14" t="n"/>
      <x:c r="X138" s="15">
        <x:f>IF(COUNTA($T138:$W138)&lt;4,"",$S138*($O138*$T138+$P138*$U138+$Q138*$V138+$R138*$W138))</x:f>
      </x:c>
      <x:c r="Y138" s="14" t="n"/>
      <x:c r="Z138" s="14" t="n"/>
      <x:c r="AA138" s="16" t="n"/>
      <x:c r="AB138" s="16" t="n"/>
      <x:c r="AC138" s="11" t="n"/>
      <x:c r="AD138" s="11" t="n"/>
    </x:row>
    <x:row r="139">
      <x:c r="A139" s="11" t="n"/>
      <x:c r="B139" s="11" t="n"/>
      <x:c r="C139" s="11" t="n"/>
      <x:c r="D139" s="11" t="n"/>
      <x:c r="E139" s="11" t="n"/>
      <x:c r="F139" s="11" t="n"/>
      <x:c r="G139" s="11" t="n"/>
      <x:c r="H139" s="11" t="n"/>
      <x:c r="I139" s="11" t="n"/>
      <x:c r="J139" s="11" t="n"/>
      <x:c r="K139" s="11" t="n"/>
      <x:c r="L139" s="11" t="n"/>
      <x:c r="M139" s="11" t="n"/>
      <x:c r="N139" s="11" t="n"/>
      <x:c r="O139" s="12">
        <x:f>CONFIG_REFERENCIA!$E$3</x:f>
        <x:v>0.35</x:v>
      </x:c>
      <x:c r="P139" s="12">
        <x:f>CONFIG_REFERENCIA!$E$4</x:f>
        <x:v>0.25</x:v>
      </x:c>
      <x:c r="Q139" s="12">
        <x:f>CONFIG_REFERENCIA!$E$5</x:f>
        <x:v>0.25</x:v>
      </x:c>
      <x:c r="R139" s="12">
        <x:f>CONFIG_REFERENCIA!$E$6</x:f>
        <x:v>0.1</x:v>
      </x:c>
      <x:c r="S139" s="13">
        <x:f>IF($F139="","",INDEX(CONFIG_REFERENCIA!$B$3:$B$6,MATCH($F139,CONFIG_REFERENCIA!$A$3:$A$6,0)))</x:f>
      </x:c>
      <x:c r="T139" s="14" t="n"/>
      <x:c r="U139" s="14" t="n"/>
      <x:c r="V139" s="14" t="n"/>
      <x:c r="W139" s="14" t="n"/>
      <x:c r="X139" s="15">
        <x:f>IF(COUNTA($T139:$W139)&lt;4,"",$S139*($O139*$T139+$P139*$U139+$Q139*$V139+$R139*$W139))</x:f>
      </x:c>
      <x:c r="Y139" s="14" t="n"/>
      <x:c r="Z139" s="14" t="n"/>
      <x:c r="AA139" s="16" t="n"/>
      <x:c r="AB139" s="16" t="n"/>
      <x:c r="AC139" s="11" t="n"/>
      <x:c r="AD139" s="11" t="n"/>
    </x:row>
    <x:row r="140">
      <x:c r="A140" s="11" t="n"/>
      <x:c r="B140" s="11" t="n"/>
      <x:c r="C140" s="11" t="n"/>
      <x:c r="D140" s="11" t="n"/>
      <x:c r="E140" s="11" t="n"/>
      <x:c r="F140" s="11" t="n"/>
      <x:c r="G140" s="11" t="n"/>
      <x:c r="H140" s="11" t="n"/>
      <x:c r="I140" s="11" t="n"/>
      <x:c r="J140" s="11" t="n"/>
      <x:c r="K140" s="11" t="n"/>
      <x:c r="L140" s="11" t="n"/>
      <x:c r="M140" s="11" t="n"/>
      <x:c r="N140" s="11" t="n"/>
      <x:c r="O140" s="12">
        <x:f>CONFIG_REFERENCIA!$E$3</x:f>
        <x:v>0.35</x:v>
      </x:c>
      <x:c r="P140" s="12">
        <x:f>CONFIG_REFERENCIA!$E$4</x:f>
        <x:v>0.25</x:v>
      </x:c>
      <x:c r="Q140" s="12">
        <x:f>CONFIG_REFERENCIA!$E$5</x:f>
        <x:v>0.25</x:v>
      </x:c>
      <x:c r="R140" s="12">
        <x:f>CONFIG_REFERENCIA!$E$6</x:f>
        <x:v>0.1</x:v>
      </x:c>
      <x:c r="S140" s="13">
        <x:f>IF($F140="","",INDEX(CONFIG_REFERENCIA!$B$3:$B$6,MATCH($F140,CONFIG_REFERENCIA!$A$3:$A$6,0)))</x:f>
      </x:c>
      <x:c r="T140" s="14" t="n"/>
      <x:c r="U140" s="14" t="n"/>
      <x:c r="V140" s="14" t="n"/>
      <x:c r="W140" s="14" t="n"/>
      <x:c r="X140" s="15">
        <x:f>IF(COUNTA($T140:$W140)&lt;4,"",$S140*($O140*$T140+$P140*$U140+$Q140*$V140+$R140*$W140))</x:f>
      </x:c>
      <x:c r="Y140" s="14" t="n"/>
      <x:c r="Z140" s="14" t="n"/>
      <x:c r="AA140" s="16" t="n"/>
      <x:c r="AB140" s="16" t="n"/>
      <x:c r="AC140" s="11" t="n"/>
      <x:c r="AD140" s="11" t="n"/>
    </x:row>
    <x:row r="141">
      <x:c r="A141" s="11" t="n"/>
      <x:c r="B141" s="11" t="n"/>
      <x:c r="C141" s="11" t="n"/>
      <x:c r="D141" s="11" t="n"/>
      <x:c r="E141" s="11" t="n"/>
      <x:c r="F141" s="11" t="n"/>
      <x:c r="G141" s="11" t="n"/>
      <x:c r="H141" s="11" t="n"/>
      <x:c r="I141" s="11" t="n"/>
      <x:c r="J141" s="11" t="n"/>
      <x:c r="K141" s="11" t="n"/>
      <x:c r="L141" s="11" t="n"/>
      <x:c r="M141" s="11" t="n"/>
      <x:c r="N141" s="11" t="n"/>
      <x:c r="O141" s="12">
        <x:f>CONFIG_REFERENCIA!$E$3</x:f>
        <x:v>0.35</x:v>
      </x:c>
      <x:c r="P141" s="12">
        <x:f>CONFIG_REFERENCIA!$E$4</x:f>
        <x:v>0.25</x:v>
      </x:c>
      <x:c r="Q141" s="12">
        <x:f>CONFIG_REFERENCIA!$E$5</x:f>
        <x:v>0.25</x:v>
      </x:c>
      <x:c r="R141" s="12">
        <x:f>CONFIG_REFERENCIA!$E$6</x:f>
        <x:v>0.1</x:v>
      </x:c>
      <x:c r="S141" s="13">
        <x:f>IF($F141="","",INDEX(CONFIG_REFERENCIA!$B$3:$B$6,MATCH($F141,CONFIG_REFERENCIA!$A$3:$A$6,0)))</x:f>
      </x:c>
      <x:c r="T141" s="14" t="n"/>
      <x:c r="U141" s="14" t="n"/>
      <x:c r="V141" s="14" t="n"/>
      <x:c r="W141" s="14" t="n"/>
      <x:c r="X141" s="15">
        <x:f>IF(COUNTA($T141:$W141)&lt;4,"",$S141*($O141*$T141+$P141*$U141+$Q141*$V141+$R141*$W141))</x:f>
      </x:c>
      <x:c r="Y141" s="14" t="n"/>
      <x:c r="Z141" s="14" t="n"/>
      <x:c r="AA141" s="16" t="n"/>
      <x:c r="AB141" s="16" t="n"/>
      <x:c r="AC141" s="11" t="n"/>
      <x:c r="AD141" s="11" t="n"/>
    </x:row>
  </x:sheetData>
  <x:conditionalFormatting sqref="T2:W141">
    <x:cfRule type="expression" dxfId="0" priority="1">
      <x:formula>AND($AC2="corrido",T2="")</x:formula>
    </x:cfRule>
  </x:conditionalFormatting>
  <x:conditionalFormatting sqref="X2:X141">
    <x:cfRule type="colorScale" priority="2">
      <x:colorScale>
        <x:cfvo type="percentile" val="10"/>
        <x:cfvo type="percentile" val="50"/>
        <x:cfvo type="percentile" val="90"/>
        <x:color rgb="0063BE7B"/>
        <x:color rgb="00FFEB84"/>
        <x:color rgb="00F8696B"/>
      </x:colorScale>
    </x:cfRule>
  </x:conditionalFormatting>
  <x:dataValidations count="8">
    <x:dataValidation type="list" allowBlank="1" showDropDown="0" showInputMessage="0" showErrorMessage="0" sqref="C2:C141">
      <x:formula1>"E1,E2,E3,E4,E5,E6,E7,E8,E9,E10"</x:formula1>
    </x:dataValidation>
    <x:dataValidation type="list" allowBlank="1" showDropDown="0" showInputMessage="0" showErrorMessage="0" sqref="D2:D141">
      <x:formula1>"lineal,robusto,boosting,temporal,hibrido,ensemble"</x:formula1>
    </x:dataValidation>
    <x:dataValidation type="list" allowBlank="1" showDropDown="0" showInputMessage="0" showErrorMessage="0" sqref="F2:F141">
      <x:formula1>"1,2,3,4"</x:formula1>
    </x:dataValidation>
    <x:dataValidation type="list" allowBlank="1" showDropDown="0" showInputMessage="0" showErrorMessage="0" sqref="G2:G141">
      <x:formula1>"nivel,delta,ambos"</x:formula1>
    </x:dataValidation>
    <x:dataValidation type="list" allowBlank="1" showDropDown="0" showInputMessage="0" showErrorMessage="0" sqref="J2:J141">
      <x:formula1>"original,estandarizada,log,robusta,winsorizada"</x:formula1>
    </x:dataValidation>
    <x:dataValidation type="list" allowBlank="1" showDropDown="0" showInputMessage="0" showErrorMessage="0" sqref="K2:K141">
      <x:formula1>"todas,correlacion,lasso,importancia_arboles"</x:formula1>
    </x:dataValidation>
    <x:dataValidation type="list" allowBlank="1" showDropDown="0" showInputMessage="0" showErrorMessage="0" sqref="L2:L141">
      <x:formula1>"walk-forward,expanding_window,rolling_window"</x:formula1>
    </x:dataValidation>
    <x:dataValidation type="list" allowBlank="1" showDropDown="0" showInputMessage="0" showErrorMessage="0" sqref="AC2:AC141">
      <x:formula1>"pendiente,correr,corrido,revisar"</x:formula1>
    </x:dataValidation>
  </x:dataValidations>
  <x:pageMargins left="0.7" right="0.7" top="0.75" bottom="0.75" header="0.3" footer="0.3"/>
  <x:legacyDrawing xmlns:r="http://schemas.openxmlformats.org/officeDocument/2006/relationships" r:id="Re4d950ee0cc64f48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3" customWidth="1"/>
    <x:col min="3" max="3" width="28" customWidth="1"/>
    <x:col min="4" max="4" width="14" customWidth="1"/>
    <x:col min="5" max="5" width="15" customWidth="1"/>
    <x:col min="6" max="6" width="18" customWidth="1"/>
    <x:col min="7" max="7" width="10" customWidth="1"/>
    <x:col min="8" max="8" width="8" customWidth="1"/>
    <x:col min="9" max="9" width="14" customWidth="1"/>
    <x:col min="10" max="10" width="10" customWidth="1"/>
    <x:col min="11" max="11" width="10" customWidth="1"/>
    <x:col min="12" max="12" width="12" customWidth="1"/>
    <x:col min="13" max="13" width="14" customWidth="1"/>
    <x:col min="14" max="14" width="12" customWidth="1"/>
    <x:col min="15" max="15" width="9" customWidth="1"/>
    <x:col min="16" max="16" width="30" customWidth="1"/>
  </x:cols>
  <x:sheetData>
    <x:row r="1">
      <x:c r="A1" s="5" t="inlineStr">
        <x:is>
          <x:t xml:space="preserve">Run_ID</x:t>
        </x:is>
      </x:c>
      <x:c r="B1" s="5" t="inlineStr">
        <x:is>
          <x:t xml:space="preserve">Experiment_ID</x:t>
        </x:is>
      </x:c>
      <x:c r="C1" s="5" t="inlineStr">
        <x:is>
          <x:t xml:space="preserve">Modelo</x:t>
        </x:is>
      </x:c>
      <x:c r="D1" s="5" t="inlineStr">
        <x:is>
          <x:t xml:space="preserve">Familia</x:t>
        </x:is>
      </x:c>
      <x:c r="E1" s="5" t="inlineStr">
        <x:is>
          <x:t xml:space="preserve">Horizons_loaded</x:t>
        </x:is>
      </x:c>
      <x:c r="F1" s="5" t="inlineStr">
        <x:is>
          <x:t xml:space="preserve">Sum_weighted_Loss_h</x:t>
        </x:is>
      </x:c>
      <x:c r="G1" s="5" t="inlineStr">
        <x:is>
          <x:t xml:space="preserve">L_coh</x:t>
        </x:is>
      </x:c>
      <x:c r="H1" s="5" t="inlineStr">
        <x:is>
          <x:t xml:space="preserve">eta</x:t>
        </x:is>
      </x:c>
      <x:c r="I1" s="5" t="inlineStr">
        <x:is>
          <x:t xml:space="preserve">L_total_Radar</x:t>
        </x:is>
      </x:c>
      <x:c r="J1" s="5" t="inlineStr">
        <x:is>
          <x:t xml:space="preserve">Avg_MAE</x:t>
        </x:is>
      </x:c>
      <x:c r="K1" s="5" t="inlineStr">
        <x:is>
          <x:t xml:space="preserve">Avg_RMSE</x:t>
        </x:is>
      </x:c>
      <x:c r="L1" s="5" t="inlineStr">
        <x:is>
          <x:t xml:space="preserve">Dir_acc_prom</x:t>
        </x:is>
      </x:c>
      <x:c r="M1" s="5" t="inlineStr">
        <x:is>
          <x:t xml:space="preserve">Det_caidas_prom</x:t>
        </x:is>
      </x:c>
      <x:c r="N1" s="5" t="inlineStr">
        <x:is>
          <x:t xml:space="preserve">Decision</x:t>
        </x:is>
      </x:c>
      <x:c r="O1" s="5" t="inlineStr">
        <x:is>
          <x:t xml:space="preserve">Ranking</x:t>
        </x:is>
      </x:c>
      <x:c r="P1" s="5" t="inlineStr">
        <x:is>
          <x:t xml:space="preserve">Comentarios</x:t>
        </x:is>
      </x:c>
    </x:row>
    <x:row r="2">
      <x:c r="A2" s="11" t="inlineStr">
        <x:is>
          <x:t xml:space="preserve">E1_v1</x:t>
        </x:is>
      </x:c>
      <x:c r="B2" s="17" t="str">
        <x:f>IF($A2="","",IFERROR(INDEX(RESULTADOS_GRID!$C:$C,MATCH($A2,RESULTADOS_GRID!$B:$B,0)),""))</x:f>
        <x:v>E1</x:v>
      </x:c>
      <x:c r="C2" s="17" t="str">
        <x:f>IF($A2="","",IFERROR(INDEX(RESULTADOS_GRID!$E:$E,MATCH($A2,RESULTADOS_GRID!$B:$B,0)),""))</x:f>
        <x:v>Ridge / Elastic Net</x:v>
      </x:c>
      <x:c r="D2" s="17" t="str">
        <x:f>IF($A2="","",IFERROR(INDEX(RESULTADOS_GRID!$D:$D,MATCH($A2,RESULTADOS_GRID!$B:$B,0)),""))</x:f>
        <x:v>lineal</x:v>
      </x:c>
      <x:c r="E2" s="17">
        <x:f>IF($A2="","",COUNTIF(RESULTADOS_GRID!$B:$B,$A2))</x:f>
        <x:v>4</x:v>
      </x:c>
      <x:c r="F2" s="15">
        <x:f>IF($A2="","",SUMIF(RESULTADOS_GRID!$B:$B,$A2,RESULTADOS_GRID!$X:$X))</x:f>
        <x:v>0</x:v>
      </x:c>
      <x:c r="G2" s="14" t="n"/>
      <x:c r="H2" s="18">
        <x:f>CONFIG_REFERENCIA!$E$7</x:f>
        <x:v>0.05</x:v>
      </x:c>
      <x:c r="I2" s="15">
        <x:f>IF($A2="","",$F2+N($G2)*$H2)</x:f>
        <x:v>0</x:v>
      </x:c>
      <x:c r="J2" s="15">
        <x:f>IF($A2="","",IF((COUNTIFS(RESULTADOS_GRID!$B:$B,$A2,RESULTADOS_GRID!$Y:$Y,"&gt;=0")+COUNTIFS(RESULTADOS_GRID!$B:$B,$A2,RESULTADOS_GRID!$Y:$Y,"&lt;0"))=0,"",SUMIF(RESULTADOS_GRID!$B:$B,$A2,RESULTADOS_GRID!$Y:$Y)/(COUNTIFS(RESULTADOS_GRID!$B:$B,$A2,RESULTADOS_GRID!$Y:$Y,"&gt;=0")+COUNTIFS(RESULTADOS_GRID!$B:$B,$A2,RESULTADOS_GRID!$Y:$Y,"&lt;0"))))</x:f>
        <x:v>0</x:v>
      </x:c>
      <x:c r="K2" s="15">
        <x:f>IF($A2="","",IF((COUNTIFS(RESULTADOS_GRID!$B:$B,$A2,RESULTADOS_GRID!$Z:$Z,"&gt;=0")+COUNTIFS(RESULTADOS_GRID!$B:$B,$A2,RESULTADOS_GRID!$Z:$Z,"&lt;0"))=0,"",SUMIF(RESULTADOS_GRID!$B:$B,$A2,RESULTADOS_GRID!$Z:$Z)/(COUNTIFS(RESULTADOS_GRID!$B:$B,$A2,RESULTADOS_GRID!$Z:$Z,"&gt;=0")+COUNTIFS(RESULTADOS_GRID!$B:$B,$A2,RESULTADOS_GRID!$Z:$Z,"&lt;0"))))</x:f>
        <x:v>0</x:v>
      </x:c>
      <x:c r="L2" s="12">
        <x:f>IF($A2="","",IF((COUNTIFS(RESULTADOS_GRID!$B:$B,$A2,RESULTADOS_GRID!$AA:$AA,"&gt;=0")+COUNTIFS(RESULTADOS_GRID!$B:$B,$A2,RESULTADOS_GRID!$AA:$AA,"&lt;0"))=0,"",SUMIF(RESULTADOS_GRID!$B:$B,$A2,RESULTADOS_GRID!$AA:$AA)/(COUNTIFS(RESULTADOS_GRID!$B:$B,$A2,RESULTADOS_GRID!$AA:$AA,"&gt;=0")+COUNTIFS(RESULTADOS_GRID!$B:$B,$A2,RESULTADOS_GRID!$AA:$AA,"&lt;0"))))</x:f>
        <x:v>0</x:v>
      </x:c>
      <x:c r="M2" s="12">
        <x:f>IF($A2="","",IF((COUNTIFS(RESULTADOS_GRID!$B:$B,$A2,RESULTADOS_GRID!$AB:$AB,"&gt;=0")+COUNTIFS(RESULTADOS_GRID!$B:$B,$A2,RESULTADOS_GRID!$AB:$AB,"&lt;0"))=0,"",SUMIF(RESULTADOS_GRID!$B:$B,$A2,RESULTADOS_GRID!$AB:$AB)/(COUNTIFS(RESULTADOS_GRID!$B:$B,$A2,RESULTADOS_GRID!$AB:$AB,"&gt;=0")+COUNTIFS(RESULTADOS_GRID!$B:$B,$A2,RESULTADOS_GRID!$AB:$AB,"&lt;0"))))</x:f>
        <x:v>0</x:v>
      </x:c>
      <x:c r="N2" s="11" t="n"/>
      <x:c r="O2" s="17">
        <x:f>IF($I2="","",COUNTIFS($I$2:$I$101,"&lt;"&amp;$I2)+1)</x:f>
      </x:c>
      <x:c r="P2" s="11" t="n"/>
    </x:row>
    <x:row r="3">
      <x:c r="A3" s="11" t="inlineStr">
        <x:is>
          <x:t xml:space="preserve">E2_v1</x:t>
        </x:is>
      </x:c>
      <x:c r="B3" s="17" t="str">
        <x:f>IF($A3="","",IFERROR(INDEX(RESULTADOS_GRID!$C:$C,MATCH($A3,RESULTADOS_GRID!$B:$B,0)),""))</x:f>
        <x:v>E2</x:v>
      </x:c>
      <x:c r="C3" s="17" t="str">
        <x:f>IF($A3="","",IFERROR(INDEX(RESULTADOS_GRID!$E:$E,MATCH($A3,RESULTADOS_GRID!$B:$B,0)),""))</x:f>
        <x:v>Huber Regressor</x:v>
      </x:c>
      <x:c r="D3" s="17" t="str">
        <x:f>IF($A3="","",IFERROR(INDEX(RESULTADOS_GRID!$D:$D,MATCH($A3,RESULTADOS_GRID!$B:$B,0)),""))</x:f>
        <x:v>robusto</x:v>
      </x:c>
      <x:c r="E3" s="17">
        <x:f>IF($A3="","",COUNTIF(RESULTADOS_GRID!$B:$B,$A3))</x:f>
        <x:v>4</x:v>
      </x:c>
      <x:c r="F3" s="15">
        <x:f>IF($A3="","",SUMIF(RESULTADOS_GRID!$B:$B,$A3,RESULTADOS_GRID!$X:$X))</x:f>
        <x:v>0</x:v>
      </x:c>
      <x:c r="G3" s="14" t="n"/>
      <x:c r="H3" s="18">
        <x:f>CONFIG_REFERENCIA!$E$7</x:f>
        <x:v>0.05</x:v>
      </x:c>
      <x:c r="I3" s="15">
        <x:f>IF($A3="","",$F3+N($G3)*$H3)</x:f>
        <x:v>0</x:v>
      </x:c>
      <x:c r="J3" s="15">
        <x:f>IF($A3="","",IF((COUNTIFS(RESULTADOS_GRID!$B:$B,$A3,RESULTADOS_GRID!$Y:$Y,"&gt;=0")+COUNTIFS(RESULTADOS_GRID!$B:$B,$A3,RESULTADOS_GRID!$Y:$Y,"&lt;0"))=0,"",SUMIF(RESULTADOS_GRID!$B:$B,$A3,RESULTADOS_GRID!$Y:$Y)/(COUNTIFS(RESULTADOS_GRID!$B:$B,$A3,RESULTADOS_GRID!$Y:$Y,"&gt;=0")+COUNTIFS(RESULTADOS_GRID!$B:$B,$A3,RESULTADOS_GRID!$Y:$Y,"&lt;0"))))</x:f>
        <x:v>0</x:v>
      </x:c>
      <x:c r="K3" s="15">
        <x:f>IF($A3="","",IF((COUNTIFS(RESULTADOS_GRID!$B:$B,$A3,RESULTADOS_GRID!$Z:$Z,"&gt;=0")+COUNTIFS(RESULTADOS_GRID!$B:$B,$A3,RESULTADOS_GRID!$Z:$Z,"&lt;0"))=0,"",SUMIF(RESULTADOS_GRID!$B:$B,$A3,RESULTADOS_GRID!$Z:$Z)/(COUNTIFS(RESULTADOS_GRID!$B:$B,$A3,RESULTADOS_GRID!$Z:$Z,"&gt;=0")+COUNTIFS(RESULTADOS_GRID!$B:$B,$A3,RESULTADOS_GRID!$Z:$Z,"&lt;0"))))</x:f>
        <x:v>0</x:v>
      </x:c>
      <x:c r="L3" s="12">
        <x:f>IF($A3="","",IF((COUNTIFS(RESULTADOS_GRID!$B:$B,$A3,RESULTADOS_GRID!$AA:$AA,"&gt;=0")+COUNTIFS(RESULTADOS_GRID!$B:$B,$A3,RESULTADOS_GRID!$AA:$AA,"&lt;0"))=0,"",SUMIF(RESULTADOS_GRID!$B:$B,$A3,RESULTADOS_GRID!$AA:$AA)/(COUNTIFS(RESULTADOS_GRID!$B:$B,$A3,RESULTADOS_GRID!$AA:$AA,"&gt;=0")+COUNTIFS(RESULTADOS_GRID!$B:$B,$A3,RESULTADOS_GRID!$AA:$AA,"&lt;0"))))</x:f>
        <x:v>0</x:v>
      </x:c>
      <x:c r="M3" s="12">
        <x:f>IF($A3="","",IF((COUNTIFS(RESULTADOS_GRID!$B:$B,$A3,RESULTADOS_GRID!$AB:$AB,"&gt;=0")+COUNTIFS(RESULTADOS_GRID!$B:$B,$A3,RESULTADOS_GRID!$AB:$AB,"&lt;0"))=0,"",SUMIF(RESULTADOS_GRID!$B:$B,$A3,RESULTADOS_GRID!$AB:$AB)/(COUNTIFS(RESULTADOS_GRID!$B:$B,$A3,RESULTADOS_GRID!$AB:$AB,"&gt;=0")+COUNTIFS(RESULTADOS_GRID!$B:$B,$A3,RESULTADOS_GRID!$AB:$AB,"&lt;0"))))</x:f>
        <x:v>0</x:v>
      </x:c>
      <x:c r="N3" s="11" t="n"/>
      <x:c r="O3" s="17">
        <x:f>IF($I3="","",COUNTIFS($I$2:$I$101,"&lt;"&amp;$I3)+1)</x:f>
      </x:c>
      <x:c r="P3" s="11" t="n"/>
    </x:row>
    <x:row r="4">
      <x:c r="A4" s="11" t="inlineStr">
        <x:is>
          <x:t xml:space="preserve">E3_v1</x:t>
        </x:is>
      </x:c>
      <x:c r="B4" s="17" t="str">
        <x:f>IF($A4="","",IFERROR(INDEX(RESULTADOS_GRID!$C:$C,MATCH($A4,RESULTADOS_GRID!$B:$B,0)),""))</x:f>
        <x:v>E3</x:v>
      </x:c>
      <x:c r="C4" s="17" t="str">
        <x:f>IF($A4="","",IFERROR(INDEX(RESULTADOS_GRID!$E:$E,MATCH($A4,RESULTADOS_GRID!$B:$B,0)),""))</x:f>
        <x:v>Random Forest</x:v>
      </x:c>
      <x:c r="D4" s="17" t="str">
        <x:f>IF($A4="","",IFERROR(INDEX(RESULTADOS_GRID!$D:$D,MATCH($A4,RESULTADOS_GRID!$B:$B,0)),""))</x:f>
        <x:v>boosting</x:v>
      </x:c>
      <x:c r="E4" s="17">
        <x:f>IF($A4="","",COUNTIF(RESULTADOS_GRID!$B:$B,$A4))</x:f>
        <x:v>4</x:v>
      </x:c>
      <x:c r="F4" s="15">
        <x:f>IF($A4="","",SUMIF(RESULTADOS_GRID!$B:$B,$A4,RESULTADOS_GRID!$X:$X))</x:f>
        <x:v>0</x:v>
      </x:c>
      <x:c r="G4" s="14" t="n"/>
      <x:c r="H4" s="18">
        <x:f>CONFIG_REFERENCIA!$E$7</x:f>
        <x:v>0.05</x:v>
      </x:c>
      <x:c r="I4" s="15">
        <x:f>IF($A4="","",$F4+N($G4)*$H4)</x:f>
        <x:v>0</x:v>
      </x:c>
      <x:c r="J4" s="15">
        <x:f>IF($A4="","",IF((COUNTIFS(RESULTADOS_GRID!$B:$B,$A4,RESULTADOS_GRID!$Y:$Y,"&gt;=0")+COUNTIFS(RESULTADOS_GRID!$B:$B,$A4,RESULTADOS_GRID!$Y:$Y,"&lt;0"))=0,"",SUMIF(RESULTADOS_GRID!$B:$B,$A4,RESULTADOS_GRID!$Y:$Y)/(COUNTIFS(RESULTADOS_GRID!$B:$B,$A4,RESULTADOS_GRID!$Y:$Y,"&gt;=0")+COUNTIFS(RESULTADOS_GRID!$B:$B,$A4,RESULTADOS_GRID!$Y:$Y,"&lt;0"))))</x:f>
        <x:v>0</x:v>
      </x:c>
      <x:c r="K4" s="15">
        <x:f>IF($A4="","",IF((COUNTIFS(RESULTADOS_GRID!$B:$B,$A4,RESULTADOS_GRID!$Z:$Z,"&gt;=0")+COUNTIFS(RESULTADOS_GRID!$B:$B,$A4,RESULTADOS_GRID!$Z:$Z,"&lt;0"))=0,"",SUMIF(RESULTADOS_GRID!$B:$B,$A4,RESULTADOS_GRID!$Z:$Z)/(COUNTIFS(RESULTADOS_GRID!$B:$B,$A4,RESULTADOS_GRID!$Z:$Z,"&gt;=0")+COUNTIFS(RESULTADOS_GRID!$B:$B,$A4,RESULTADOS_GRID!$Z:$Z,"&lt;0"))))</x:f>
        <x:v>0</x:v>
      </x:c>
      <x:c r="L4" s="12">
        <x:f>IF($A4="","",IF((COUNTIFS(RESULTADOS_GRID!$B:$B,$A4,RESULTADOS_GRID!$AA:$AA,"&gt;=0")+COUNTIFS(RESULTADOS_GRID!$B:$B,$A4,RESULTADOS_GRID!$AA:$AA,"&lt;0"))=0,"",SUMIF(RESULTADOS_GRID!$B:$B,$A4,RESULTADOS_GRID!$AA:$AA)/(COUNTIFS(RESULTADOS_GRID!$B:$B,$A4,RESULTADOS_GRID!$AA:$AA,"&gt;=0")+COUNTIFS(RESULTADOS_GRID!$B:$B,$A4,RESULTADOS_GRID!$AA:$AA,"&lt;0"))))</x:f>
        <x:v>0</x:v>
      </x:c>
      <x:c r="M4" s="12">
        <x:f>IF($A4="","",IF((COUNTIFS(RESULTADOS_GRID!$B:$B,$A4,RESULTADOS_GRID!$AB:$AB,"&gt;=0")+COUNTIFS(RESULTADOS_GRID!$B:$B,$A4,RESULTADOS_GRID!$AB:$AB,"&lt;0"))=0,"",SUMIF(RESULTADOS_GRID!$B:$B,$A4,RESULTADOS_GRID!$AB:$AB)/(COUNTIFS(RESULTADOS_GRID!$B:$B,$A4,RESULTADOS_GRID!$AB:$AB,"&gt;=0")+COUNTIFS(RESULTADOS_GRID!$B:$B,$A4,RESULTADOS_GRID!$AB:$AB,"&lt;0"))))</x:f>
        <x:v>0</x:v>
      </x:c>
      <x:c r="N4" s="11" t="n"/>
      <x:c r="O4" s="17">
        <x:f>IF($I4="","",COUNTIFS($I$2:$I$101,"&lt;"&amp;$I4)+1)</x:f>
      </x:c>
      <x:c r="P4" s="11" t="n"/>
    </x:row>
    <x:row r="5">
      <x:c r="A5" s="11" t="inlineStr">
        <x:is>
          <x:t xml:space="preserve">E4_v1</x:t>
        </x:is>
      </x:c>
      <x:c r="B5" s="17" t="str">
        <x:f>IF($A5="","",IFERROR(INDEX(RESULTADOS_GRID!$C:$C,MATCH($A5,RESULTADOS_GRID!$B:$B,0)),""))</x:f>
        <x:v>E4</x:v>
      </x:c>
      <x:c r="C5" s="17" t="str">
        <x:f>IF($A5="","",IFERROR(INDEX(RESULTADOS_GRID!$E:$E,MATCH($A5,RESULTADOS_GRID!$B:$B,0)),""))</x:f>
        <x:v>XGBoost / LightGBM</x:v>
      </x:c>
      <x:c r="D5" s="17" t="str">
        <x:f>IF($A5="","",IFERROR(INDEX(RESULTADOS_GRID!$D:$D,MATCH($A5,RESULTADOS_GRID!$B:$B,0)),""))</x:f>
        <x:v>boosting</x:v>
      </x:c>
      <x:c r="E5" s="17">
        <x:f>IF($A5="","",COUNTIF(RESULTADOS_GRID!$B:$B,$A5))</x:f>
        <x:v>4</x:v>
      </x:c>
      <x:c r="F5" s="15">
        <x:f>IF($A5="","",SUMIF(RESULTADOS_GRID!$B:$B,$A5,RESULTADOS_GRID!$X:$X))</x:f>
        <x:v>0</x:v>
      </x:c>
      <x:c r="G5" s="14" t="n"/>
      <x:c r="H5" s="18">
        <x:f>CONFIG_REFERENCIA!$E$7</x:f>
        <x:v>0.05</x:v>
      </x:c>
      <x:c r="I5" s="15">
        <x:f>IF($A5="","",$F5+N($G5)*$H5)</x:f>
        <x:v>0</x:v>
      </x:c>
      <x:c r="J5" s="15">
        <x:f>IF($A5="","",IF((COUNTIFS(RESULTADOS_GRID!$B:$B,$A5,RESULTADOS_GRID!$Y:$Y,"&gt;=0")+COUNTIFS(RESULTADOS_GRID!$B:$B,$A5,RESULTADOS_GRID!$Y:$Y,"&lt;0"))=0,"",SUMIF(RESULTADOS_GRID!$B:$B,$A5,RESULTADOS_GRID!$Y:$Y)/(COUNTIFS(RESULTADOS_GRID!$B:$B,$A5,RESULTADOS_GRID!$Y:$Y,"&gt;=0")+COUNTIFS(RESULTADOS_GRID!$B:$B,$A5,RESULTADOS_GRID!$Y:$Y,"&lt;0"))))</x:f>
        <x:v>0</x:v>
      </x:c>
      <x:c r="K5" s="15">
        <x:f>IF($A5="","",IF((COUNTIFS(RESULTADOS_GRID!$B:$B,$A5,RESULTADOS_GRID!$Z:$Z,"&gt;=0")+COUNTIFS(RESULTADOS_GRID!$B:$B,$A5,RESULTADOS_GRID!$Z:$Z,"&lt;0"))=0,"",SUMIF(RESULTADOS_GRID!$B:$B,$A5,RESULTADOS_GRID!$Z:$Z)/(COUNTIFS(RESULTADOS_GRID!$B:$B,$A5,RESULTADOS_GRID!$Z:$Z,"&gt;=0")+COUNTIFS(RESULTADOS_GRID!$B:$B,$A5,RESULTADOS_GRID!$Z:$Z,"&lt;0"))))</x:f>
        <x:v>0</x:v>
      </x:c>
      <x:c r="L5" s="12">
        <x:f>IF($A5="","",IF((COUNTIFS(RESULTADOS_GRID!$B:$B,$A5,RESULTADOS_GRID!$AA:$AA,"&gt;=0")+COUNTIFS(RESULTADOS_GRID!$B:$B,$A5,RESULTADOS_GRID!$AA:$AA,"&lt;0"))=0,"",SUMIF(RESULTADOS_GRID!$B:$B,$A5,RESULTADOS_GRID!$AA:$AA)/(COUNTIFS(RESULTADOS_GRID!$B:$B,$A5,RESULTADOS_GRID!$AA:$AA,"&gt;=0")+COUNTIFS(RESULTADOS_GRID!$B:$B,$A5,RESULTADOS_GRID!$AA:$AA,"&lt;0"))))</x:f>
        <x:v>0</x:v>
      </x:c>
      <x:c r="M5" s="12">
        <x:f>IF($A5="","",IF((COUNTIFS(RESULTADOS_GRID!$B:$B,$A5,RESULTADOS_GRID!$AB:$AB,"&gt;=0")+COUNTIFS(RESULTADOS_GRID!$B:$B,$A5,RESULTADOS_GRID!$AB:$AB,"&lt;0"))=0,"",SUMIF(RESULTADOS_GRID!$B:$B,$A5,RESULTADOS_GRID!$AB:$AB)/(COUNTIFS(RESULTADOS_GRID!$B:$B,$A5,RESULTADOS_GRID!$AB:$AB,"&gt;=0")+COUNTIFS(RESULTADOS_GRID!$B:$B,$A5,RESULTADOS_GRID!$AB:$AB,"&lt;0"))))</x:f>
        <x:v>0</x:v>
      </x:c>
      <x:c r="N5" s="11" t="n"/>
      <x:c r="O5" s="17">
        <x:f>IF($I5="","",COUNTIFS($I$2:$I$101,"&lt;"&amp;$I5)+1)</x:f>
      </x:c>
      <x:c r="P5" s="11" t="n"/>
    </x:row>
    <x:row r="6">
      <x:c r="A6" s="11" t="inlineStr">
        <x:is>
          <x:t xml:space="preserve">E5_v1</x:t>
        </x:is>
      </x:c>
      <x:c r="B6" s="17" t="str">
        <x:f>IF($A6="","",IFERROR(INDEX(RESULTADOS_GRID!$C:$C,MATCH($A6,RESULTADOS_GRID!$B:$B,0)),""))</x:f>
        <x:v>E5</x:v>
      </x:c>
      <x:c r="C6" s="17" t="str">
        <x:f>IF($A6="","",IFERROR(INDEX(RESULTADOS_GRID!$E:$E,MATCH($A6,RESULTADOS_GRID!$B:$B,0)),""))</x:f>
        <x:v>CatBoost</x:v>
      </x:c>
      <x:c r="D6" s="17" t="str">
        <x:f>IF($A6="","",IFERROR(INDEX(RESULTADOS_GRID!$D:$D,MATCH($A6,RESULTADOS_GRID!$B:$B,0)),""))</x:f>
        <x:v>boosting</x:v>
      </x:c>
      <x:c r="E6" s="17">
        <x:f>IF($A6="","",COUNTIF(RESULTADOS_GRID!$B:$B,$A6))</x:f>
        <x:v>4</x:v>
      </x:c>
      <x:c r="F6" s="15">
        <x:f>IF($A6="","",SUMIF(RESULTADOS_GRID!$B:$B,$A6,RESULTADOS_GRID!$X:$X))</x:f>
        <x:v>0</x:v>
      </x:c>
      <x:c r="G6" s="14" t="n"/>
      <x:c r="H6" s="18">
        <x:f>CONFIG_REFERENCIA!$E$7</x:f>
        <x:v>0.05</x:v>
      </x:c>
      <x:c r="I6" s="15">
        <x:f>IF($A6="","",$F6+N($G6)*$H6)</x:f>
        <x:v>0</x:v>
      </x:c>
      <x:c r="J6" s="15">
        <x:f>IF($A6="","",IF((COUNTIFS(RESULTADOS_GRID!$B:$B,$A6,RESULTADOS_GRID!$Y:$Y,"&gt;=0")+COUNTIFS(RESULTADOS_GRID!$B:$B,$A6,RESULTADOS_GRID!$Y:$Y,"&lt;0"))=0,"",SUMIF(RESULTADOS_GRID!$B:$B,$A6,RESULTADOS_GRID!$Y:$Y)/(COUNTIFS(RESULTADOS_GRID!$B:$B,$A6,RESULTADOS_GRID!$Y:$Y,"&gt;=0")+COUNTIFS(RESULTADOS_GRID!$B:$B,$A6,RESULTADOS_GRID!$Y:$Y,"&lt;0"))))</x:f>
        <x:v>0</x:v>
      </x:c>
      <x:c r="K6" s="15">
        <x:f>IF($A6="","",IF((COUNTIFS(RESULTADOS_GRID!$B:$B,$A6,RESULTADOS_GRID!$Z:$Z,"&gt;=0")+COUNTIFS(RESULTADOS_GRID!$B:$B,$A6,RESULTADOS_GRID!$Z:$Z,"&lt;0"))=0,"",SUMIF(RESULTADOS_GRID!$B:$B,$A6,RESULTADOS_GRID!$Z:$Z)/(COUNTIFS(RESULTADOS_GRID!$B:$B,$A6,RESULTADOS_GRID!$Z:$Z,"&gt;=0")+COUNTIFS(RESULTADOS_GRID!$B:$B,$A6,RESULTADOS_GRID!$Z:$Z,"&lt;0"))))</x:f>
        <x:v>0</x:v>
      </x:c>
      <x:c r="L6" s="12">
        <x:f>IF($A6="","",IF((COUNTIFS(RESULTADOS_GRID!$B:$B,$A6,RESULTADOS_GRID!$AA:$AA,"&gt;=0")+COUNTIFS(RESULTADOS_GRID!$B:$B,$A6,RESULTADOS_GRID!$AA:$AA,"&lt;0"))=0,"",SUMIF(RESULTADOS_GRID!$B:$B,$A6,RESULTADOS_GRID!$AA:$AA)/(COUNTIFS(RESULTADOS_GRID!$B:$B,$A6,RESULTADOS_GRID!$AA:$AA,"&gt;=0")+COUNTIFS(RESULTADOS_GRID!$B:$B,$A6,RESULTADOS_GRID!$AA:$AA,"&lt;0"))))</x:f>
        <x:v>0</x:v>
      </x:c>
      <x:c r="M6" s="12">
        <x:f>IF($A6="","",IF((COUNTIFS(RESULTADOS_GRID!$B:$B,$A6,RESULTADOS_GRID!$AB:$AB,"&gt;=0")+COUNTIFS(RESULTADOS_GRID!$B:$B,$A6,RESULTADOS_GRID!$AB:$AB,"&lt;0"))=0,"",SUMIF(RESULTADOS_GRID!$B:$B,$A6,RESULTADOS_GRID!$AB:$AB)/(COUNTIFS(RESULTADOS_GRID!$B:$B,$A6,RESULTADOS_GRID!$AB:$AB,"&gt;=0")+COUNTIFS(RESULTADOS_GRID!$B:$B,$A6,RESULTADOS_GRID!$AB:$AB,"&lt;0"))))</x:f>
        <x:v>0</x:v>
      </x:c>
      <x:c r="N6" s="11" t="n"/>
      <x:c r="O6" s="17">
        <x:f>IF($I6="","",COUNTIFS($I$2:$I$101,"&lt;"&amp;$I6)+1)</x:f>
      </x:c>
      <x:c r="P6" s="11" t="n"/>
    </x:row>
    <x:row r="7">
      <x:c r="A7" s="11" t="inlineStr">
        <x:is>
          <x:t xml:space="preserve">E6_v1</x:t>
        </x:is>
      </x:c>
      <x:c r="B7" s="17" t="str">
        <x:f>IF($A7="","",IFERROR(INDEX(RESULTADOS_GRID!$C:$C,MATCH($A7,RESULTADOS_GRID!$B:$B,0)),""))</x:f>
        <x:v>E6</x:v>
      </x:c>
      <x:c r="C7" s="17" t="str">
        <x:f>IF($A7="","",IFERROR(INDEX(RESULTADOS_GRID!$E:$E,MATCH($A7,RESULTADOS_GRID!$B:$B,0)),""))</x:f>
        <x:v>ARIMAX / SARIMAX</x:v>
      </x:c>
      <x:c r="D7" s="17" t="str">
        <x:f>IF($A7="","",IFERROR(INDEX(RESULTADOS_GRID!$D:$D,MATCH($A7,RESULTADOS_GRID!$B:$B,0)),""))</x:f>
        <x:v>temporal</x:v>
      </x:c>
      <x:c r="E7" s="17">
        <x:f>IF($A7="","",COUNTIF(RESULTADOS_GRID!$B:$B,$A7))</x:f>
        <x:v>4</x:v>
      </x:c>
      <x:c r="F7" s="15">
        <x:f>IF($A7="","",SUMIF(RESULTADOS_GRID!$B:$B,$A7,RESULTADOS_GRID!$X:$X))</x:f>
        <x:v>0</x:v>
      </x:c>
      <x:c r="G7" s="14" t="n"/>
      <x:c r="H7" s="18">
        <x:f>CONFIG_REFERENCIA!$E$7</x:f>
        <x:v>0.05</x:v>
      </x:c>
      <x:c r="I7" s="15">
        <x:f>IF($A7="","",$F7+N($G7)*$H7)</x:f>
        <x:v>0</x:v>
      </x:c>
      <x:c r="J7" s="15">
        <x:f>IF($A7="","",IF((COUNTIFS(RESULTADOS_GRID!$B:$B,$A7,RESULTADOS_GRID!$Y:$Y,"&gt;=0")+COUNTIFS(RESULTADOS_GRID!$B:$B,$A7,RESULTADOS_GRID!$Y:$Y,"&lt;0"))=0,"",SUMIF(RESULTADOS_GRID!$B:$B,$A7,RESULTADOS_GRID!$Y:$Y)/(COUNTIFS(RESULTADOS_GRID!$B:$B,$A7,RESULTADOS_GRID!$Y:$Y,"&gt;=0")+COUNTIFS(RESULTADOS_GRID!$B:$B,$A7,RESULTADOS_GRID!$Y:$Y,"&lt;0"))))</x:f>
        <x:v>0</x:v>
      </x:c>
      <x:c r="K7" s="15">
        <x:f>IF($A7="","",IF((COUNTIFS(RESULTADOS_GRID!$B:$B,$A7,RESULTADOS_GRID!$Z:$Z,"&gt;=0")+COUNTIFS(RESULTADOS_GRID!$B:$B,$A7,RESULTADOS_GRID!$Z:$Z,"&lt;0"))=0,"",SUMIF(RESULTADOS_GRID!$B:$B,$A7,RESULTADOS_GRID!$Z:$Z)/(COUNTIFS(RESULTADOS_GRID!$B:$B,$A7,RESULTADOS_GRID!$Z:$Z,"&gt;=0")+COUNTIFS(RESULTADOS_GRID!$B:$B,$A7,RESULTADOS_GRID!$Z:$Z,"&lt;0"))))</x:f>
        <x:v>0</x:v>
      </x:c>
      <x:c r="L7" s="12">
        <x:f>IF($A7="","",IF((COUNTIFS(RESULTADOS_GRID!$B:$B,$A7,RESULTADOS_GRID!$AA:$AA,"&gt;=0")+COUNTIFS(RESULTADOS_GRID!$B:$B,$A7,RESULTADOS_GRID!$AA:$AA,"&lt;0"))=0,"",SUMIF(RESULTADOS_GRID!$B:$B,$A7,RESULTADOS_GRID!$AA:$AA)/(COUNTIFS(RESULTADOS_GRID!$B:$B,$A7,RESULTADOS_GRID!$AA:$AA,"&gt;=0")+COUNTIFS(RESULTADOS_GRID!$B:$B,$A7,RESULTADOS_GRID!$AA:$AA,"&lt;0"))))</x:f>
        <x:v>0</x:v>
      </x:c>
      <x:c r="M7" s="12">
        <x:f>IF($A7="","",IF((COUNTIFS(RESULTADOS_GRID!$B:$B,$A7,RESULTADOS_GRID!$AB:$AB,"&gt;=0")+COUNTIFS(RESULTADOS_GRID!$B:$B,$A7,RESULTADOS_GRID!$AB:$AB,"&lt;0"))=0,"",SUMIF(RESULTADOS_GRID!$B:$B,$A7,RESULTADOS_GRID!$AB:$AB)/(COUNTIFS(RESULTADOS_GRID!$B:$B,$A7,RESULTADOS_GRID!$AB:$AB,"&gt;=0")+COUNTIFS(RESULTADOS_GRID!$B:$B,$A7,RESULTADOS_GRID!$AB:$AB,"&lt;0"))))</x:f>
        <x:v>0</x:v>
      </x:c>
      <x:c r="N7" s="11" t="n"/>
      <x:c r="O7" s="17">
        <x:f>IF($I7="","",COUNTIFS($I$2:$I$101,"&lt;"&amp;$I7)+1)</x:f>
      </x:c>
      <x:c r="P7" s="11" t="n"/>
    </x:row>
    <x:row r="8">
      <x:c r="A8" s="11" t="inlineStr">
        <x:is>
          <x:t xml:space="preserve">E7_v1</x:t>
        </x:is>
      </x:c>
      <x:c r="B8" s="17" t="str">
        <x:f>IF($A8="","",IFERROR(INDEX(RESULTADOS_GRID!$C:$C,MATCH($A8,RESULTADOS_GRID!$B:$B,0)),""))</x:f>
        <x:v>E7</x:v>
      </x:c>
      <x:c r="C8" s="17" t="str">
        <x:f>IF($A8="","",IFERROR(INDEX(RESULTADOS_GRID!$E:$E,MATCH($A8,RESULTADOS_GRID!$B:$B,0)),""))</x:f>
        <x:v>Prophet + regresores</x:v>
      </x:c>
      <x:c r="D8" s="17" t="str">
        <x:f>IF($A8="","",IFERROR(INDEX(RESULTADOS_GRID!$D:$D,MATCH($A8,RESULTADOS_GRID!$B:$B,0)),""))</x:f>
        <x:v>temporal</x:v>
      </x:c>
      <x:c r="E8" s="17">
        <x:f>IF($A8="","",COUNTIF(RESULTADOS_GRID!$B:$B,$A8))</x:f>
        <x:v>4</x:v>
      </x:c>
      <x:c r="F8" s="15">
        <x:f>IF($A8="","",SUMIF(RESULTADOS_GRID!$B:$B,$A8,RESULTADOS_GRID!$X:$X))</x:f>
        <x:v>0</x:v>
      </x:c>
      <x:c r="G8" s="14" t="n"/>
      <x:c r="H8" s="18">
        <x:f>CONFIG_REFERENCIA!$E$7</x:f>
        <x:v>0.05</x:v>
      </x:c>
      <x:c r="I8" s="15">
        <x:f>IF($A8="","",$F8+N($G8)*$H8)</x:f>
        <x:v>0</x:v>
      </x:c>
      <x:c r="J8" s="15">
        <x:f>IF($A8="","",IF((COUNTIFS(RESULTADOS_GRID!$B:$B,$A8,RESULTADOS_GRID!$Y:$Y,"&gt;=0")+COUNTIFS(RESULTADOS_GRID!$B:$B,$A8,RESULTADOS_GRID!$Y:$Y,"&lt;0"))=0,"",SUMIF(RESULTADOS_GRID!$B:$B,$A8,RESULTADOS_GRID!$Y:$Y)/(COUNTIFS(RESULTADOS_GRID!$B:$B,$A8,RESULTADOS_GRID!$Y:$Y,"&gt;=0")+COUNTIFS(RESULTADOS_GRID!$B:$B,$A8,RESULTADOS_GRID!$Y:$Y,"&lt;0"))))</x:f>
        <x:v>0</x:v>
      </x:c>
      <x:c r="K8" s="15">
        <x:f>IF($A8="","",IF((COUNTIFS(RESULTADOS_GRID!$B:$B,$A8,RESULTADOS_GRID!$Z:$Z,"&gt;=0")+COUNTIFS(RESULTADOS_GRID!$B:$B,$A8,RESULTADOS_GRID!$Z:$Z,"&lt;0"))=0,"",SUMIF(RESULTADOS_GRID!$B:$B,$A8,RESULTADOS_GRID!$Z:$Z)/(COUNTIFS(RESULTADOS_GRID!$B:$B,$A8,RESULTADOS_GRID!$Z:$Z,"&gt;=0")+COUNTIFS(RESULTADOS_GRID!$B:$B,$A8,RESULTADOS_GRID!$Z:$Z,"&lt;0"))))</x:f>
        <x:v>0</x:v>
      </x:c>
      <x:c r="L8" s="12">
        <x:f>IF($A8="","",IF((COUNTIFS(RESULTADOS_GRID!$B:$B,$A8,RESULTADOS_GRID!$AA:$AA,"&gt;=0")+COUNTIFS(RESULTADOS_GRID!$B:$B,$A8,RESULTADOS_GRID!$AA:$AA,"&lt;0"))=0,"",SUMIF(RESULTADOS_GRID!$B:$B,$A8,RESULTADOS_GRID!$AA:$AA)/(COUNTIFS(RESULTADOS_GRID!$B:$B,$A8,RESULTADOS_GRID!$AA:$AA,"&gt;=0")+COUNTIFS(RESULTADOS_GRID!$B:$B,$A8,RESULTADOS_GRID!$AA:$AA,"&lt;0"))))</x:f>
        <x:v>0</x:v>
      </x:c>
      <x:c r="M8" s="12">
        <x:f>IF($A8="","",IF((COUNTIFS(RESULTADOS_GRID!$B:$B,$A8,RESULTADOS_GRID!$AB:$AB,"&gt;=0")+COUNTIFS(RESULTADOS_GRID!$B:$B,$A8,RESULTADOS_GRID!$AB:$AB,"&lt;0"))=0,"",SUMIF(RESULTADOS_GRID!$B:$B,$A8,RESULTADOS_GRID!$AB:$AB)/(COUNTIFS(RESULTADOS_GRID!$B:$B,$A8,RESULTADOS_GRID!$AB:$AB,"&gt;=0")+COUNTIFS(RESULTADOS_GRID!$B:$B,$A8,RESULTADOS_GRID!$AB:$AB,"&lt;0"))))</x:f>
        <x:v>0</x:v>
      </x:c>
      <x:c r="N8" s="11" t="n"/>
      <x:c r="O8" s="17">
        <x:f>IF($I8="","",COUNTIFS($I$2:$I$101,"&lt;"&amp;$I8)+1)</x:f>
      </x:c>
      <x:c r="P8" s="11" t="n"/>
    </x:row>
    <x:row r="9">
      <x:c r="A9" s="11" t="inlineStr">
        <x:is>
          <x:t xml:space="preserve">E8_v1</x:t>
        </x:is>
      </x:c>
      <x:c r="B9" s="17" t="str">
        <x:f>IF($A9="","",IFERROR(INDEX(RESULTADOS_GRID!$C:$C,MATCH($A9,RESULTADOS_GRID!$B:$B,0)),""))</x:f>
        <x:v>E8</x:v>
      </x:c>
      <x:c r="C9" s="17" t="str">
        <x:f>IF($A9="","",IFERROR(INDEX(RESULTADOS_GRID!$E:$E,MATCH($A9,RESULTADOS_GRID!$B:$B,0)),""))</x:f>
        <x:v>Temporal + boosting residuales</x:v>
      </x:c>
      <x:c r="D9" s="17" t="str">
        <x:f>IF($A9="","",IFERROR(INDEX(RESULTADOS_GRID!$D:$D,MATCH($A9,RESULTADOS_GRID!$B:$B,0)),""))</x:f>
        <x:v>hibrido</x:v>
      </x:c>
      <x:c r="E9" s="17">
        <x:f>IF($A9="","",COUNTIF(RESULTADOS_GRID!$B:$B,$A9))</x:f>
        <x:v>4</x:v>
      </x:c>
      <x:c r="F9" s="15">
        <x:f>IF($A9="","",SUMIF(RESULTADOS_GRID!$B:$B,$A9,RESULTADOS_GRID!$X:$X))</x:f>
        <x:v>0</x:v>
      </x:c>
      <x:c r="G9" s="14" t="n"/>
      <x:c r="H9" s="18">
        <x:f>CONFIG_REFERENCIA!$E$7</x:f>
        <x:v>0.05</x:v>
      </x:c>
      <x:c r="I9" s="15">
        <x:f>IF($A9="","",$F9+N($G9)*$H9)</x:f>
        <x:v>0</x:v>
      </x:c>
      <x:c r="J9" s="15">
        <x:f>IF($A9="","",IF((COUNTIFS(RESULTADOS_GRID!$B:$B,$A9,RESULTADOS_GRID!$Y:$Y,"&gt;=0")+COUNTIFS(RESULTADOS_GRID!$B:$B,$A9,RESULTADOS_GRID!$Y:$Y,"&lt;0"))=0,"",SUMIF(RESULTADOS_GRID!$B:$B,$A9,RESULTADOS_GRID!$Y:$Y)/(COUNTIFS(RESULTADOS_GRID!$B:$B,$A9,RESULTADOS_GRID!$Y:$Y,"&gt;=0")+COUNTIFS(RESULTADOS_GRID!$B:$B,$A9,RESULTADOS_GRID!$Y:$Y,"&lt;0"))))</x:f>
        <x:v>0</x:v>
      </x:c>
      <x:c r="K9" s="15">
        <x:f>IF($A9="","",IF((COUNTIFS(RESULTADOS_GRID!$B:$B,$A9,RESULTADOS_GRID!$Z:$Z,"&gt;=0")+COUNTIFS(RESULTADOS_GRID!$B:$B,$A9,RESULTADOS_GRID!$Z:$Z,"&lt;0"))=0,"",SUMIF(RESULTADOS_GRID!$B:$B,$A9,RESULTADOS_GRID!$Z:$Z)/(COUNTIFS(RESULTADOS_GRID!$B:$B,$A9,RESULTADOS_GRID!$Z:$Z,"&gt;=0")+COUNTIFS(RESULTADOS_GRID!$B:$B,$A9,RESULTADOS_GRID!$Z:$Z,"&lt;0"))))</x:f>
        <x:v>0</x:v>
      </x:c>
      <x:c r="L9" s="12">
        <x:f>IF($A9="","",IF((COUNTIFS(RESULTADOS_GRID!$B:$B,$A9,RESULTADOS_GRID!$AA:$AA,"&gt;=0")+COUNTIFS(RESULTADOS_GRID!$B:$B,$A9,RESULTADOS_GRID!$AA:$AA,"&lt;0"))=0,"",SUMIF(RESULTADOS_GRID!$B:$B,$A9,RESULTADOS_GRID!$AA:$AA)/(COUNTIFS(RESULTADOS_GRID!$B:$B,$A9,RESULTADOS_GRID!$AA:$AA,"&gt;=0")+COUNTIFS(RESULTADOS_GRID!$B:$B,$A9,RESULTADOS_GRID!$AA:$AA,"&lt;0"))))</x:f>
        <x:v>0</x:v>
      </x:c>
      <x:c r="M9" s="12">
        <x:f>IF($A9="","",IF((COUNTIFS(RESULTADOS_GRID!$B:$B,$A9,RESULTADOS_GRID!$AB:$AB,"&gt;=0")+COUNTIFS(RESULTADOS_GRID!$B:$B,$A9,RESULTADOS_GRID!$AB:$AB,"&lt;0"))=0,"",SUMIF(RESULTADOS_GRID!$B:$B,$A9,RESULTADOS_GRID!$AB:$AB)/(COUNTIFS(RESULTADOS_GRID!$B:$B,$A9,RESULTADOS_GRID!$AB:$AB,"&gt;=0")+COUNTIFS(RESULTADOS_GRID!$B:$B,$A9,RESULTADOS_GRID!$AB:$AB,"&lt;0"))))</x:f>
        <x:v>0</x:v>
      </x:c>
      <x:c r="N9" s="11" t="n"/>
      <x:c r="O9" s="17">
        <x:f>IF($I9="","",COUNTIFS($I$2:$I$101,"&lt;"&amp;$I9)+1)</x:f>
      </x:c>
      <x:c r="P9" s="11" t="n"/>
    </x:row>
    <x:row r="10">
      <x:c r="A10" s="11" t="inlineStr">
        <x:is>
          <x:t xml:space="preserve">E9_v1</x:t>
        </x:is>
      </x:c>
      <x:c r="B10" s="17" t="str">
        <x:f>IF($A10="","",IFERROR(INDEX(RESULTADOS_GRID!$C:$C,MATCH($A10,RESULTADOS_GRID!$B:$B,0)),""))</x:f>
        <x:v>E9</x:v>
      </x:c>
      <x:c r="C10" s="17" t="str">
        <x:f>IF($A10="","",IFERROR(INDEX(RESULTADOS_GRID!$E:$E,MATCH($A10,RESULTADOS_GRID!$B:$B,0)),""))</x:f>
        <x:v>Stacking lineal + boosting + temporal</x:v>
      </x:c>
      <x:c r="D10" s="17" t="str">
        <x:f>IF($A10="","",IFERROR(INDEX(RESULTADOS_GRID!$D:$D,MATCH($A10,RESULTADOS_GRID!$B:$B,0)),""))</x:f>
        <x:v>hibrido</x:v>
      </x:c>
      <x:c r="E10" s="17">
        <x:f>IF($A10="","",COUNTIF(RESULTADOS_GRID!$B:$B,$A10))</x:f>
        <x:v>4</x:v>
      </x:c>
      <x:c r="F10" s="15">
        <x:f>IF($A10="","",SUMIF(RESULTADOS_GRID!$B:$B,$A10,RESULTADOS_GRID!$X:$X))</x:f>
        <x:v>0</x:v>
      </x:c>
      <x:c r="G10" s="14" t="n"/>
      <x:c r="H10" s="18">
        <x:f>CONFIG_REFERENCIA!$E$7</x:f>
        <x:v>0.05</x:v>
      </x:c>
      <x:c r="I10" s="15">
        <x:f>IF($A10="","",$F10+N($G10)*$H10)</x:f>
        <x:v>0</x:v>
      </x:c>
      <x:c r="J10" s="15">
        <x:f>IF($A10="","",IF((COUNTIFS(RESULTADOS_GRID!$B:$B,$A10,RESULTADOS_GRID!$Y:$Y,"&gt;=0")+COUNTIFS(RESULTADOS_GRID!$B:$B,$A10,RESULTADOS_GRID!$Y:$Y,"&lt;0"))=0,"",SUMIF(RESULTADOS_GRID!$B:$B,$A10,RESULTADOS_GRID!$Y:$Y)/(COUNTIFS(RESULTADOS_GRID!$B:$B,$A10,RESULTADOS_GRID!$Y:$Y,"&gt;=0")+COUNTIFS(RESULTADOS_GRID!$B:$B,$A10,RESULTADOS_GRID!$Y:$Y,"&lt;0"))))</x:f>
        <x:v>0</x:v>
      </x:c>
      <x:c r="K10" s="15">
        <x:f>IF($A10="","",IF((COUNTIFS(RESULTADOS_GRID!$B:$B,$A10,RESULTADOS_GRID!$Z:$Z,"&gt;=0")+COUNTIFS(RESULTADOS_GRID!$B:$B,$A10,RESULTADOS_GRID!$Z:$Z,"&lt;0"))=0,"",SUMIF(RESULTADOS_GRID!$B:$B,$A10,RESULTADOS_GRID!$Z:$Z)/(COUNTIFS(RESULTADOS_GRID!$B:$B,$A10,RESULTADOS_GRID!$Z:$Z,"&gt;=0")+COUNTIFS(RESULTADOS_GRID!$B:$B,$A10,RESULTADOS_GRID!$Z:$Z,"&lt;0"))))</x:f>
        <x:v>0</x:v>
      </x:c>
      <x:c r="L10" s="12">
        <x:f>IF($A10="","",IF((COUNTIFS(RESULTADOS_GRID!$B:$B,$A10,RESULTADOS_GRID!$AA:$AA,"&gt;=0")+COUNTIFS(RESULTADOS_GRID!$B:$B,$A10,RESULTADOS_GRID!$AA:$AA,"&lt;0"))=0,"",SUMIF(RESULTADOS_GRID!$B:$B,$A10,RESULTADOS_GRID!$AA:$AA)/(COUNTIFS(RESULTADOS_GRID!$B:$B,$A10,RESULTADOS_GRID!$AA:$AA,"&gt;=0")+COUNTIFS(RESULTADOS_GRID!$B:$B,$A10,RESULTADOS_GRID!$AA:$AA,"&lt;0"))))</x:f>
        <x:v>0</x:v>
      </x:c>
      <x:c r="M10" s="12">
        <x:f>IF($A10="","",IF((COUNTIFS(RESULTADOS_GRID!$B:$B,$A10,RESULTADOS_GRID!$AB:$AB,"&gt;=0")+COUNTIFS(RESULTADOS_GRID!$B:$B,$A10,RESULTADOS_GRID!$AB:$AB,"&lt;0"))=0,"",SUMIF(RESULTADOS_GRID!$B:$B,$A10,RESULTADOS_GRID!$AB:$AB)/(COUNTIFS(RESULTADOS_GRID!$B:$B,$A10,RESULTADOS_GRID!$AB:$AB,"&gt;=0")+COUNTIFS(RESULTADOS_GRID!$B:$B,$A10,RESULTADOS_GRID!$AB:$AB,"&lt;0"))))</x:f>
        <x:v>0</x:v>
      </x:c>
      <x:c r="N10" s="11" t="n"/>
      <x:c r="O10" s="17">
        <x:f>IF($I10="","",COUNTIFS($I$2:$I$101,"&lt;"&amp;$I10)+1)</x:f>
      </x:c>
      <x:c r="P10" s="11" t="n"/>
    </x:row>
    <x:row r="11">
      <x:c r="A11" s="11" t="inlineStr">
        <x:is>
          <x:t xml:space="preserve">E10_v1</x:t>
        </x:is>
      </x:c>
      <x:c r="B11" s="17" t="str">
        <x:f>IF($A11="","",IFERROR(INDEX(RESULTADOS_GRID!$C:$C,MATCH($A11,RESULTADOS_GRID!$B:$B,0)),""))</x:f>
        <x:v>E10</x:v>
      </x:c>
      <x:c r="C11" s="17" t="str">
        <x:f>IF($A11="","",IFERROR(INDEX(RESULTADOS_GRID!$E:$E,MATCH($A11,RESULTADOS_GRID!$B:$B,0)),""))</x:f>
        <x:v>Mejor modelo por horizonte + ensemble</x:v>
      </x:c>
      <x:c r="D11" s="17" t="str">
        <x:f>IF($A11="","",IFERROR(INDEX(RESULTADOS_GRID!$D:$D,MATCH($A11,RESULTADOS_GRID!$B:$B,0)),""))</x:f>
        <x:v>ensemble</x:v>
      </x:c>
      <x:c r="E11" s="17">
        <x:f>IF($A11="","",COUNTIF(RESULTADOS_GRID!$B:$B,$A11))</x:f>
        <x:v>4</x:v>
      </x:c>
      <x:c r="F11" s="15">
        <x:f>IF($A11="","",SUMIF(RESULTADOS_GRID!$B:$B,$A11,RESULTADOS_GRID!$X:$X))</x:f>
        <x:v>0</x:v>
      </x:c>
      <x:c r="G11" s="14" t="n"/>
      <x:c r="H11" s="18">
        <x:f>CONFIG_REFERENCIA!$E$7</x:f>
        <x:v>0.05</x:v>
      </x:c>
      <x:c r="I11" s="15">
        <x:f>IF($A11="","",$F11+N($G11)*$H11)</x:f>
        <x:v>0</x:v>
      </x:c>
      <x:c r="J11" s="15">
        <x:f>IF($A11="","",IF((COUNTIFS(RESULTADOS_GRID!$B:$B,$A11,RESULTADOS_GRID!$Y:$Y,"&gt;=0")+COUNTIFS(RESULTADOS_GRID!$B:$B,$A11,RESULTADOS_GRID!$Y:$Y,"&lt;0"))=0,"",SUMIF(RESULTADOS_GRID!$B:$B,$A11,RESULTADOS_GRID!$Y:$Y)/(COUNTIFS(RESULTADOS_GRID!$B:$B,$A11,RESULTADOS_GRID!$Y:$Y,"&gt;=0")+COUNTIFS(RESULTADOS_GRID!$B:$B,$A11,RESULTADOS_GRID!$Y:$Y,"&lt;0"))))</x:f>
        <x:v>0</x:v>
      </x:c>
      <x:c r="K11" s="15">
        <x:f>IF($A11="","",IF((COUNTIFS(RESULTADOS_GRID!$B:$B,$A11,RESULTADOS_GRID!$Z:$Z,"&gt;=0")+COUNTIFS(RESULTADOS_GRID!$B:$B,$A11,RESULTADOS_GRID!$Z:$Z,"&lt;0"))=0,"",SUMIF(RESULTADOS_GRID!$B:$B,$A11,RESULTADOS_GRID!$Z:$Z)/(COUNTIFS(RESULTADOS_GRID!$B:$B,$A11,RESULTADOS_GRID!$Z:$Z,"&gt;=0")+COUNTIFS(RESULTADOS_GRID!$B:$B,$A11,RESULTADOS_GRID!$Z:$Z,"&lt;0"))))</x:f>
        <x:v>0</x:v>
      </x:c>
      <x:c r="L11" s="12">
        <x:f>IF($A11="","",IF((COUNTIFS(RESULTADOS_GRID!$B:$B,$A11,RESULTADOS_GRID!$AA:$AA,"&gt;=0")+COUNTIFS(RESULTADOS_GRID!$B:$B,$A11,RESULTADOS_GRID!$AA:$AA,"&lt;0"))=0,"",SUMIF(RESULTADOS_GRID!$B:$B,$A11,RESULTADOS_GRID!$AA:$AA)/(COUNTIFS(RESULTADOS_GRID!$B:$B,$A11,RESULTADOS_GRID!$AA:$AA,"&gt;=0")+COUNTIFS(RESULTADOS_GRID!$B:$B,$A11,RESULTADOS_GRID!$AA:$AA,"&lt;0"))))</x:f>
        <x:v>0</x:v>
      </x:c>
      <x:c r="M11" s="12">
        <x:f>IF($A11="","",IF((COUNTIFS(RESULTADOS_GRID!$B:$B,$A11,RESULTADOS_GRID!$AB:$AB,"&gt;=0")+COUNTIFS(RESULTADOS_GRID!$B:$B,$A11,RESULTADOS_GRID!$AB:$AB,"&lt;0"))=0,"",SUMIF(RESULTADOS_GRID!$B:$B,$A11,RESULTADOS_GRID!$AB:$AB)/(COUNTIFS(RESULTADOS_GRID!$B:$B,$A11,RESULTADOS_GRID!$AB:$AB,"&gt;=0")+COUNTIFS(RESULTADOS_GRID!$B:$B,$A11,RESULTADOS_GRID!$AB:$AB,"&lt;0"))))</x:f>
        <x:v>0</x:v>
      </x:c>
      <x:c r="N11" s="11" t="n"/>
      <x:c r="O11" s="17">
        <x:f>IF($I11="","",COUNTIFS($I$2:$I$101,"&lt;"&amp;$I11)+1)</x:f>
      </x:c>
      <x:c r="P11" s="11" t="n"/>
    </x:row>
    <x:row r="12">
      <x:c r="A12" s="11" t="inlineStr">
        <x:is>
          <x:t xml:space="preserve"/>
        </x:is>
      </x:c>
      <x:c r="B12" s="17">
        <x:f>IF($A12="","",IFERROR(INDEX(RESULTADOS_GRID!$C:$C,MATCH($A12,RESULTADOS_GRID!$B:$B,0)),""))</x:f>
      </x:c>
      <x:c r="C12" s="17">
        <x:f>IF($A12="","",IFERROR(INDEX(RESULTADOS_GRID!$E:$E,MATCH($A12,RESULTADOS_GRID!$B:$B,0)),""))</x:f>
      </x:c>
      <x:c r="D12" s="17">
        <x:f>IF($A12="","",IFERROR(INDEX(RESULTADOS_GRID!$D:$D,MATCH($A12,RESULTADOS_GRID!$B:$B,0)),""))</x:f>
      </x:c>
      <x:c r="E12" s="17">
        <x:f>IF($A12="","",COUNTIF(RESULTADOS_GRID!$B:$B,$A12))</x:f>
      </x:c>
      <x:c r="F12" s="15">
        <x:f>IF($A12="","",SUMIF(RESULTADOS_GRID!$B:$B,$A12,RESULTADOS_GRID!$X:$X))</x:f>
      </x:c>
      <x:c r="G12" s="14" t="n"/>
      <x:c r="H12" s="18">
        <x:f>CONFIG_REFERENCIA!$E$7</x:f>
        <x:v>0.05</x:v>
      </x:c>
      <x:c r="I12" s="15">
        <x:f>IF($A12="","",$F12+N($G12)*$H12)</x:f>
      </x:c>
      <x:c r="J12" s="15">
        <x:f>IF($A12="","",IF((COUNTIFS(RESULTADOS_GRID!$B:$B,$A12,RESULTADOS_GRID!$Y:$Y,"&gt;=0")+COUNTIFS(RESULTADOS_GRID!$B:$B,$A12,RESULTADOS_GRID!$Y:$Y,"&lt;0"))=0,"",SUMIF(RESULTADOS_GRID!$B:$B,$A12,RESULTADOS_GRID!$Y:$Y)/(COUNTIFS(RESULTADOS_GRID!$B:$B,$A12,RESULTADOS_GRID!$Y:$Y,"&gt;=0")+COUNTIFS(RESULTADOS_GRID!$B:$B,$A12,RESULTADOS_GRID!$Y:$Y,"&lt;0"))))</x:f>
      </x:c>
      <x:c r="K12" s="15">
        <x:f>IF($A12="","",IF((COUNTIFS(RESULTADOS_GRID!$B:$B,$A12,RESULTADOS_GRID!$Z:$Z,"&gt;=0")+COUNTIFS(RESULTADOS_GRID!$B:$B,$A12,RESULTADOS_GRID!$Z:$Z,"&lt;0"))=0,"",SUMIF(RESULTADOS_GRID!$B:$B,$A12,RESULTADOS_GRID!$Z:$Z)/(COUNTIFS(RESULTADOS_GRID!$B:$B,$A12,RESULTADOS_GRID!$Z:$Z,"&gt;=0")+COUNTIFS(RESULTADOS_GRID!$B:$B,$A12,RESULTADOS_GRID!$Z:$Z,"&lt;0"))))</x:f>
      </x:c>
      <x:c r="L12" s="12">
        <x:f>IF($A12="","",IF((COUNTIFS(RESULTADOS_GRID!$B:$B,$A12,RESULTADOS_GRID!$AA:$AA,"&gt;=0")+COUNTIFS(RESULTADOS_GRID!$B:$B,$A12,RESULTADOS_GRID!$AA:$AA,"&lt;0"))=0,"",SUMIF(RESULTADOS_GRID!$B:$B,$A12,RESULTADOS_GRID!$AA:$AA)/(COUNTIFS(RESULTADOS_GRID!$B:$B,$A12,RESULTADOS_GRID!$AA:$AA,"&gt;=0")+COUNTIFS(RESULTADOS_GRID!$B:$B,$A12,RESULTADOS_GRID!$AA:$AA,"&lt;0"))))</x:f>
      </x:c>
      <x:c r="M12" s="12">
        <x:f>IF($A12="","",IF((COUNTIFS(RESULTADOS_GRID!$B:$B,$A12,RESULTADOS_GRID!$AB:$AB,"&gt;=0")+COUNTIFS(RESULTADOS_GRID!$B:$B,$A12,RESULTADOS_GRID!$AB:$AB,"&lt;0"))=0,"",SUMIF(RESULTADOS_GRID!$B:$B,$A12,RESULTADOS_GRID!$AB:$AB)/(COUNTIFS(RESULTADOS_GRID!$B:$B,$A12,RESULTADOS_GRID!$AB:$AB,"&gt;=0")+COUNTIFS(RESULTADOS_GRID!$B:$B,$A12,RESULTADOS_GRID!$AB:$AB,"&lt;0"))))</x:f>
      </x:c>
      <x:c r="N12" s="11" t="n"/>
      <x:c r="O12" s="17">
        <x:f>IF($I12="","",COUNTIFS($I$2:$I$101,"&lt;"&amp;$I12)+1)</x:f>
      </x:c>
      <x:c r="P12" s="11" t="n"/>
    </x:row>
    <x:row r="13">
      <x:c r="A13" s="11" t="inlineStr">
        <x:is>
          <x:t xml:space="preserve"/>
        </x:is>
      </x:c>
      <x:c r="B13" s="17">
        <x:f>IF($A13="","",IFERROR(INDEX(RESULTADOS_GRID!$C:$C,MATCH($A13,RESULTADOS_GRID!$B:$B,0)),""))</x:f>
      </x:c>
      <x:c r="C13" s="17">
        <x:f>IF($A13="","",IFERROR(INDEX(RESULTADOS_GRID!$E:$E,MATCH($A13,RESULTADOS_GRID!$B:$B,0)),""))</x:f>
      </x:c>
      <x:c r="D13" s="17">
        <x:f>IF($A13="","",IFERROR(INDEX(RESULTADOS_GRID!$D:$D,MATCH($A13,RESULTADOS_GRID!$B:$B,0)),""))</x:f>
      </x:c>
      <x:c r="E13" s="17">
        <x:f>IF($A13="","",COUNTIF(RESULTADOS_GRID!$B:$B,$A13))</x:f>
      </x:c>
      <x:c r="F13" s="15">
        <x:f>IF($A13="","",SUMIF(RESULTADOS_GRID!$B:$B,$A13,RESULTADOS_GRID!$X:$X))</x:f>
      </x:c>
      <x:c r="G13" s="14" t="n"/>
      <x:c r="H13" s="18">
        <x:f>CONFIG_REFERENCIA!$E$7</x:f>
        <x:v>0.05</x:v>
      </x:c>
      <x:c r="I13" s="15">
        <x:f>IF($A13="","",$F13+N($G13)*$H13)</x:f>
      </x:c>
      <x:c r="J13" s="15">
        <x:f>IF($A13="","",IF((COUNTIFS(RESULTADOS_GRID!$B:$B,$A13,RESULTADOS_GRID!$Y:$Y,"&gt;=0")+COUNTIFS(RESULTADOS_GRID!$B:$B,$A13,RESULTADOS_GRID!$Y:$Y,"&lt;0"))=0,"",SUMIF(RESULTADOS_GRID!$B:$B,$A13,RESULTADOS_GRID!$Y:$Y)/(COUNTIFS(RESULTADOS_GRID!$B:$B,$A13,RESULTADOS_GRID!$Y:$Y,"&gt;=0")+COUNTIFS(RESULTADOS_GRID!$B:$B,$A13,RESULTADOS_GRID!$Y:$Y,"&lt;0"))))</x:f>
      </x:c>
      <x:c r="K13" s="15">
        <x:f>IF($A13="","",IF((COUNTIFS(RESULTADOS_GRID!$B:$B,$A13,RESULTADOS_GRID!$Z:$Z,"&gt;=0")+COUNTIFS(RESULTADOS_GRID!$B:$B,$A13,RESULTADOS_GRID!$Z:$Z,"&lt;0"))=0,"",SUMIF(RESULTADOS_GRID!$B:$B,$A13,RESULTADOS_GRID!$Z:$Z)/(COUNTIFS(RESULTADOS_GRID!$B:$B,$A13,RESULTADOS_GRID!$Z:$Z,"&gt;=0")+COUNTIFS(RESULTADOS_GRID!$B:$B,$A13,RESULTADOS_GRID!$Z:$Z,"&lt;0"))))</x:f>
      </x:c>
      <x:c r="L13" s="12">
        <x:f>IF($A13="","",IF((COUNTIFS(RESULTADOS_GRID!$B:$B,$A13,RESULTADOS_GRID!$AA:$AA,"&gt;=0")+COUNTIFS(RESULTADOS_GRID!$B:$B,$A13,RESULTADOS_GRID!$AA:$AA,"&lt;0"))=0,"",SUMIF(RESULTADOS_GRID!$B:$B,$A13,RESULTADOS_GRID!$AA:$AA)/(COUNTIFS(RESULTADOS_GRID!$B:$B,$A13,RESULTADOS_GRID!$AA:$AA,"&gt;=0")+COUNTIFS(RESULTADOS_GRID!$B:$B,$A13,RESULTADOS_GRID!$AA:$AA,"&lt;0"))))</x:f>
      </x:c>
      <x:c r="M13" s="12">
        <x:f>IF($A13="","",IF((COUNTIFS(RESULTADOS_GRID!$B:$B,$A13,RESULTADOS_GRID!$AB:$AB,"&gt;=0")+COUNTIFS(RESULTADOS_GRID!$B:$B,$A13,RESULTADOS_GRID!$AB:$AB,"&lt;0"))=0,"",SUMIF(RESULTADOS_GRID!$B:$B,$A13,RESULTADOS_GRID!$AB:$AB)/(COUNTIFS(RESULTADOS_GRID!$B:$B,$A13,RESULTADOS_GRID!$AB:$AB,"&gt;=0")+COUNTIFS(RESULTADOS_GRID!$B:$B,$A13,RESULTADOS_GRID!$AB:$AB,"&lt;0"))))</x:f>
      </x:c>
      <x:c r="N13" s="11" t="n"/>
      <x:c r="O13" s="17">
        <x:f>IF($I13="","",COUNTIFS($I$2:$I$101,"&lt;"&amp;$I13)+1)</x:f>
      </x:c>
      <x:c r="P13" s="11" t="n"/>
    </x:row>
    <x:row r="14">
      <x:c r="A14" s="11" t="inlineStr">
        <x:is>
          <x:t xml:space="preserve"/>
        </x:is>
      </x:c>
      <x:c r="B14" s="17">
        <x:f>IF($A14="","",IFERROR(INDEX(RESULTADOS_GRID!$C:$C,MATCH($A14,RESULTADOS_GRID!$B:$B,0)),""))</x:f>
      </x:c>
      <x:c r="C14" s="17">
        <x:f>IF($A14="","",IFERROR(INDEX(RESULTADOS_GRID!$E:$E,MATCH($A14,RESULTADOS_GRID!$B:$B,0)),""))</x:f>
      </x:c>
      <x:c r="D14" s="17">
        <x:f>IF($A14="","",IFERROR(INDEX(RESULTADOS_GRID!$D:$D,MATCH($A14,RESULTADOS_GRID!$B:$B,0)),""))</x:f>
      </x:c>
      <x:c r="E14" s="17">
        <x:f>IF($A14="","",COUNTIF(RESULTADOS_GRID!$B:$B,$A14))</x:f>
      </x:c>
      <x:c r="F14" s="15">
        <x:f>IF($A14="","",SUMIF(RESULTADOS_GRID!$B:$B,$A14,RESULTADOS_GRID!$X:$X))</x:f>
      </x:c>
      <x:c r="G14" s="14" t="n"/>
      <x:c r="H14" s="18">
        <x:f>CONFIG_REFERENCIA!$E$7</x:f>
        <x:v>0.05</x:v>
      </x:c>
      <x:c r="I14" s="15">
        <x:f>IF($A14="","",$F14+N($G14)*$H14)</x:f>
      </x:c>
      <x:c r="J14" s="15">
        <x:f>IF($A14="","",IF((COUNTIFS(RESULTADOS_GRID!$B:$B,$A14,RESULTADOS_GRID!$Y:$Y,"&gt;=0")+COUNTIFS(RESULTADOS_GRID!$B:$B,$A14,RESULTADOS_GRID!$Y:$Y,"&lt;0"))=0,"",SUMIF(RESULTADOS_GRID!$B:$B,$A14,RESULTADOS_GRID!$Y:$Y)/(COUNTIFS(RESULTADOS_GRID!$B:$B,$A14,RESULTADOS_GRID!$Y:$Y,"&gt;=0")+COUNTIFS(RESULTADOS_GRID!$B:$B,$A14,RESULTADOS_GRID!$Y:$Y,"&lt;0"))))</x:f>
      </x:c>
      <x:c r="K14" s="15">
        <x:f>IF($A14="","",IF((COUNTIFS(RESULTADOS_GRID!$B:$B,$A14,RESULTADOS_GRID!$Z:$Z,"&gt;=0")+COUNTIFS(RESULTADOS_GRID!$B:$B,$A14,RESULTADOS_GRID!$Z:$Z,"&lt;0"))=0,"",SUMIF(RESULTADOS_GRID!$B:$B,$A14,RESULTADOS_GRID!$Z:$Z)/(COUNTIFS(RESULTADOS_GRID!$B:$B,$A14,RESULTADOS_GRID!$Z:$Z,"&gt;=0")+COUNTIFS(RESULTADOS_GRID!$B:$B,$A14,RESULTADOS_GRID!$Z:$Z,"&lt;0"))))</x:f>
      </x:c>
      <x:c r="L14" s="12">
        <x:f>IF($A14="","",IF((COUNTIFS(RESULTADOS_GRID!$B:$B,$A14,RESULTADOS_GRID!$AA:$AA,"&gt;=0")+COUNTIFS(RESULTADOS_GRID!$B:$B,$A14,RESULTADOS_GRID!$AA:$AA,"&lt;0"))=0,"",SUMIF(RESULTADOS_GRID!$B:$B,$A14,RESULTADOS_GRID!$AA:$AA)/(COUNTIFS(RESULTADOS_GRID!$B:$B,$A14,RESULTADOS_GRID!$AA:$AA,"&gt;=0")+COUNTIFS(RESULTADOS_GRID!$B:$B,$A14,RESULTADOS_GRID!$AA:$AA,"&lt;0"))))</x:f>
      </x:c>
      <x:c r="M14" s="12">
        <x:f>IF($A14="","",IF((COUNTIFS(RESULTADOS_GRID!$B:$B,$A14,RESULTADOS_GRID!$AB:$AB,"&gt;=0")+COUNTIFS(RESULTADOS_GRID!$B:$B,$A14,RESULTADOS_GRID!$AB:$AB,"&lt;0"))=0,"",SUMIF(RESULTADOS_GRID!$B:$B,$A14,RESULTADOS_GRID!$AB:$AB)/(COUNTIFS(RESULTADOS_GRID!$B:$B,$A14,RESULTADOS_GRID!$AB:$AB,"&gt;=0")+COUNTIFS(RESULTADOS_GRID!$B:$B,$A14,RESULTADOS_GRID!$AB:$AB,"&lt;0"))))</x:f>
      </x:c>
      <x:c r="N14" s="11" t="n"/>
      <x:c r="O14" s="17">
        <x:f>IF($I14="","",COUNTIFS($I$2:$I$101,"&lt;"&amp;$I14)+1)</x:f>
      </x:c>
      <x:c r="P14" s="11" t="n"/>
    </x:row>
    <x:row r="15">
      <x:c r="A15" s="11" t="inlineStr">
        <x:is>
          <x:t xml:space="preserve"/>
        </x:is>
      </x:c>
      <x:c r="B15" s="17">
        <x:f>IF($A15="","",IFERROR(INDEX(RESULTADOS_GRID!$C:$C,MATCH($A15,RESULTADOS_GRID!$B:$B,0)),""))</x:f>
      </x:c>
      <x:c r="C15" s="17">
        <x:f>IF($A15="","",IFERROR(INDEX(RESULTADOS_GRID!$E:$E,MATCH($A15,RESULTADOS_GRID!$B:$B,0)),""))</x:f>
      </x:c>
      <x:c r="D15" s="17">
        <x:f>IF($A15="","",IFERROR(INDEX(RESULTADOS_GRID!$D:$D,MATCH($A15,RESULTADOS_GRID!$B:$B,0)),""))</x:f>
      </x:c>
      <x:c r="E15" s="17">
        <x:f>IF($A15="","",COUNTIF(RESULTADOS_GRID!$B:$B,$A15))</x:f>
      </x:c>
      <x:c r="F15" s="15">
        <x:f>IF($A15="","",SUMIF(RESULTADOS_GRID!$B:$B,$A15,RESULTADOS_GRID!$X:$X))</x:f>
      </x:c>
      <x:c r="G15" s="14" t="n"/>
      <x:c r="H15" s="18">
        <x:f>CONFIG_REFERENCIA!$E$7</x:f>
        <x:v>0.05</x:v>
      </x:c>
      <x:c r="I15" s="15">
        <x:f>IF($A15="","",$F15+N($G15)*$H15)</x:f>
      </x:c>
      <x:c r="J15" s="15">
        <x:f>IF($A15="","",IF((COUNTIFS(RESULTADOS_GRID!$B:$B,$A15,RESULTADOS_GRID!$Y:$Y,"&gt;=0")+COUNTIFS(RESULTADOS_GRID!$B:$B,$A15,RESULTADOS_GRID!$Y:$Y,"&lt;0"))=0,"",SUMIF(RESULTADOS_GRID!$B:$B,$A15,RESULTADOS_GRID!$Y:$Y)/(COUNTIFS(RESULTADOS_GRID!$B:$B,$A15,RESULTADOS_GRID!$Y:$Y,"&gt;=0")+COUNTIFS(RESULTADOS_GRID!$B:$B,$A15,RESULTADOS_GRID!$Y:$Y,"&lt;0"))))</x:f>
      </x:c>
      <x:c r="K15" s="15">
        <x:f>IF($A15="","",IF((COUNTIFS(RESULTADOS_GRID!$B:$B,$A15,RESULTADOS_GRID!$Z:$Z,"&gt;=0")+COUNTIFS(RESULTADOS_GRID!$B:$B,$A15,RESULTADOS_GRID!$Z:$Z,"&lt;0"))=0,"",SUMIF(RESULTADOS_GRID!$B:$B,$A15,RESULTADOS_GRID!$Z:$Z)/(COUNTIFS(RESULTADOS_GRID!$B:$B,$A15,RESULTADOS_GRID!$Z:$Z,"&gt;=0")+COUNTIFS(RESULTADOS_GRID!$B:$B,$A15,RESULTADOS_GRID!$Z:$Z,"&lt;0"))))</x:f>
      </x:c>
      <x:c r="L15" s="12">
        <x:f>IF($A15="","",IF((COUNTIFS(RESULTADOS_GRID!$B:$B,$A15,RESULTADOS_GRID!$AA:$AA,"&gt;=0")+COUNTIFS(RESULTADOS_GRID!$B:$B,$A15,RESULTADOS_GRID!$AA:$AA,"&lt;0"))=0,"",SUMIF(RESULTADOS_GRID!$B:$B,$A15,RESULTADOS_GRID!$AA:$AA)/(COUNTIFS(RESULTADOS_GRID!$B:$B,$A15,RESULTADOS_GRID!$AA:$AA,"&gt;=0")+COUNTIFS(RESULTADOS_GRID!$B:$B,$A15,RESULTADOS_GRID!$AA:$AA,"&lt;0"))))</x:f>
      </x:c>
      <x:c r="M15" s="12">
        <x:f>IF($A15="","",IF((COUNTIFS(RESULTADOS_GRID!$B:$B,$A15,RESULTADOS_GRID!$AB:$AB,"&gt;=0")+COUNTIFS(RESULTADOS_GRID!$B:$B,$A15,RESULTADOS_GRID!$AB:$AB,"&lt;0"))=0,"",SUMIF(RESULTADOS_GRID!$B:$B,$A15,RESULTADOS_GRID!$AB:$AB)/(COUNTIFS(RESULTADOS_GRID!$B:$B,$A15,RESULTADOS_GRID!$AB:$AB,"&gt;=0")+COUNTIFS(RESULTADOS_GRID!$B:$B,$A15,RESULTADOS_GRID!$AB:$AB,"&lt;0"))))</x:f>
      </x:c>
      <x:c r="N15" s="11" t="n"/>
      <x:c r="O15" s="17">
        <x:f>IF($I15="","",COUNTIFS($I$2:$I$101,"&lt;"&amp;$I15)+1)</x:f>
      </x:c>
      <x:c r="P15" s="11" t="n"/>
    </x:row>
    <x:row r="16">
      <x:c r="A16" s="11" t="inlineStr">
        <x:is>
          <x:t xml:space="preserve"/>
        </x:is>
      </x:c>
      <x:c r="B16" s="17">
        <x:f>IF($A16="","",IFERROR(INDEX(RESULTADOS_GRID!$C:$C,MATCH($A16,RESULTADOS_GRID!$B:$B,0)),""))</x:f>
      </x:c>
      <x:c r="C16" s="17">
        <x:f>IF($A16="","",IFERROR(INDEX(RESULTADOS_GRID!$E:$E,MATCH($A16,RESULTADOS_GRID!$B:$B,0)),""))</x:f>
      </x:c>
      <x:c r="D16" s="17">
        <x:f>IF($A16="","",IFERROR(INDEX(RESULTADOS_GRID!$D:$D,MATCH($A16,RESULTADOS_GRID!$B:$B,0)),""))</x:f>
      </x:c>
      <x:c r="E16" s="17">
        <x:f>IF($A16="","",COUNTIF(RESULTADOS_GRID!$B:$B,$A16))</x:f>
      </x:c>
      <x:c r="F16" s="15">
        <x:f>IF($A16="","",SUMIF(RESULTADOS_GRID!$B:$B,$A16,RESULTADOS_GRID!$X:$X))</x:f>
      </x:c>
      <x:c r="G16" s="14" t="n"/>
      <x:c r="H16" s="18">
        <x:f>CONFIG_REFERENCIA!$E$7</x:f>
        <x:v>0.05</x:v>
      </x:c>
      <x:c r="I16" s="15">
        <x:f>IF($A16="","",$F16+N($G16)*$H16)</x:f>
      </x:c>
      <x:c r="J16" s="15">
        <x:f>IF($A16="","",IF((COUNTIFS(RESULTADOS_GRID!$B:$B,$A16,RESULTADOS_GRID!$Y:$Y,"&gt;=0")+COUNTIFS(RESULTADOS_GRID!$B:$B,$A16,RESULTADOS_GRID!$Y:$Y,"&lt;0"))=0,"",SUMIF(RESULTADOS_GRID!$B:$B,$A16,RESULTADOS_GRID!$Y:$Y)/(COUNTIFS(RESULTADOS_GRID!$B:$B,$A16,RESULTADOS_GRID!$Y:$Y,"&gt;=0")+COUNTIFS(RESULTADOS_GRID!$B:$B,$A16,RESULTADOS_GRID!$Y:$Y,"&lt;0"))))</x:f>
      </x:c>
      <x:c r="K16" s="15">
        <x:f>IF($A16="","",IF((COUNTIFS(RESULTADOS_GRID!$B:$B,$A16,RESULTADOS_GRID!$Z:$Z,"&gt;=0")+COUNTIFS(RESULTADOS_GRID!$B:$B,$A16,RESULTADOS_GRID!$Z:$Z,"&lt;0"))=0,"",SUMIF(RESULTADOS_GRID!$B:$B,$A16,RESULTADOS_GRID!$Z:$Z)/(COUNTIFS(RESULTADOS_GRID!$B:$B,$A16,RESULTADOS_GRID!$Z:$Z,"&gt;=0")+COUNTIFS(RESULTADOS_GRID!$B:$B,$A16,RESULTADOS_GRID!$Z:$Z,"&lt;0"))))</x:f>
      </x:c>
      <x:c r="L16" s="12">
        <x:f>IF($A16="","",IF((COUNTIFS(RESULTADOS_GRID!$B:$B,$A16,RESULTADOS_GRID!$AA:$AA,"&gt;=0")+COUNTIFS(RESULTADOS_GRID!$B:$B,$A16,RESULTADOS_GRID!$AA:$AA,"&lt;0"))=0,"",SUMIF(RESULTADOS_GRID!$B:$B,$A16,RESULTADOS_GRID!$AA:$AA)/(COUNTIFS(RESULTADOS_GRID!$B:$B,$A16,RESULTADOS_GRID!$AA:$AA,"&gt;=0")+COUNTIFS(RESULTADOS_GRID!$B:$B,$A16,RESULTADOS_GRID!$AA:$AA,"&lt;0"))))</x:f>
      </x:c>
      <x:c r="M16" s="12">
        <x:f>IF($A16="","",IF((COUNTIFS(RESULTADOS_GRID!$B:$B,$A16,RESULTADOS_GRID!$AB:$AB,"&gt;=0")+COUNTIFS(RESULTADOS_GRID!$B:$B,$A16,RESULTADOS_GRID!$AB:$AB,"&lt;0"))=0,"",SUMIF(RESULTADOS_GRID!$B:$B,$A16,RESULTADOS_GRID!$AB:$AB)/(COUNTIFS(RESULTADOS_GRID!$B:$B,$A16,RESULTADOS_GRID!$AB:$AB,"&gt;=0")+COUNTIFS(RESULTADOS_GRID!$B:$B,$A16,RESULTADOS_GRID!$AB:$AB,"&lt;0"))))</x:f>
      </x:c>
      <x:c r="N16" s="11" t="n"/>
      <x:c r="O16" s="17">
        <x:f>IF($I16="","",COUNTIFS($I$2:$I$101,"&lt;"&amp;$I16)+1)</x:f>
      </x:c>
      <x:c r="P16" s="11" t="n"/>
    </x:row>
    <x:row r="17">
      <x:c r="A17" s="11" t="inlineStr">
        <x:is>
          <x:t xml:space="preserve"/>
        </x:is>
      </x:c>
      <x:c r="B17" s="17">
        <x:f>IF($A17="","",IFERROR(INDEX(RESULTADOS_GRID!$C:$C,MATCH($A17,RESULTADOS_GRID!$B:$B,0)),""))</x:f>
      </x:c>
      <x:c r="C17" s="17">
        <x:f>IF($A17="","",IFERROR(INDEX(RESULTADOS_GRID!$E:$E,MATCH($A17,RESULTADOS_GRID!$B:$B,0)),""))</x:f>
      </x:c>
      <x:c r="D17" s="17">
        <x:f>IF($A17="","",IFERROR(INDEX(RESULTADOS_GRID!$D:$D,MATCH($A17,RESULTADOS_GRID!$B:$B,0)),""))</x:f>
      </x:c>
      <x:c r="E17" s="17">
        <x:f>IF($A17="","",COUNTIF(RESULTADOS_GRID!$B:$B,$A17))</x:f>
      </x:c>
      <x:c r="F17" s="15">
        <x:f>IF($A17="","",SUMIF(RESULTADOS_GRID!$B:$B,$A17,RESULTADOS_GRID!$X:$X))</x:f>
      </x:c>
      <x:c r="G17" s="14" t="n"/>
      <x:c r="H17" s="18">
        <x:f>CONFIG_REFERENCIA!$E$7</x:f>
        <x:v>0.05</x:v>
      </x:c>
      <x:c r="I17" s="15">
        <x:f>IF($A17="","",$F17+N($G17)*$H17)</x:f>
      </x:c>
      <x:c r="J17" s="15">
        <x:f>IF($A17="","",IF((COUNTIFS(RESULTADOS_GRID!$B:$B,$A17,RESULTADOS_GRID!$Y:$Y,"&gt;=0")+COUNTIFS(RESULTADOS_GRID!$B:$B,$A17,RESULTADOS_GRID!$Y:$Y,"&lt;0"))=0,"",SUMIF(RESULTADOS_GRID!$B:$B,$A17,RESULTADOS_GRID!$Y:$Y)/(COUNTIFS(RESULTADOS_GRID!$B:$B,$A17,RESULTADOS_GRID!$Y:$Y,"&gt;=0")+COUNTIFS(RESULTADOS_GRID!$B:$B,$A17,RESULTADOS_GRID!$Y:$Y,"&lt;0"))))</x:f>
      </x:c>
      <x:c r="K17" s="15">
        <x:f>IF($A17="","",IF((COUNTIFS(RESULTADOS_GRID!$B:$B,$A17,RESULTADOS_GRID!$Z:$Z,"&gt;=0")+COUNTIFS(RESULTADOS_GRID!$B:$B,$A17,RESULTADOS_GRID!$Z:$Z,"&lt;0"))=0,"",SUMIF(RESULTADOS_GRID!$B:$B,$A17,RESULTADOS_GRID!$Z:$Z)/(COUNTIFS(RESULTADOS_GRID!$B:$B,$A17,RESULTADOS_GRID!$Z:$Z,"&gt;=0")+COUNTIFS(RESULTADOS_GRID!$B:$B,$A17,RESULTADOS_GRID!$Z:$Z,"&lt;0"))))</x:f>
      </x:c>
      <x:c r="L17" s="12">
        <x:f>IF($A17="","",IF((COUNTIFS(RESULTADOS_GRID!$B:$B,$A17,RESULTADOS_GRID!$AA:$AA,"&gt;=0")+COUNTIFS(RESULTADOS_GRID!$B:$B,$A17,RESULTADOS_GRID!$AA:$AA,"&lt;0"))=0,"",SUMIF(RESULTADOS_GRID!$B:$B,$A17,RESULTADOS_GRID!$AA:$AA)/(COUNTIFS(RESULTADOS_GRID!$B:$B,$A17,RESULTADOS_GRID!$AA:$AA,"&gt;=0")+COUNTIFS(RESULTADOS_GRID!$B:$B,$A17,RESULTADOS_GRID!$AA:$AA,"&lt;0"))))</x:f>
      </x:c>
      <x:c r="M17" s="12">
        <x:f>IF($A17="","",IF((COUNTIFS(RESULTADOS_GRID!$B:$B,$A17,RESULTADOS_GRID!$AB:$AB,"&gt;=0")+COUNTIFS(RESULTADOS_GRID!$B:$B,$A17,RESULTADOS_GRID!$AB:$AB,"&lt;0"))=0,"",SUMIF(RESULTADOS_GRID!$B:$B,$A17,RESULTADOS_GRID!$AB:$AB)/(COUNTIFS(RESULTADOS_GRID!$B:$B,$A17,RESULTADOS_GRID!$AB:$AB,"&gt;=0")+COUNTIFS(RESULTADOS_GRID!$B:$B,$A17,RESULTADOS_GRID!$AB:$AB,"&lt;0"))))</x:f>
      </x:c>
      <x:c r="N17" s="11" t="n"/>
      <x:c r="O17" s="17">
        <x:f>IF($I17="","",COUNTIFS($I$2:$I$101,"&lt;"&amp;$I17)+1)</x:f>
      </x:c>
      <x:c r="P17" s="11" t="n"/>
    </x:row>
    <x:row r="18">
      <x:c r="A18" s="11" t="inlineStr">
        <x:is>
          <x:t xml:space="preserve"/>
        </x:is>
      </x:c>
      <x:c r="B18" s="17">
        <x:f>IF($A18="","",IFERROR(INDEX(RESULTADOS_GRID!$C:$C,MATCH($A18,RESULTADOS_GRID!$B:$B,0)),""))</x:f>
      </x:c>
      <x:c r="C18" s="17">
        <x:f>IF($A18="","",IFERROR(INDEX(RESULTADOS_GRID!$E:$E,MATCH($A18,RESULTADOS_GRID!$B:$B,0)),""))</x:f>
      </x:c>
      <x:c r="D18" s="17">
        <x:f>IF($A18="","",IFERROR(INDEX(RESULTADOS_GRID!$D:$D,MATCH($A18,RESULTADOS_GRID!$B:$B,0)),""))</x:f>
      </x:c>
      <x:c r="E18" s="17">
        <x:f>IF($A18="","",COUNTIF(RESULTADOS_GRID!$B:$B,$A18))</x:f>
      </x:c>
      <x:c r="F18" s="15">
        <x:f>IF($A18="","",SUMIF(RESULTADOS_GRID!$B:$B,$A18,RESULTADOS_GRID!$X:$X))</x:f>
      </x:c>
      <x:c r="G18" s="14" t="n"/>
      <x:c r="H18" s="18">
        <x:f>CONFIG_REFERENCIA!$E$7</x:f>
        <x:v>0.05</x:v>
      </x:c>
      <x:c r="I18" s="15">
        <x:f>IF($A18="","",$F18+N($G18)*$H18)</x:f>
      </x:c>
      <x:c r="J18" s="15">
        <x:f>IF($A18="","",IF((COUNTIFS(RESULTADOS_GRID!$B:$B,$A18,RESULTADOS_GRID!$Y:$Y,"&gt;=0")+COUNTIFS(RESULTADOS_GRID!$B:$B,$A18,RESULTADOS_GRID!$Y:$Y,"&lt;0"))=0,"",SUMIF(RESULTADOS_GRID!$B:$B,$A18,RESULTADOS_GRID!$Y:$Y)/(COUNTIFS(RESULTADOS_GRID!$B:$B,$A18,RESULTADOS_GRID!$Y:$Y,"&gt;=0")+COUNTIFS(RESULTADOS_GRID!$B:$B,$A18,RESULTADOS_GRID!$Y:$Y,"&lt;0"))))</x:f>
      </x:c>
      <x:c r="K18" s="15">
        <x:f>IF($A18="","",IF((COUNTIFS(RESULTADOS_GRID!$B:$B,$A18,RESULTADOS_GRID!$Z:$Z,"&gt;=0")+COUNTIFS(RESULTADOS_GRID!$B:$B,$A18,RESULTADOS_GRID!$Z:$Z,"&lt;0"))=0,"",SUMIF(RESULTADOS_GRID!$B:$B,$A18,RESULTADOS_GRID!$Z:$Z)/(COUNTIFS(RESULTADOS_GRID!$B:$B,$A18,RESULTADOS_GRID!$Z:$Z,"&gt;=0")+COUNTIFS(RESULTADOS_GRID!$B:$B,$A18,RESULTADOS_GRID!$Z:$Z,"&lt;0"))))</x:f>
      </x:c>
      <x:c r="L18" s="12">
        <x:f>IF($A18="","",IF((COUNTIFS(RESULTADOS_GRID!$B:$B,$A18,RESULTADOS_GRID!$AA:$AA,"&gt;=0")+COUNTIFS(RESULTADOS_GRID!$B:$B,$A18,RESULTADOS_GRID!$AA:$AA,"&lt;0"))=0,"",SUMIF(RESULTADOS_GRID!$B:$B,$A18,RESULTADOS_GRID!$AA:$AA)/(COUNTIFS(RESULTADOS_GRID!$B:$B,$A18,RESULTADOS_GRID!$AA:$AA,"&gt;=0")+COUNTIFS(RESULTADOS_GRID!$B:$B,$A18,RESULTADOS_GRID!$AA:$AA,"&lt;0"))))</x:f>
      </x:c>
      <x:c r="M18" s="12">
        <x:f>IF($A18="","",IF((COUNTIFS(RESULTADOS_GRID!$B:$B,$A18,RESULTADOS_GRID!$AB:$AB,"&gt;=0")+COUNTIFS(RESULTADOS_GRID!$B:$B,$A18,RESULTADOS_GRID!$AB:$AB,"&lt;0"))=0,"",SUMIF(RESULTADOS_GRID!$B:$B,$A18,RESULTADOS_GRID!$AB:$AB)/(COUNTIFS(RESULTADOS_GRID!$B:$B,$A18,RESULTADOS_GRID!$AB:$AB,"&gt;=0")+COUNTIFS(RESULTADOS_GRID!$B:$B,$A18,RESULTADOS_GRID!$AB:$AB,"&lt;0"))))</x:f>
      </x:c>
      <x:c r="N18" s="11" t="n"/>
      <x:c r="O18" s="17">
        <x:f>IF($I18="","",COUNTIFS($I$2:$I$101,"&lt;"&amp;$I18)+1)</x:f>
      </x:c>
      <x:c r="P18" s="11" t="n"/>
    </x:row>
    <x:row r="19">
      <x:c r="A19" s="11" t="inlineStr">
        <x:is>
          <x:t xml:space="preserve"/>
        </x:is>
      </x:c>
      <x:c r="B19" s="17">
        <x:f>IF($A19="","",IFERROR(INDEX(RESULTADOS_GRID!$C:$C,MATCH($A19,RESULTADOS_GRID!$B:$B,0)),""))</x:f>
      </x:c>
      <x:c r="C19" s="17">
        <x:f>IF($A19="","",IFERROR(INDEX(RESULTADOS_GRID!$E:$E,MATCH($A19,RESULTADOS_GRID!$B:$B,0)),""))</x:f>
      </x:c>
      <x:c r="D19" s="17">
        <x:f>IF($A19="","",IFERROR(INDEX(RESULTADOS_GRID!$D:$D,MATCH($A19,RESULTADOS_GRID!$B:$B,0)),""))</x:f>
      </x:c>
      <x:c r="E19" s="17">
        <x:f>IF($A19="","",COUNTIF(RESULTADOS_GRID!$B:$B,$A19))</x:f>
      </x:c>
      <x:c r="F19" s="15">
        <x:f>IF($A19="","",SUMIF(RESULTADOS_GRID!$B:$B,$A19,RESULTADOS_GRID!$X:$X))</x:f>
      </x:c>
      <x:c r="G19" s="14" t="n"/>
      <x:c r="H19" s="18">
        <x:f>CONFIG_REFERENCIA!$E$7</x:f>
        <x:v>0.05</x:v>
      </x:c>
      <x:c r="I19" s="15">
        <x:f>IF($A19="","",$F19+N($G19)*$H19)</x:f>
      </x:c>
      <x:c r="J19" s="15">
        <x:f>IF($A19="","",IF((COUNTIFS(RESULTADOS_GRID!$B:$B,$A19,RESULTADOS_GRID!$Y:$Y,"&gt;=0")+COUNTIFS(RESULTADOS_GRID!$B:$B,$A19,RESULTADOS_GRID!$Y:$Y,"&lt;0"))=0,"",SUMIF(RESULTADOS_GRID!$B:$B,$A19,RESULTADOS_GRID!$Y:$Y)/(COUNTIFS(RESULTADOS_GRID!$B:$B,$A19,RESULTADOS_GRID!$Y:$Y,"&gt;=0")+COUNTIFS(RESULTADOS_GRID!$B:$B,$A19,RESULTADOS_GRID!$Y:$Y,"&lt;0"))))</x:f>
      </x:c>
      <x:c r="K19" s="15">
        <x:f>IF($A19="","",IF((COUNTIFS(RESULTADOS_GRID!$B:$B,$A19,RESULTADOS_GRID!$Z:$Z,"&gt;=0")+COUNTIFS(RESULTADOS_GRID!$B:$B,$A19,RESULTADOS_GRID!$Z:$Z,"&lt;0"))=0,"",SUMIF(RESULTADOS_GRID!$B:$B,$A19,RESULTADOS_GRID!$Z:$Z)/(COUNTIFS(RESULTADOS_GRID!$B:$B,$A19,RESULTADOS_GRID!$Z:$Z,"&gt;=0")+COUNTIFS(RESULTADOS_GRID!$B:$B,$A19,RESULTADOS_GRID!$Z:$Z,"&lt;0"))))</x:f>
      </x:c>
      <x:c r="L19" s="12">
        <x:f>IF($A19="","",IF((COUNTIFS(RESULTADOS_GRID!$B:$B,$A19,RESULTADOS_GRID!$AA:$AA,"&gt;=0")+COUNTIFS(RESULTADOS_GRID!$B:$B,$A19,RESULTADOS_GRID!$AA:$AA,"&lt;0"))=0,"",SUMIF(RESULTADOS_GRID!$B:$B,$A19,RESULTADOS_GRID!$AA:$AA)/(COUNTIFS(RESULTADOS_GRID!$B:$B,$A19,RESULTADOS_GRID!$AA:$AA,"&gt;=0")+COUNTIFS(RESULTADOS_GRID!$B:$B,$A19,RESULTADOS_GRID!$AA:$AA,"&lt;0"))))</x:f>
      </x:c>
      <x:c r="M19" s="12">
        <x:f>IF($A19="","",IF((COUNTIFS(RESULTADOS_GRID!$B:$B,$A19,RESULTADOS_GRID!$AB:$AB,"&gt;=0")+COUNTIFS(RESULTADOS_GRID!$B:$B,$A19,RESULTADOS_GRID!$AB:$AB,"&lt;0"))=0,"",SUMIF(RESULTADOS_GRID!$B:$B,$A19,RESULTADOS_GRID!$AB:$AB)/(COUNTIFS(RESULTADOS_GRID!$B:$B,$A19,RESULTADOS_GRID!$AB:$AB,"&gt;=0")+COUNTIFS(RESULTADOS_GRID!$B:$B,$A19,RESULTADOS_GRID!$AB:$AB,"&lt;0"))))</x:f>
      </x:c>
      <x:c r="N19" s="11" t="n"/>
      <x:c r="O19" s="17">
        <x:f>IF($I19="","",COUNTIFS($I$2:$I$101,"&lt;"&amp;$I19)+1)</x:f>
      </x:c>
      <x:c r="P19" s="11" t="n"/>
    </x:row>
    <x:row r="20">
      <x:c r="A20" s="11" t="inlineStr">
        <x:is>
          <x:t xml:space="preserve"/>
        </x:is>
      </x:c>
      <x:c r="B20" s="17">
        <x:f>IF($A20="","",IFERROR(INDEX(RESULTADOS_GRID!$C:$C,MATCH($A20,RESULTADOS_GRID!$B:$B,0)),""))</x:f>
      </x:c>
      <x:c r="C20" s="17">
        <x:f>IF($A20="","",IFERROR(INDEX(RESULTADOS_GRID!$E:$E,MATCH($A20,RESULTADOS_GRID!$B:$B,0)),""))</x:f>
      </x:c>
      <x:c r="D20" s="17">
        <x:f>IF($A20="","",IFERROR(INDEX(RESULTADOS_GRID!$D:$D,MATCH($A20,RESULTADOS_GRID!$B:$B,0)),""))</x:f>
      </x:c>
      <x:c r="E20" s="17">
        <x:f>IF($A20="","",COUNTIF(RESULTADOS_GRID!$B:$B,$A20))</x:f>
      </x:c>
      <x:c r="F20" s="15">
        <x:f>IF($A20="","",SUMIF(RESULTADOS_GRID!$B:$B,$A20,RESULTADOS_GRID!$X:$X))</x:f>
      </x:c>
      <x:c r="G20" s="14" t="n"/>
      <x:c r="H20" s="18">
        <x:f>CONFIG_REFERENCIA!$E$7</x:f>
        <x:v>0.05</x:v>
      </x:c>
      <x:c r="I20" s="15">
        <x:f>IF($A20="","",$F20+N($G20)*$H20)</x:f>
      </x:c>
      <x:c r="J20" s="15">
        <x:f>IF($A20="","",IF((COUNTIFS(RESULTADOS_GRID!$B:$B,$A20,RESULTADOS_GRID!$Y:$Y,"&gt;=0")+COUNTIFS(RESULTADOS_GRID!$B:$B,$A20,RESULTADOS_GRID!$Y:$Y,"&lt;0"))=0,"",SUMIF(RESULTADOS_GRID!$B:$B,$A20,RESULTADOS_GRID!$Y:$Y)/(COUNTIFS(RESULTADOS_GRID!$B:$B,$A20,RESULTADOS_GRID!$Y:$Y,"&gt;=0")+COUNTIFS(RESULTADOS_GRID!$B:$B,$A20,RESULTADOS_GRID!$Y:$Y,"&lt;0"))))</x:f>
      </x:c>
      <x:c r="K20" s="15">
        <x:f>IF($A20="","",IF((COUNTIFS(RESULTADOS_GRID!$B:$B,$A20,RESULTADOS_GRID!$Z:$Z,"&gt;=0")+COUNTIFS(RESULTADOS_GRID!$B:$B,$A20,RESULTADOS_GRID!$Z:$Z,"&lt;0"))=0,"",SUMIF(RESULTADOS_GRID!$B:$B,$A20,RESULTADOS_GRID!$Z:$Z)/(COUNTIFS(RESULTADOS_GRID!$B:$B,$A20,RESULTADOS_GRID!$Z:$Z,"&gt;=0")+COUNTIFS(RESULTADOS_GRID!$B:$B,$A20,RESULTADOS_GRID!$Z:$Z,"&lt;0"))))</x:f>
      </x:c>
      <x:c r="L20" s="12">
        <x:f>IF($A20="","",IF((COUNTIFS(RESULTADOS_GRID!$B:$B,$A20,RESULTADOS_GRID!$AA:$AA,"&gt;=0")+COUNTIFS(RESULTADOS_GRID!$B:$B,$A20,RESULTADOS_GRID!$AA:$AA,"&lt;0"))=0,"",SUMIF(RESULTADOS_GRID!$B:$B,$A20,RESULTADOS_GRID!$AA:$AA)/(COUNTIFS(RESULTADOS_GRID!$B:$B,$A20,RESULTADOS_GRID!$AA:$AA,"&gt;=0")+COUNTIFS(RESULTADOS_GRID!$B:$B,$A20,RESULTADOS_GRID!$AA:$AA,"&lt;0"))))</x:f>
      </x:c>
      <x:c r="M20" s="12">
        <x:f>IF($A20="","",IF((COUNTIFS(RESULTADOS_GRID!$B:$B,$A20,RESULTADOS_GRID!$AB:$AB,"&gt;=0")+COUNTIFS(RESULTADOS_GRID!$B:$B,$A20,RESULTADOS_GRID!$AB:$AB,"&lt;0"))=0,"",SUMIF(RESULTADOS_GRID!$B:$B,$A20,RESULTADOS_GRID!$AB:$AB)/(COUNTIFS(RESULTADOS_GRID!$B:$B,$A20,RESULTADOS_GRID!$AB:$AB,"&gt;=0")+COUNTIFS(RESULTADOS_GRID!$B:$B,$A20,RESULTADOS_GRID!$AB:$AB,"&lt;0"))))</x:f>
      </x:c>
      <x:c r="N20" s="11" t="n"/>
      <x:c r="O20" s="17">
        <x:f>IF($I20="","",COUNTIFS($I$2:$I$101,"&lt;"&amp;$I20)+1)</x:f>
      </x:c>
      <x:c r="P20" s="11" t="n"/>
    </x:row>
    <x:row r="21">
      <x:c r="A21" s="11" t="inlineStr">
        <x:is>
          <x:t xml:space="preserve"/>
        </x:is>
      </x:c>
      <x:c r="B21" s="17">
        <x:f>IF($A21="","",IFERROR(INDEX(RESULTADOS_GRID!$C:$C,MATCH($A21,RESULTADOS_GRID!$B:$B,0)),""))</x:f>
      </x:c>
      <x:c r="C21" s="17">
        <x:f>IF($A21="","",IFERROR(INDEX(RESULTADOS_GRID!$E:$E,MATCH($A21,RESULTADOS_GRID!$B:$B,0)),""))</x:f>
      </x:c>
      <x:c r="D21" s="17">
        <x:f>IF($A21="","",IFERROR(INDEX(RESULTADOS_GRID!$D:$D,MATCH($A21,RESULTADOS_GRID!$B:$B,0)),""))</x:f>
      </x:c>
      <x:c r="E21" s="17">
        <x:f>IF($A21="","",COUNTIF(RESULTADOS_GRID!$B:$B,$A21))</x:f>
      </x:c>
      <x:c r="F21" s="15">
        <x:f>IF($A21="","",SUMIF(RESULTADOS_GRID!$B:$B,$A21,RESULTADOS_GRID!$X:$X))</x:f>
      </x:c>
      <x:c r="G21" s="14" t="n"/>
      <x:c r="H21" s="18">
        <x:f>CONFIG_REFERENCIA!$E$7</x:f>
        <x:v>0.05</x:v>
      </x:c>
      <x:c r="I21" s="15">
        <x:f>IF($A21="","",$F21+N($G21)*$H21)</x:f>
      </x:c>
      <x:c r="J21" s="15">
        <x:f>IF($A21="","",IF((COUNTIFS(RESULTADOS_GRID!$B:$B,$A21,RESULTADOS_GRID!$Y:$Y,"&gt;=0")+COUNTIFS(RESULTADOS_GRID!$B:$B,$A21,RESULTADOS_GRID!$Y:$Y,"&lt;0"))=0,"",SUMIF(RESULTADOS_GRID!$B:$B,$A21,RESULTADOS_GRID!$Y:$Y)/(COUNTIFS(RESULTADOS_GRID!$B:$B,$A21,RESULTADOS_GRID!$Y:$Y,"&gt;=0")+COUNTIFS(RESULTADOS_GRID!$B:$B,$A21,RESULTADOS_GRID!$Y:$Y,"&lt;0"))))</x:f>
      </x:c>
      <x:c r="K21" s="15">
        <x:f>IF($A21="","",IF((COUNTIFS(RESULTADOS_GRID!$B:$B,$A21,RESULTADOS_GRID!$Z:$Z,"&gt;=0")+COUNTIFS(RESULTADOS_GRID!$B:$B,$A21,RESULTADOS_GRID!$Z:$Z,"&lt;0"))=0,"",SUMIF(RESULTADOS_GRID!$B:$B,$A21,RESULTADOS_GRID!$Z:$Z)/(COUNTIFS(RESULTADOS_GRID!$B:$B,$A21,RESULTADOS_GRID!$Z:$Z,"&gt;=0")+COUNTIFS(RESULTADOS_GRID!$B:$B,$A21,RESULTADOS_GRID!$Z:$Z,"&lt;0"))))</x:f>
      </x:c>
      <x:c r="L21" s="12">
        <x:f>IF($A21="","",IF((COUNTIFS(RESULTADOS_GRID!$B:$B,$A21,RESULTADOS_GRID!$AA:$AA,"&gt;=0")+COUNTIFS(RESULTADOS_GRID!$B:$B,$A21,RESULTADOS_GRID!$AA:$AA,"&lt;0"))=0,"",SUMIF(RESULTADOS_GRID!$B:$B,$A21,RESULTADOS_GRID!$AA:$AA)/(COUNTIFS(RESULTADOS_GRID!$B:$B,$A21,RESULTADOS_GRID!$AA:$AA,"&gt;=0")+COUNTIFS(RESULTADOS_GRID!$B:$B,$A21,RESULTADOS_GRID!$AA:$AA,"&lt;0"))))</x:f>
      </x:c>
      <x:c r="M21" s="12">
        <x:f>IF($A21="","",IF((COUNTIFS(RESULTADOS_GRID!$B:$B,$A21,RESULTADOS_GRID!$AB:$AB,"&gt;=0")+COUNTIFS(RESULTADOS_GRID!$B:$B,$A21,RESULTADOS_GRID!$AB:$AB,"&lt;0"))=0,"",SUMIF(RESULTADOS_GRID!$B:$B,$A21,RESULTADOS_GRID!$AB:$AB)/(COUNTIFS(RESULTADOS_GRID!$B:$B,$A21,RESULTADOS_GRID!$AB:$AB,"&gt;=0")+COUNTIFS(RESULTADOS_GRID!$B:$B,$A21,RESULTADOS_GRID!$AB:$AB,"&lt;0"))))</x:f>
      </x:c>
      <x:c r="N21" s="11" t="n"/>
      <x:c r="O21" s="17">
        <x:f>IF($I21="","",COUNTIFS($I$2:$I$101,"&lt;"&amp;$I21)+1)</x:f>
      </x:c>
      <x:c r="P21" s="11" t="n"/>
    </x:row>
    <x:row r="22">
      <x:c r="A22" s="11" t="inlineStr">
        <x:is>
          <x:t xml:space="preserve"/>
        </x:is>
      </x:c>
      <x:c r="B22" s="17">
        <x:f>IF($A22="","",IFERROR(INDEX(RESULTADOS_GRID!$C:$C,MATCH($A22,RESULTADOS_GRID!$B:$B,0)),""))</x:f>
      </x:c>
      <x:c r="C22" s="17">
        <x:f>IF($A22="","",IFERROR(INDEX(RESULTADOS_GRID!$E:$E,MATCH($A22,RESULTADOS_GRID!$B:$B,0)),""))</x:f>
      </x:c>
      <x:c r="D22" s="17">
        <x:f>IF($A22="","",IFERROR(INDEX(RESULTADOS_GRID!$D:$D,MATCH($A22,RESULTADOS_GRID!$B:$B,0)),""))</x:f>
      </x:c>
      <x:c r="E22" s="17">
        <x:f>IF($A22="","",COUNTIF(RESULTADOS_GRID!$B:$B,$A22))</x:f>
      </x:c>
      <x:c r="F22" s="15">
        <x:f>IF($A22="","",SUMIF(RESULTADOS_GRID!$B:$B,$A22,RESULTADOS_GRID!$X:$X))</x:f>
      </x:c>
      <x:c r="G22" s="14" t="n"/>
      <x:c r="H22" s="18">
        <x:f>CONFIG_REFERENCIA!$E$7</x:f>
        <x:v>0.05</x:v>
      </x:c>
      <x:c r="I22" s="15">
        <x:f>IF($A22="","",$F22+N($G22)*$H22)</x:f>
      </x:c>
      <x:c r="J22" s="15">
        <x:f>IF($A22="","",IF((COUNTIFS(RESULTADOS_GRID!$B:$B,$A22,RESULTADOS_GRID!$Y:$Y,"&gt;=0")+COUNTIFS(RESULTADOS_GRID!$B:$B,$A22,RESULTADOS_GRID!$Y:$Y,"&lt;0"))=0,"",SUMIF(RESULTADOS_GRID!$B:$B,$A22,RESULTADOS_GRID!$Y:$Y)/(COUNTIFS(RESULTADOS_GRID!$B:$B,$A22,RESULTADOS_GRID!$Y:$Y,"&gt;=0")+COUNTIFS(RESULTADOS_GRID!$B:$B,$A22,RESULTADOS_GRID!$Y:$Y,"&lt;0"))))</x:f>
      </x:c>
      <x:c r="K22" s="15">
        <x:f>IF($A22="","",IF((COUNTIFS(RESULTADOS_GRID!$B:$B,$A22,RESULTADOS_GRID!$Z:$Z,"&gt;=0")+COUNTIFS(RESULTADOS_GRID!$B:$B,$A22,RESULTADOS_GRID!$Z:$Z,"&lt;0"))=0,"",SUMIF(RESULTADOS_GRID!$B:$B,$A22,RESULTADOS_GRID!$Z:$Z)/(COUNTIFS(RESULTADOS_GRID!$B:$B,$A22,RESULTADOS_GRID!$Z:$Z,"&gt;=0")+COUNTIFS(RESULTADOS_GRID!$B:$B,$A22,RESULTADOS_GRID!$Z:$Z,"&lt;0"))))</x:f>
      </x:c>
      <x:c r="L22" s="12">
        <x:f>IF($A22="","",IF((COUNTIFS(RESULTADOS_GRID!$B:$B,$A22,RESULTADOS_GRID!$AA:$AA,"&gt;=0")+COUNTIFS(RESULTADOS_GRID!$B:$B,$A22,RESULTADOS_GRID!$AA:$AA,"&lt;0"))=0,"",SUMIF(RESULTADOS_GRID!$B:$B,$A22,RESULTADOS_GRID!$AA:$AA)/(COUNTIFS(RESULTADOS_GRID!$B:$B,$A22,RESULTADOS_GRID!$AA:$AA,"&gt;=0")+COUNTIFS(RESULTADOS_GRID!$B:$B,$A22,RESULTADOS_GRID!$AA:$AA,"&lt;0"))))</x:f>
      </x:c>
      <x:c r="M22" s="12">
        <x:f>IF($A22="","",IF((COUNTIFS(RESULTADOS_GRID!$B:$B,$A22,RESULTADOS_GRID!$AB:$AB,"&gt;=0")+COUNTIFS(RESULTADOS_GRID!$B:$B,$A22,RESULTADOS_GRID!$AB:$AB,"&lt;0"))=0,"",SUMIF(RESULTADOS_GRID!$B:$B,$A22,RESULTADOS_GRID!$AB:$AB)/(COUNTIFS(RESULTADOS_GRID!$B:$B,$A22,RESULTADOS_GRID!$AB:$AB,"&gt;=0")+COUNTIFS(RESULTADOS_GRID!$B:$B,$A22,RESULTADOS_GRID!$AB:$AB,"&lt;0"))))</x:f>
      </x:c>
      <x:c r="N22" s="11" t="n"/>
      <x:c r="O22" s="17">
        <x:f>IF($I22="","",COUNTIFS($I$2:$I$101,"&lt;"&amp;$I22)+1)</x:f>
      </x:c>
      <x:c r="P22" s="11" t="n"/>
    </x:row>
    <x:row r="23">
      <x:c r="A23" s="11" t="inlineStr">
        <x:is>
          <x:t xml:space="preserve"/>
        </x:is>
      </x:c>
      <x:c r="B23" s="17">
        <x:f>IF($A23="","",IFERROR(INDEX(RESULTADOS_GRID!$C:$C,MATCH($A23,RESULTADOS_GRID!$B:$B,0)),""))</x:f>
      </x:c>
      <x:c r="C23" s="17">
        <x:f>IF($A23="","",IFERROR(INDEX(RESULTADOS_GRID!$E:$E,MATCH($A23,RESULTADOS_GRID!$B:$B,0)),""))</x:f>
      </x:c>
      <x:c r="D23" s="17">
        <x:f>IF($A23="","",IFERROR(INDEX(RESULTADOS_GRID!$D:$D,MATCH($A23,RESULTADOS_GRID!$B:$B,0)),""))</x:f>
      </x:c>
      <x:c r="E23" s="17">
        <x:f>IF($A23="","",COUNTIF(RESULTADOS_GRID!$B:$B,$A23))</x:f>
      </x:c>
      <x:c r="F23" s="15">
        <x:f>IF($A23="","",SUMIF(RESULTADOS_GRID!$B:$B,$A23,RESULTADOS_GRID!$X:$X))</x:f>
      </x:c>
      <x:c r="G23" s="14" t="n"/>
      <x:c r="H23" s="18">
        <x:f>CONFIG_REFERENCIA!$E$7</x:f>
        <x:v>0.05</x:v>
      </x:c>
      <x:c r="I23" s="15">
        <x:f>IF($A23="","",$F23+N($G23)*$H23)</x:f>
      </x:c>
      <x:c r="J23" s="15">
        <x:f>IF($A23="","",IF((COUNTIFS(RESULTADOS_GRID!$B:$B,$A23,RESULTADOS_GRID!$Y:$Y,"&gt;=0")+COUNTIFS(RESULTADOS_GRID!$B:$B,$A23,RESULTADOS_GRID!$Y:$Y,"&lt;0"))=0,"",SUMIF(RESULTADOS_GRID!$B:$B,$A23,RESULTADOS_GRID!$Y:$Y)/(COUNTIFS(RESULTADOS_GRID!$B:$B,$A23,RESULTADOS_GRID!$Y:$Y,"&gt;=0")+COUNTIFS(RESULTADOS_GRID!$B:$B,$A23,RESULTADOS_GRID!$Y:$Y,"&lt;0"))))</x:f>
      </x:c>
      <x:c r="K23" s="15">
        <x:f>IF($A23="","",IF((COUNTIFS(RESULTADOS_GRID!$B:$B,$A23,RESULTADOS_GRID!$Z:$Z,"&gt;=0")+COUNTIFS(RESULTADOS_GRID!$B:$B,$A23,RESULTADOS_GRID!$Z:$Z,"&lt;0"))=0,"",SUMIF(RESULTADOS_GRID!$B:$B,$A23,RESULTADOS_GRID!$Z:$Z)/(COUNTIFS(RESULTADOS_GRID!$B:$B,$A23,RESULTADOS_GRID!$Z:$Z,"&gt;=0")+COUNTIFS(RESULTADOS_GRID!$B:$B,$A23,RESULTADOS_GRID!$Z:$Z,"&lt;0"))))</x:f>
      </x:c>
      <x:c r="L23" s="12">
        <x:f>IF($A23="","",IF((COUNTIFS(RESULTADOS_GRID!$B:$B,$A23,RESULTADOS_GRID!$AA:$AA,"&gt;=0")+COUNTIFS(RESULTADOS_GRID!$B:$B,$A23,RESULTADOS_GRID!$AA:$AA,"&lt;0"))=0,"",SUMIF(RESULTADOS_GRID!$B:$B,$A23,RESULTADOS_GRID!$AA:$AA)/(COUNTIFS(RESULTADOS_GRID!$B:$B,$A23,RESULTADOS_GRID!$AA:$AA,"&gt;=0")+COUNTIFS(RESULTADOS_GRID!$B:$B,$A23,RESULTADOS_GRID!$AA:$AA,"&lt;0"))))</x:f>
      </x:c>
      <x:c r="M23" s="12">
        <x:f>IF($A23="","",IF((COUNTIFS(RESULTADOS_GRID!$B:$B,$A23,RESULTADOS_GRID!$AB:$AB,"&gt;=0")+COUNTIFS(RESULTADOS_GRID!$B:$B,$A23,RESULTADOS_GRID!$AB:$AB,"&lt;0"))=0,"",SUMIF(RESULTADOS_GRID!$B:$B,$A23,RESULTADOS_GRID!$AB:$AB)/(COUNTIFS(RESULTADOS_GRID!$B:$B,$A23,RESULTADOS_GRID!$AB:$AB,"&gt;=0")+COUNTIFS(RESULTADOS_GRID!$B:$B,$A23,RESULTADOS_GRID!$AB:$AB,"&lt;0"))))</x:f>
      </x:c>
      <x:c r="N23" s="11" t="n"/>
      <x:c r="O23" s="17">
        <x:f>IF($I23="","",COUNTIFS($I$2:$I$101,"&lt;"&amp;$I23)+1)</x:f>
      </x:c>
      <x:c r="P23" s="11" t="n"/>
    </x:row>
    <x:row r="24">
      <x:c r="A24" s="11" t="inlineStr">
        <x:is>
          <x:t xml:space="preserve"/>
        </x:is>
      </x:c>
      <x:c r="B24" s="17">
        <x:f>IF($A24="","",IFERROR(INDEX(RESULTADOS_GRID!$C:$C,MATCH($A24,RESULTADOS_GRID!$B:$B,0)),""))</x:f>
      </x:c>
      <x:c r="C24" s="17">
        <x:f>IF($A24="","",IFERROR(INDEX(RESULTADOS_GRID!$E:$E,MATCH($A24,RESULTADOS_GRID!$B:$B,0)),""))</x:f>
      </x:c>
      <x:c r="D24" s="17">
        <x:f>IF($A24="","",IFERROR(INDEX(RESULTADOS_GRID!$D:$D,MATCH($A24,RESULTADOS_GRID!$B:$B,0)),""))</x:f>
      </x:c>
      <x:c r="E24" s="17">
        <x:f>IF($A24="","",COUNTIF(RESULTADOS_GRID!$B:$B,$A24))</x:f>
      </x:c>
      <x:c r="F24" s="15">
        <x:f>IF($A24="","",SUMIF(RESULTADOS_GRID!$B:$B,$A24,RESULTADOS_GRID!$X:$X))</x:f>
      </x:c>
      <x:c r="G24" s="14" t="n"/>
      <x:c r="H24" s="18">
        <x:f>CONFIG_REFERENCIA!$E$7</x:f>
        <x:v>0.05</x:v>
      </x:c>
      <x:c r="I24" s="15">
        <x:f>IF($A24="","",$F24+N($G24)*$H24)</x:f>
      </x:c>
      <x:c r="J24" s="15">
        <x:f>IF($A24="","",IF((COUNTIFS(RESULTADOS_GRID!$B:$B,$A24,RESULTADOS_GRID!$Y:$Y,"&gt;=0")+COUNTIFS(RESULTADOS_GRID!$B:$B,$A24,RESULTADOS_GRID!$Y:$Y,"&lt;0"))=0,"",SUMIF(RESULTADOS_GRID!$B:$B,$A24,RESULTADOS_GRID!$Y:$Y)/(COUNTIFS(RESULTADOS_GRID!$B:$B,$A24,RESULTADOS_GRID!$Y:$Y,"&gt;=0")+COUNTIFS(RESULTADOS_GRID!$B:$B,$A24,RESULTADOS_GRID!$Y:$Y,"&lt;0"))))</x:f>
      </x:c>
      <x:c r="K24" s="15">
        <x:f>IF($A24="","",IF((COUNTIFS(RESULTADOS_GRID!$B:$B,$A24,RESULTADOS_GRID!$Z:$Z,"&gt;=0")+COUNTIFS(RESULTADOS_GRID!$B:$B,$A24,RESULTADOS_GRID!$Z:$Z,"&lt;0"))=0,"",SUMIF(RESULTADOS_GRID!$B:$B,$A24,RESULTADOS_GRID!$Z:$Z)/(COUNTIFS(RESULTADOS_GRID!$B:$B,$A24,RESULTADOS_GRID!$Z:$Z,"&gt;=0")+COUNTIFS(RESULTADOS_GRID!$B:$B,$A24,RESULTADOS_GRID!$Z:$Z,"&lt;0"))))</x:f>
      </x:c>
      <x:c r="L24" s="12">
        <x:f>IF($A24="","",IF((COUNTIFS(RESULTADOS_GRID!$B:$B,$A24,RESULTADOS_GRID!$AA:$AA,"&gt;=0")+COUNTIFS(RESULTADOS_GRID!$B:$B,$A24,RESULTADOS_GRID!$AA:$AA,"&lt;0"))=0,"",SUMIF(RESULTADOS_GRID!$B:$B,$A24,RESULTADOS_GRID!$AA:$AA)/(COUNTIFS(RESULTADOS_GRID!$B:$B,$A24,RESULTADOS_GRID!$AA:$AA,"&gt;=0")+COUNTIFS(RESULTADOS_GRID!$B:$B,$A24,RESULTADOS_GRID!$AA:$AA,"&lt;0"))))</x:f>
      </x:c>
      <x:c r="M24" s="12">
        <x:f>IF($A24="","",IF((COUNTIFS(RESULTADOS_GRID!$B:$B,$A24,RESULTADOS_GRID!$AB:$AB,"&gt;=0")+COUNTIFS(RESULTADOS_GRID!$B:$B,$A24,RESULTADOS_GRID!$AB:$AB,"&lt;0"))=0,"",SUMIF(RESULTADOS_GRID!$B:$B,$A24,RESULTADOS_GRID!$AB:$AB)/(COUNTIFS(RESULTADOS_GRID!$B:$B,$A24,RESULTADOS_GRID!$AB:$AB,"&gt;=0")+COUNTIFS(RESULTADOS_GRID!$B:$B,$A24,RESULTADOS_GRID!$AB:$AB,"&lt;0"))))</x:f>
      </x:c>
      <x:c r="N24" s="11" t="n"/>
      <x:c r="O24" s="17">
        <x:f>IF($I24="","",COUNTIFS($I$2:$I$101,"&lt;"&amp;$I24)+1)</x:f>
      </x:c>
      <x:c r="P24" s="11" t="n"/>
    </x:row>
    <x:row r="25">
      <x:c r="A25" s="11" t="inlineStr">
        <x:is>
          <x:t xml:space="preserve"/>
        </x:is>
      </x:c>
      <x:c r="B25" s="17">
        <x:f>IF($A25="","",IFERROR(INDEX(RESULTADOS_GRID!$C:$C,MATCH($A25,RESULTADOS_GRID!$B:$B,0)),""))</x:f>
      </x:c>
      <x:c r="C25" s="17">
        <x:f>IF($A25="","",IFERROR(INDEX(RESULTADOS_GRID!$E:$E,MATCH($A25,RESULTADOS_GRID!$B:$B,0)),""))</x:f>
      </x:c>
      <x:c r="D25" s="17">
        <x:f>IF($A25="","",IFERROR(INDEX(RESULTADOS_GRID!$D:$D,MATCH($A25,RESULTADOS_GRID!$B:$B,0)),""))</x:f>
      </x:c>
      <x:c r="E25" s="17">
        <x:f>IF($A25="","",COUNTIF(RESULTADOS_GRID!$B:$B,$A25))</x:f>
      </x:c>
      <x:c r="F25" s="15">
        <x:f>IF($A25="","",SUMIF(RESULTADOS_GRID!$B:$B,$A25,RESULTADOS_GRID!$X:$X))</x:f>
      </x:c>
      <x:c r="G25" s="14" t="n"/>
      <x:c r="H25" s="18">
        <x:f>CONFIG_REFERENCIA!$E$7</x:f>
        <x:v>0.05</x:v>
      </x:c>
      <x:c r="I25" s="15">
        <x:f>IF($A25="","",$F25+N($G25)*$H25)</x:f>
      </x:c>
      <x:c r="J25" s="15">
        <x:f>IF($A25="","",IF((COUNTIFS(RESULTADOS_GRID!$B:$B,$A25,RESULTADOS_GRID!$Y:$Y,"&gt;=0")+COUNTIFS(RESULTADOS_GRID!$B:$B,$A25,RESULTADOS_GRID!$Y:$Y,"&lt;0"))=0,"",SUMIF(RESULTADOS_GRID!$B:$B,$A25,RESULTADOS_GRID!$Y:$Y)/(COUNTIFS(RESULTADOS_GRID!$B:$B,$A25,RESULTADOS_GRID!$Y:$Y,"&gt;=0")+COUNTIFS(RESULTADOS_GRID!$B:$B,$A25,RESULTADOS_GRID!$Y:$Y,"&lt;0"))))</x:f>
      </x:c>
      <x:c r="K25" s="15">
        <x:f>IF($A25="","",IF((COUNTIFS(RESULTADOS_GRID!$B:$B,$A25,RESULTADOS_GRID!$Z:$Z,"&gt;=0")+COUNTIFS(RESULTADOS_GRID!$B:$B,$A25,RESULTADOS_GRID!$Z:$Z,"&lt;0"))=0,"",SUMIF(RESULTADOS_GRID!$B:$B,$A25,RESULTADOS_GRID!$Z:$Z)/(COUNTIFS(RESULTADOS_GRID!$B:$B,$A25,RESULTADOS_GRID!$Z:$Z,"&gt;=0")+COUNTIFS(RESULTADOS_GRID!$B:$B,$A25,RESULTADOS_GRID!$Z:$Z,"&lt;0"))))</x:f>
      </x:c>
      <x:c r="L25" s="12">
        <x:f>IF($A25="","",IF((COUNTIFS(RESULTADOS_GRID!$B:$B,$A25,RESULTADOS_GRID!$AA:$AA,"&gt;=0")+COUNTIFS(RESULTADOS_GRID!$B:$B,$A25,RESULTADOS_GRID!$AA:$AA,"&lt;0"))=0,"",SUMIF(RESULTADOS_GRID!$B:$B,$A25,RESULTADOS_GRID!$AA:$AA)/(COUNTIFS(RESULTADOS_GRID!$B:$B,$A25,RESULTADOS_GRID!$AA:$AA,"&gt;=0")+COUNTIFS(RESULTADOS_GRID!$B:$B,$A25,RESULTADOS_GRID!$AA:$AA,"&lt;0"))))</x:f>
      </x:c>
      <x:c r="M25" s="12">
        <x:f>IF($A25="","",IF((COUNTIFS(RESULTADOS_GRID!$B:$B,$A25,RESULTADOS_GRID!$AB:$AB,"&gt;=0")+COUNTIFS(RESULTADOS_GRID!$B:$B,$A25,RESULTADOS_GRID!$AB:$AB,"&lt;0"))=0,"",SUMIF(RESULTADOS_GRID!$B:$B,$A25,RESULTADOS_GRID!$AB:$AB)/(COUNTIFS(RESULTADOS_GRID!$B:$B,$A25,RESULTADOS_GRID!$AB:$AB,"&gt;=0")+COUNTIFS(RESULTADOS_GRID!$B:$B,$A25,RESULTADOS_GRID!$AB:$AB,"&lt;0"))))</x:f>
      </x:c>
      <x:c r="N25" s="11" t="n"/>
      <x:c r="O25" s="17">
        <x:f>IF($I25="","",COUNTIFS($I$2:$I$101,"&lt;"&amp;$I25)+1)</x:f>
      </x:c>
      <x:c r="P25" s="11" t="n"/>
    </x:row>
    <x:row r="26">
      <x:c r="A26" s="11" t="inlineStr">
        <x:is>
          <x:t xml:space="preserve"/>
        </x:is>
      </x:c>
      <x:c r="B26" s="17">
        <x:f>IF($A26="","",IFERROR(INDEX(RESULTADOS_GRID!$C:$C,MATCH($A26,RESULTADOS_GRID!$B:$B,0)),""))</x:f>
      </x:c>
      <x:c r="C26" s="17">
        <x:f>IF($A26="","",IFERROR(INDEX(RESULTADOS_GRID!$E:$E,MATCH($A26,RESULTADOS_GRID!$B:$B,0)),""))</x:f>
      </x:c>
      <x:c r="D26" s="17">
        <x:f>IF($A26="","",IFERROR(INDEX(RESULTADOS_GRID!$D:$D,MATCH($A26,RESULTADOS_GRID!$B:$B,0)),""))</x:f>
      </x:c>
      <x:c r="E26" s="17">
        <x:f>IF($A26="","",COUNTIF(RESULTADOS_GRID!$B:$B,$A26))</x:f>
      </x:c>
      <x:c r="F26" s="15">
        <x:f>IF($A26="","",SUMIF(RESULTADOS_GRID!$B:$B,$A26,RESULTADOS_GRID!$X:$X))</x:f>
      </x:c>
      <x:c r="G26" s="14" t="n"/>
      <x:c r="H26" s="18">
        <x:f>CONFIG_REFERENCIA!$E$7</x:f>
        <x:v>0.05</x:v>
      </x:c>
      <x:c r="I26" s="15">
        <x:f>IF($A26="","",$F26+N($G26)*$H26)</x:f>
      </x:c>
      <x:c r="J26" s="15">
        <x:f>IF($A26="","",IF((COUNTIFS(RESULTADOS_GRID!$B:$B,$A26,RESULTADOS_GRID!$Y:$Y,"&gt;=0")+COUNTIFS(RESULTADOS_GRID!$B:$B,$A26,RESULTADOS_GRID!$Y:$Y,"&lt;0"))=0,"",SUMIF(RESULTADOS_GRID!$B:$B,$A26,RESULTADOS_GRID!$Y:$Y)/(COUNTIFS(RESULTADOS_GRID!$B:$B,$A26,RESULTADOS_GRID!$Y:$Y,"&gt;=0")+COUNTIFS(RESULTADOS_GRID!$B:$B,$A26,RESULTADOS_GRID!$Y:$Y,"&lt;0"))))</x:f>
      </x:c>
      <x:c r="K26" s="15">
        <x:f>IF($A26="","",IF((COUNTIFS(RESULTADOS_GRID!$B:$B,$A26,RESULTADOS_GRID!$Z:$Z,"&gt;=0")+COUNTIFS(RESULTADOS_GRID!$B:$B,$A26,RESULTADOS_GRID!$Z:$Z,"&lt;0"))=0,"",SUMIF(RESULTADOS_GRID!$B:$B,$A26,RESULTADOS_GRID!$Z:$Z)/(COUNTIFS(RESULTADOS_GRID!$B:$B,$A26,RESULTADOS_GRID!$Z:$Z,"&gt;=0")+COUNTIFS(RESULTADOS_GRID!$B:$B,$A26,RESULTADOS_GRID!$Z:$Z,"&lt;0"))))</x:f>
      </x:c>
      <x:c r="L26" s="12">
        <x:f>IF($A26="","",IF((COUNTIFS(RESULTADOS_GRID!$B:$B,$A26,RESULTADOS_GRID!$AA:$AA,"&gt;=0")+COUNTIFS(RESULTADOS_GRID!$B:$B,$A26,RESULTADOS_GRID!$AA:$AA,"&lt;0"))=0,"",SUMIF(RESULTADOS_GRID!$B:$B,$A26,RESULTADOS_GRID!$AA:$AA)/(COUNTIFS(RESULTADOS_GRID!$B:$B,$A26,RESULTADOS_GRID!$AA:$AA,"&gt;=0")+COUNTIFS(RESULTADOS_GRID!$B:$B,$A26,RESULTADOS_GRID!$AA:$AA,"&lt;0"))))</x:f>
      </x:c>
      <x:c r="M26" s="12">
        <x:f>IF($A26="","",IF((COUNTIFS(RESULTADOS_GRID!$B:$B,$A26,RESULTADOS_GRID!$AB:$AB,"&gt;=0")+COUNTIFS(RESULTADOS_GRID!$B:$B,$A26,RESULTADOS_GRID!$AB:$AB,"&lt;0"))=0,"",SUMIF(RESULTADOS_GRID!$B:$B,$A26,RESULTADOS_GRID!$AB:$AB)/(COUNTIFS(RESULTADOS_GRID!$B:$B,$A26,RESULTADOS_GRID!$AB:$AB,"&gt;=0")+COUNTIFS(RESULTADOS_GRID!$B:$B,$A26,RESULTADOS_GRID!$AB:$AB,"&lt;0"))))</x:f>
      </x:c>
      <x:c r="N26" s="11" t="n"/>
      <x:c r="O26" s="17">
        <x:f>IF($I26="","",COUNTIFS($I$2:$I$101,"&lt;"&amp;$I26)+1)</x:f>
      </x:c>
      <x:c r="P26" s="11" t="n"/>
    </x:row>
    <x:row r="27">
      <x:c r="A27" s="11" t="inlineStr">
        <x:is>
          <x:t xml:space="preserve"/>
        </x:is>
      </x:c>
      <x:c r="B27" s="17">
        <x:f>IF($A27="","",IFERROR(INDEX(RESULTADOS_GRID!$C:$C,MATCH($A27,RESULTADOS_GRID!$B:$B,0)),""))</x:f>
      </x:c>
      <x:c r="C27" s="17">
        <x:f>IF($A27="","",IFERROR(INDEX(RESULTADOS_GRID!$E:$E,MATCH($A27,RESULTADOS_GRID!$B:$B,0)),""))</x:f>
      </x:c>
      <x:c r="D27" s="17">
        <x:f>IF($A27="","",IFERROR(INDEX(RESULTADOS_GRID!$D:$D,MATCH($A27,RESULTADOS_GRID!$B:$B,0)),""))</x:f>
      </x:c>
      <x:c r="E27" s="17">
        <x:f>IF($A27="","",COUNTIF(RESULTADOS_GRID!$B:$B,$A27))</x:f>
      </x:c>
      <x:c r="F27" s="15">
        <x:f>IF($A27="","",SUMIF(RESULTADOS_GRID!$B:$B,$A27,RESULTADOS_GRID!$X:$X))</x:f>
      </x:c>
      <x:c r="G27" s="14" t="n"/>
      <x:c r="H27" s="18">
        <x:f>CONFIG_REFERENCIA!$E$7</x:f>
        <x:v>0.05</x:v>
      </x:c>
      <x:c r="I27" s="15">
        <x:f>IF($A27="","",$F27+N($G27)*$H27)</x:f>
      </x:c>
      <x:c r="J27" s="15">
        <x:f>IF($A27="","",IF((COUNTIFS(RESULTADOS_GRID!$B:$B,$A27,RESULTADOS_GRID!$Y:$Y,"&gt;=0")+COUNTIFS(RESULTADOS_GRID!$B:$B,$A27,RESULTADOS_GRID!$Y:$Y,"&lt;0"))=0,"",SUMIF(RESULTADOS_GRID!$B:$B,$A27,RESULTADOS_GRID!$Y:$Y)/(COUNTIFS(RESULTADOS_GRID!$B:$B,$A27,RESULTADOS_GRID!$Y:$Y,"&gt;=0")+COUNTIFS(RESULTADOS_GRID!$B:$B,$A27,RESULTADOS_GRID!$Y:$Y,"&lt;0"))))</x:f>
      </x:c>
      <x:c r="K27" s="15">
        <x:f>IF($A27="","",IF((COUNTIFS(RESULTADOS_GRID!$B:$B,$A27,RESULTADOS_GRID!$Z:$Z,"&gt;=0")+COUNTIFS(RESULTADOS_GRID!$B:$B,$A27,RESULTADOS_GRID!$Z:$Z,"&lt;0"))=0,"",SUMIF(RESULTADOS_GRID!$B:$B,$A27,RESULTADOS_GRID!$Z:$Z)/(COUNTIFS(RESULTADOS_GRID!$B:$B,$A27,RESULTADOS_GRID!$Z:$Z,"&gt;=0")+COUNTIFS(RESULTADOS_GRID!$B:$B,$A27,RESULTADOS_GRID!$Z:$Z,"&lt;0"))))</x:f>
      </x:c>
      <x:c r="L27" s="12">
        <x:f>IF($A27="","",IF((COUNTIFS(RESULTADOS_GRID!$B:$B,$A27,RESULTADOS_GRID!$AA:$AA,"&gt;=0")+COUNTIFS(RESULTADOS_GRID!$B:$B,$A27,RESULTADOS_GRID!$AA:$AA,"&lt;0"))=0,"",SUMIF(RESULTADOS_GRID!$B:$B,$A27,RESULTADOS_GRID!$AA:$AA)/(COUNTIFS(RESULTADOS_GRID!$B:$B,$A27,RESULTADOS_GRID!$AA:$AA,"&gt;=0")+COUNTIFS(RESULTADOS_GRID!$B:$B,$A27,RESULTADOS_GRID!$AA:$AA,"&lt;0"))))</x:f>
      </x:c>
      <x:c r="M27" s="12">
        <x:f>IF($A27="","",IF((COUNTIFS(RESULTADOS_GRID!$B:$B,$A27,RESULTADOS_GRID!$AB:$AB,"&gt;=0")+COUNTIFS(RESULTADOS_GRID!$B:$B,$A27,RESULTADOS_GRID!$AB:$AB,"&lt;0"))=0,"",SUMIF(RESULTADOS_GRID!$B:$B,$A27,RESULTADOS_GRID!$AB:$AB)/(COUNTIFS(RESULTADOS_GRID!$B:$B,$A27,RESULTADOS_GRID!$AB:$AB,"&gt;=0")+COUNTIFS(RESULTADOS_GRID!$B:$B,$A27,RESULTADOS_GRID!$AB:$AB,"&lt;0"))))</x:f>
      </x:c>
      <x:c r="N27" s="11" t="n"/>
      <x:c r="O27" s="17">
        <x:f>IF($I27="","",COUNTIFS($I$2:$I$101,"&lt;"&amp;$I27)+1)</x:f>
      </x:c>
      <x:c r="P27" s="11" t="n"/>
    </x:row>
    <x:row r="28">
      <x:c r="A28" s="11" t="inlineStr">
        <x:is>
          <x:t xml:space="preserve"/>
        </x:is>
      </x:c>
      <x:c r="B28" s="17">
        <x:f>IF($A28="","",IFERROR(INDEX(RESULTADOS_GRID!$C:$C,MATCH($A28,RESULTADOS_GRID!$B:$B,0)),""))</x:f>
      </x:c>
      <x:c r="C28" s="17">
        <x:f>IF($A28="","",IFERROR(INDEX(RESULTADOS_GRID!$E:$E,MATCH($A28,RESULTADOS_GRID!$B:$B,0)),""))</x:f>
      </x:c>
      <x:c r="D28" s="17">
        <x:f>IF($A28="","",IFERROR(INDEX(RESULTADOS_GRID!$D:$D,MATCH($A28,RESULTADOS_GRID!$B:$B,0)),""))</x:f>
      </x:c>
      <x:c r="E28" s="17">
        <x:f>IF($A28="","",COUNTIF(RESULTADOS_GRID!$B:$B,$A28))</x:f>
      </x:c>
      <x:c r="F28" s="15">
        <x:f>IF($A28="","",SUMIF(RESULTADOS_GRID!$B:$B,$A28,RESULTADOS_GRID!$X:$X))</x:f>
      </x:c>
      <x:c r="G28" s="14" t="n"/>
      <x:c r="H28" s="18">
        <x:f>CONFIG_REFERENCIA!$E$7</x:f>
        <x:v>0.05</x:v>
      </x:c>
      <x:c r="I28" s="15">
        <x:f>IF($A28="","",$F28+N($G28)*$H28)</x:f>
      </x:c>
      <x:c r="J28" s="15">
        <x:f>IF($A28="","",IF((COUNTIFS(RESULTADOS_GRID!$B:$B,$A28,RESULTADOS_GRID!$Y:$Y,"&gt;=0")+COUNTIFS(RESULTADOS_GRID!$B:$B,$A28,RESULTADOS_GRID!$Y:$Y,"&lt;0"))=0,"",SUMIF(RESULTADOS_GRID!$B:$B,$A28,RESULTADOS_GRID!$Y:$Y)/(COUNTIFS(RESULTADOS_GRID!$B:$B,$A28,RESULTADOS_GRID!$Y:$Y,"&gt;=0")+COUNTIFS(RESULTADOS_GRID!$B:$B,$A28,RESULTADOS_GRID!$Y:$Y,"&lt;0"))))</x:f>
      </x:c>
      <x:c r="K28" s="15">
        <x:f>IF($A28="","",IF((COUNTIFS(RESULTADOS_GRID!$B:$B,$A28,RESULTADOS_GRID!$Z:$Z,"&gt;=0")+COUNTIFS(RESULTADOS_GRID!$B:$B,$A28,RESULTADOS_GRID!$Z:$Z,"&lt;0"))=0,"",SUMIF(RESULTADOS_GRID!$B:$B,$A28,RESULTADOS_GRID!$Z:$Z)/(COUNTIFS(RESULTADOS_GRID!$B:$B,$A28,RESULTADOS_GRID!$Z:$Z,"&gt;=0")+COUNTIFS(RESULTADOS_GRID!$B:$B,$A28,RESULTADOS_GRID!$Z:$Z,"&lt;0"))))</x:f>
      </x:c>
      <x:c r="L28" s="12">
        <x:f>IF($A28="","",IF((COUNTIFS(RESULTADOS_GRID!$B:$B,$A28,RESULTADOS_GRID!$AA:$AA,"&gt;=0")+COUNTIFS(RESULTADOS_GRID!$B:$B,$A28,RESULTADOS_GRID!$AA:$AA,"&lt;0"))=0,"",SUMIF(RESULTADOS_GRID!$B:$B,$A28,RESULTADOS_GRID!$AA:$AA)/(COUNTIFS(RESULTADOS_GRID!$B:$B,$A28,RESULTADOS_GRID!$AA:$AA,"&gt;=0")+COUNTIFS(RESULTADOS_GRID!$B:$B,$A28,RESULTADOS_GRID!$AA:$AA,"&lt;0"))))</x:f>
      </x:c>
      <x:c r="M28" s="12">
        <x:f>IF($A28="","",IF((COUNTIFS(RESULTADOS_GRID!$B:$B,$A28,RESULTADOS_GRID!$AB:$AB,"&gt;=0")+COUNTIFS(RESULTADOS_GRID!$B:$B,$A28,RESULTADOS_GRID!$AB:$AB,"&lt;0"))=0,"",SUMIF(RESULTADOS_GRID!$B:$B,$A28,RESULTADOS_GRID!$AB:$AB)/(COUNTIFS(RESULTADOS_GRID!$B:$B,$A28,RESULTADOS_GRID!$AB:$AB,"&gt;=0")+COUNTIFS(RESULTADOS_GRID!$B:$B,$A28,RESULTADOS_GRID!$AB:$AB,"&lt;0"))))</x:f>
      </x:c>
      <x:c r="N28" s="11" t="n"/>
      <x:c r="O28" s="17">
        <x:f>IF($I28="","",COUNTIFS($I$2:$I$101,"&lt;"&amp;$I28)+1)</x:f>
      </x:c>
      <x:c r="P28" s="11" t="n"/>
    </x:row>
    <x:row r="29">
      <x:c r="A29" s="11" t="inlineStr">
        <x:is>
          <x:t xml:space="preserve"/>
        </x:is>
      </x:c>
      <x:c r="B29" s="17">
        <x:f>IF($A29="","",IFERROR(INDEX(RESULTADOS_GRID!$C:$C,MATCH($A29,RESULTADOS_GRID!$B:$B,0)),""))</x:f>
      </x:c>
      <x:c r="C29" s="17">
        <x:f>IF($A29="","",IFERROR(INDEX(RESULTADOS_GRID!$E:$E,MATCH($A29,RESULTADOS_GRID!$B:$B,0)),""))</x:f>
      </x:c>
      <x:c r="D29" s="17">
        <x:f>IF($A29="","",IFERROR(INDEX(RESULTADOS_GRID!$D:$D,MATCH($A29,RESULTADOS_GRID!$B:$B,0)),""))</x:f>
      </x:c>
      <x:c r="E29" s="17">
        <x:f>IF($A29="","",COUNTIF(RESULTADOS_GRID!$B:$B,$A29))</x:f>
      </x:c>
      <x:c r="F29" s="15">
        <x:f>IF($A29="","",SUMIF(RESULTADOS_GRID!$B:$B,$A29,RESULTADOS_GRID!$X:$X))</x:f>
      </x:c>
      <x:c r="G29" s="14" t="n"/>
      <x:c r="H29" s="18">
        <x:f>CONFIG_REFERENCIA!$E$7</x:f>
        <x:v>0.05</x:v>
      </x:c>
      <x:c r="I29" s="15">
        <x:f>IF($A29="","",$F29+N($G29)*$H29)</x:f>
      </x:c>
      <x:c r="J29" s="15">
        <x:f>IF($A29="","",IF((COUNTIFS(RESULTADOS_GRID!$B:$B,$A29,RESULTADOS_GRID!$Y:$Y,"&gt;=0")+COUNTIFS(RESULTADOS_GRID!$B:$B,$A29,RESULTADOS_GRID!$Y:$Y,"&lt;0"))=0,"",SUMIF(RESULTADOS_GRID!$B:$B,$A29,RESULTADOS_GRID!$Y:$Y)/(COUNTIFS(RESULTADOS_GRID!$B:$B,$A29,RESULTADOS_GRID!$Y:$Y,"&gt;=0")+COUNTIFS(RESULTADOS_GRID!$B:$B,$A29,RESULTADOS_GRID!$Y:$Y,"&lt;0"))))</x:f>
      </x:c>
      <x:c r="K29" s="15">
        <x:f>IF($A29="","",IF((COUNTIFS(RESULTADOS_GRID!$B:$B,$A29,RESULTADOS_GRID!$Z:$Z,"&gt;=0")+COUNTIFS(RESULTADOS_GRID!$B:$B,$A29,RESULTADOS_GRID!$Z:$Z,"&lt;0"))=0,"",SUMIF(RESULTADOS_GRID!$B:$B,$A29,RESULTADOS_GRID!$Z:$Z)/(COUNTIFS(RESULTADOS_GRID!$B:$B,$A29,RESULTADOS_GRID!$Z:$Z,"&gt;=0")+COUNTIFS(RESULTADOS_GRID!$B:$B,$A29,RESULTADOS_GRID!$Z:$Z,"&lt;0"))))</x:f>
      </x:c>
      <x:c r="L29" s="12">
        <x:f>IF($A29="","",IF((COUNTIFS(RESULTADOS_GRID!$B:$B,$A29,RESULTADOS_GRID!$AA:$AA,"&gt;=0")+COUNTIFS(RESULTADOS_GRID!$B:$B,$A29,RESULTADOS_GRID!$AA:$AA,"&lt;0"))=0,"",SUMIF(RESULTADOS_GRID!$B:$B,$A29,RESULTADOS_GRID!$AA:$AA)/(COUNTIFS(RESULTADOS_GRID!$B:$B,$A29,RESULTADOS_GRID!$AA:$AA,"&gt;=0")+COUNTIFS(RESULTADOS_GRID!$B:$B,$A29,RESULTADOS_GRID!$AA:$AA,"&lt;0"))))</x:f>
      </x:c>
      <x:c r="M29" s="12">
        <x:f>IF($A29="","",IF((COUNTIFS(RESULTADOS_GRID!$B:$B,$A29,RESULTADOS_GRID!$AB:$AB,"&gt;=0")+COUNTIFS(RESULTADOS_GRID!$B:$B,$A29,RESULTADOS_GRID!$AB:$AB,"&lt;0"))=0,"",SUMIF(RESULTADOS_GRID!$B:$B,$A29,RESULTADOS_GRID!$AB:$AB)/(COUNTIFS(RESULTADOS_GRID!$B:$B,$A29,RESULTADOS_GRID!$AB:$AB,"&gt;=0")+COUNTIFS(RESULTADOS_GRID!$B:$B,$A29,RESULTADOS_GRID!$AB:$AB,"&lt;0"))))</x:f>
      </x:c>
      <x:c r="N29" s="11" t="n"/>
      <x:c r="O29" s="17">
        <x:f>IF($I29="","",COUNTIFS($I$2:$I$101,"&lt;"&amp;$I29)+1)</x:f>
      </x:c>
      <x:c r="P29" s="11" t="n"/>
    </x:row>
    <x:row r="30">
      <x:c r="A30" s="11" t="inlineStr">
        <x:is>
          <x:t xml:space="preserve"/>
        </x:is>
      </x:c>
      <x:c r="B30" s="17">
        <x:f>IF($A30="","",IFERROR(INDEX(RESULTADOS_GRID!$C:$C,MATCH($A30,RESULTADOS_GRID!$B:$B,0)),""))</x:f>
      </x:c>
      <x:c r="C30" s="17">
        <x:f>IF($A30="","",IFERROR(INDEX(RESULTADOS_GRID!$E:$E,MATCH($A30,RESULTADOS_GRID!$B:$B,0)),""))</x:f>
      </x:c>
      <x:c r="D30" s="17">
        <x:f>IF($A30="","",IFERROR(INDEX(RESULTADOS_GRID!$D:$D,MATCH($A30,RESULTADOS_GRID!$B:$B,0)),""))</x:f>
      </x:c>
      <x:c r="E30" s="17">
        <x:f>IF($A30="","",COUNTIF(RESULTADOS_GRID!$B:$B,$A30))</x:f>
      </x:c>
      <x:c r="F30" s="15">
        <x:f>IF($A30="","",SUMIF(RESULTADOS_GRID!$B:$B,$A30,RESULTADOS_GRID!$X:$X))</x:f>
      </x:c>
      <x:c r="G30" s="14" t="n"/>
      <x:c r="H30" s="18">
        <x:f>CONFIG_REFERENCIA!$E$7</x:f>
        <x:v>0.05</x:v>
      </x:c>
      <x:c r="I30" s="15">
        <x:f>IF($A30="","",$F30+N($G30)*$H30)</x:f>
      </x:c>
      <x:c r="J30" s="15">
        <x:f>IF($A30="","",IF((COUNTIFS(RESULTADOS_GRID!$B:$B,$A30,RESULTADOS_GRID!$Y:$Y,"&gt;=0")+COUNTIFS(RESULTADOS_GRID!$B:$B,$A30,RESULTADOS_GRID!$Y:$Y,"&lt;0"))=0,"",SUMIF(RESULTADOS_GRID!$B:$B,$A30,RESULTADOS_GRID!$Y:$Y)/(COUNTIFS(RESULTADOS_GRID!$B:$B,$A30,RESULTADOS_GRID!$Y:$Y,"&gt;=0")+COUNTIFS(RESULTADOS_GRID!$B:$B,$A30,RESULTADOS_GRID!$Y:$Y,"&lt;0"))))</x:f>
      </x:c>
      <x:c r="K30" s="15">
        <x:f>IF($A30="","",IF((COUNTIFS(RESULTADOS_GRID!$B:$B,$A30,RESULTADOS_GRID!$Z:$Z,"&gt;=0")+COUNTIFS(RESULTADOS_GRID!$B:$B,$A30,RESULTADOS_GRID!$Z:$Z,"&lt;0"))=0,"",SUMIF(RESULTADOS_GRID!$B:$B,$A30,RESULTADOS_GRID!$Z:$Z)/(COUNTIFS(RESULTADOS_GRID!$B:$B,$A30,RESULTADOS_GRID!$Z:$Z,"&gt;=0")+COUNTIFS(RESULTADOS_GRID!$B:$B,$A30,RESULTADOS_GRID!$Z:$Z,"&lt;0"))))</x:f>
      </x:c>
      <x:c r="L30" s="12">
        <x:f>IF($A30="","",IF((COUNTIFS(RESULTADOS_GRID!$B:$B,$A30,RESULTADOS_GRID!$AA:$AA,"&gt;=0")+COUNTIFS(RESULTADOS_GRID!$B:$B,$A30,RESULTADOS_GRID!$AA:$AA,"&lt;0"))=0,"",SUMIF(RESULTADOS_GRID!$B:$B,$A30,RESULTADOS_GRID!$AA:$AA)/(COUNTIFS(RESULTADOS_GRID!$B:$B,$A30,RESULTADOS_GRID!$AA:$AA,"&gt;=0")+COUNTIFS(RESULTADOS_GRID!$B:$B,$A30,RESULTADOS_GRID!$AA:$AA,"&lt;0"))))</x:f>
      </x:c>
      <x:c r="M30" s="12">
        <x:f>IF($A30="","",IF((COUNTIFS(RESULTADOS_GRID!$B:$B,$A30,RESULTADOS_GRID!$AB:$AB,"&gt;=0")+COUNTIFS(RESULTADOS_GRID!$B:$B,$A30,RESULTADOS_GRID!$AB:$AB,"&lt;0"))=0,"",SUMIF(RESULTADOS_GRID!$B:$B,$A30,RESULTADOS_GRID!$AB:$AB)/(COUNTIFS(RESULTADOS_GRID!$B:$B,$A30,RESULTADOS_GRID!$AB:$AB,"&gt;=0")+COUNTIFS(RESULTADOS_GRID!$B:$B,$A30,RESULTADOS_GRID!$AB:$AB,"&lt;0"))))</x:f>
      </x:c>
      <x:c r="N30" s="11" t="n"/>
      <x:c r="O30" s="17">
        <x:f>IF($I30="","",COUNTIFS($I$2:$I$101,"&lt;"&amp;$I30)+1)</x:f>
      </x:c>
      <x:c r="P30" s="11" t="n"/>
    </x:row>
    <x:row r="31">
      <x:c r="A31" s="11" t="inlineStr">
        <x:is>
          <x:t xml:space="preserve"/>
        </x:is>
      </x:c>
      <x:c r="B31" s="17">
        <x:f>IF($A31="","",IFERROR(INDEX(RESULTADOS_GRID!$C:$C,MATCH($A31,RESULTADOS_GRID!$B:$B,0)),""))</x:f>
      </x:c>
      <x:c r="C31" s="17">
        <x:f>IF($A31="","",IFERROR(INDEX(RESULTADOS_GRID!$E:$E,MATCH($A31,RESULTADOS_GRID!$B:$B,0)),""))</x:f>
      </x:c>
      <x:c r="D31" s="17">
        <x:f>IF($A31="","",IFERROR(INDEX(RESULTADOS_GRID!$D:$D,MATCH($A31,RESULTADOS_GRID!$B:$B,0)),""))</x:f>
      </x:c>
      <x:c r="E31" s="17">
        <x:f>IF($A31="","",COUNTIF(RESULTADOS_GRID!$B:$B,$A31))</x:f>
      </x:c>
      <x:c r="F31" s="15">
        <x:f>IF($A31="","",SUMIF(RESULTADOS_GRID!$B:$B,$A31,RESULTADOS_GRID!$X:$X))</x:f>
      </x:c>
      <x:c r="G31" s="14" t="n"/>
      <x:c r="H31" s="18">
        <x:f>CONFIG_REFERENCIA!$E$7</x:f>
        <x:v>0.05</x:v>
      </x:c>
      <x:c r="I31" s="15">
        <x:f>IF($A31="","",$F31+N($G31)*$H31)</x:f>
      </x:c>
      <x:c r="J31" s="15">
        <x:f>IF($A31="","",IF((COUNTIFS(RESULTADOS_GRID!$B:$B,$A31,RESULTADOS_GRID!$Y:$Y,"&gt;=0")+COUNTIFS(RESULTADOS_GRID!$B:$B,$A31,RESULTADOS_GRID!$Y:$Y,"&lt;0"))=0,"",SUMIF(RESULTADOS_GRID!$B:$B,$A31,RESULTADOS_GRID!$Y:$Y)/(COUNTIFS(RESULTADOS_GRID!$B:$B,$A31,RESULTADOS_GRID!$Y:$Y,"&gt;=0")+COUNTIFS(RESULTADOS_GRID!$B:$B,$A31,RESULTADOS_GRID!$Y:$Y,"&lt;0"))))</x:f>
      </x:c>
      <x:c r="K31" s="15">
        <x:f>IF($A31="","",IF((COUNTIFS(RESULTADOS_GRID!$B:$B,$A31,RESULTADOS_GRID!$Z:$Z,"&gt;=0")+COUNTIFS(RESULTADOS_GRID!$B:$B,$A31,RESULTADOS_GRID!$Z:$Z,"&lt;0"))=0,"",SUMIF(RESULTADOS_GRID!$B:$B,$A31,RESULTADOS_GRID!$Z:$Z)/(COUNTIFS(RESULTADOS_GRID!$B:$B,$A31,RESULTADOS_GRID!$Z:$Z,"&gt;=0")+COUNTIFS(RESULTADOS_GRID!$B:$B,$A31,RESULTADOS_GRID!$Z:$Z,"&lt;0"))))</x:f>
      </x:c>
      <x:c r="L31" s="12">
        <x:f>IF($A31="","",IF((COUNTIFS(RESULTADOS_GRID!$B:$B,$A31,RESULTADOS_GRID!$AA:$AA,"&gt;=0")+COUNTIFS(RESULTADOS_GRID!$B:$B,$A31,RESULTADOS_GRID!$AA:$AA,"&lt;0"))=0,"",SUMIF(RESULTADOS_GRID!$B:$B,$A31,RESULTADOS_GRID!$AA:$AA)/(COUNTIFS(RESULTADOS_GRID!$B:$B,$A31,RESULTADOS_GRID!$AA:$AA,"&gt;=0")+COUNTIFS(RESULTADOS_GRID!$B:$B,$A31,RESULTADOS_GRID!$AA:$AA,"&lt;0"))))</x:f>
      </x:c>
      <x:c r="M31" s="12">
        <x:f>IF($A31="","",IF((COUNTIFS(RESULTADOS_GRID!$B:$B,$A31,RESULTADOS_GRID!$AB:$AB,"&gt;=0")+COUNTIFS(RESULTADOS_GRID!$B:$B,$A31,RESULTADOS_GRID!$AB:$AB,"&lt;0"))=0,"",SUMIF(RESULTADOS_GRID!$B:$B,$A31,RESULTADOS_GRID!$AB:$AB)/(COUNTIFS(RESULTADOS_GRID!$B:$B,$A31,RESULTADOS_GRID!$AB:$AB,"&gt;=0")+COUNTIFS(RESULTADOS_GRID!$B:$B,$A31,RESULTADOS_GRID!$AB:$AB,"&lt;0"))))</x:f>
      </x:c>
      <x:c r="N31" s="11" t="n"/>
      <x:c r="O31" s="17">
        <x:f>IF($I31="","",COUNTIFS($I$2:$I$101,"&lt;"&amp;$I31)+1)</x:f>
      </x:c>
      <x:c r="P31" s="11" t="n"/>
    </x:row>
    <x:row r="32">
      <x:c r="A32" s="11" t="inlineStr">
        <x:is>
          <x:t xml:space="preserve"/>
        </x:is>
      </x:c>
      <x:c r="B32" s="17">
        <x:f>IF($A32="","",IFERROR(INDEX(RESULTADOS_GRID!$C:$C,MATCH($A32,RESULTADOS_GRID!$B:$B,0)),""))</x:f>
      </x:c>
      <x:c r="C32" s="17">
        <x:f>IF($A32="","",IFERROR(INDEX(RESULTADOS_GRID!$E:$E,MATCH($A32,RESULTADOS_GRID!$B:$B,0)),""))</x:f>
      </x:c>
      <x:c r="D32" s="17">
        <x:f>IF($A32="","",IFERROR(INDEX(RESULTADOS_GRID!$D:$D,MATCH($A32,RESULTADOS_GRID!$B:$B,0)),""))</x:f>
      </x:c>
      <x:c r="E32" s="17">
        <x:f>IF($A32="","",COUNTIF(RESULTADOS_GRID!$B:$B,$A32))</x:f>
      </x:c>
      <x:c r="F32" s="15">
        <x:f>IF($A32="","",SUMIF(RESULTADOS_GRID!$B:$B,$A32,RESULTADOS_GRID!$X:$X))</x:f>
      </x:c>
      <x:c r="G32" s="14" t="n"/>
      <x:c r="H32" s="18">
        <x:f>CONFIG_REFERENCIA!$E$7</x:f>
        <x:v>0.05</x:v>
      </x:c>
      <x:c r="I32" s="15">
        <x:f>IF($A32="","",$F32+N($G32)*$H32)</x:f>
      </x:c>
      <x:c r="J32" s="15">
        <x:f>IF($A32="","",IF((COUNTIFS(RESULTADOS_GRID!$B:$B,$A32,RESULTADOS_GRID!$Y:$Y,"&gt;=0")+COUNTIFS(RESULTADOS_GRID!$B:$B,$A32,RESULTADOS_GRID!$Y:$Y,"&lt;0"))=0,"",SUMIF(RESULTADOS_GRID!$B:$B,$A32,RESULTADOS_GRID!$Y:$Y)/(COUNTIFS(RESULTADOS_GRID!$B:$B,$A32,RESULTADOS_GRID!$Y:$Y,"&gt;=0")+COUNTIFS(RESULTADOS_GRID!$B:$B,$A32,RESULTADOS_GRID!$Y:$Y,"&lt;0"))))</x:f>
      </x:c>
      <x:c r="K32" s="15">
        <x:f>IF($A32="","",IF((COUNTIFS(RESULTADOS_GRID!$B:$B,$A32,RESULTADOS_GRID!$Z:$Z,"&gt;=0")+COUNTIFS(RESULTADOS_GRID!$B:$B,$A32,RESULTADOS_GRID!$Z:$Z,"&lt;0"))=0,"",SUMIF(RESULTADOS_GRID!$B:$B,$A32,RESULTADOS_GRID!$Z:$Z)/(COUNTIFS(RESULTADOS_GRID!$B:$B,$A32,RESULTADOS_GRID!$Z:$Z,"&gt;=0")+COUNTIFS(RESULTADOS_GRID!$B:$B,$A32,RESULTADOS_GRID!$Z:$Z,"&lt;0"))))</x:f>
      </x:c>
      <x:c r="L32" s="12">
        <x:f>IF($A32="","",IF((COUNTIFS(RESULTADOS_GRID!$B:$B,$A32,RESULTADOS_GRID!$AA:$AA,"&gt;=0")+COUNTIFS(RESULTADOS_GRID!$B:$B,$A32,RESULTADOS_GRID!$AA:$AA,"&lt;0"))=0,"",SUMIF(RESULTADOS_GRID!$B:$B,$A32,RESULTADOS_GRID!$AA:$AA)/(COUNTIFS(RESULTADOS_GRID!$B:$B,$A32,RESULTADOS_GRID!$AA:$AA,"&gt;=0")+COUNTIFS(RESULTADOS_GRID!$B:$B,$A32,RESULTADOS_GRID!$AA:$AA,"&lt;0"))))</x:f>
      </x:c>
      <x:c r="M32" s="12">
        <x:f>IF($A32="","",IF((COUNTIFS(RESULTADOS_GRID!$B:$B,$A32,RESULTADOS_GRID!$AB:$AB,"&gt;=0")+COUNTIFS(RESULTADOS_GRID!$B:$B,$A32,RESULTADOS_GRID!$AB:$AB,"&lt;0"))=0,"",SUMIF(RESULTADOS_GRID!$B:$B,$A32,RESULTADOS_GRID!$AB:$AB)/(COUNTIFS(RESULTADOS_GRID!$B:$B,$A32,RESULTADOS_GRID!$AB:$AB,"&gt;=0")+COUNTIFS(RESULTADOS_GRID!$B:$B,$A32,RESULTADOS_GRID!$AB:$AB,"&lt;0"))))</x:f>
      </x:c>
      <x:c r="N32" s="11" t="n"/>
      <x:c r="O32" s="17">
        <x:f>IF($I32="","",COUNTIFS($I$2:$I$101,"&lt;"&amp;$I32)+1)</x:f>
      </x:c>
      <x:c r="P32" s="11" t="n"/>
    </x:row>
    <x:row r="33">
      <x:c r="A33" s="11" t="inlineStr">
        <x:is>
          <x:t xml:space="preserve"/>
        </x:is>
      </x:c>
      <x:c r="B33" s="17">
        <x:f>IF($A33="","",IFERROR(INDEX(RESULTADOS_GRID!$C:$C,MATCH($A33,RESULTADOS_GRID!$B:$B,0)),""))</x:f>
      </x:c>
      <x:c r="C33" s="17">
        <x:f>IF($A33="","",IFERROR(INDEX(RESULTADOS_GRID!$E:$E,MATCH($A33,RESULTADOS_GRID!$B:$B,0)),""))</x:f>
      </x:c>
      <x:c r="D33" s="17">
        <x:f>IF($A33="","",IFERROR(INDEX(RESULTADOS_GRID!$D:$D,MATCH($A33,RESULTADOS_GRID!$B:$B,0)),""))</x:f>
      </x:c>
      <x:c r="E33" s="17">
        <x:f>IF($A33="","",COUNTIF(RESULTADOS_GRID!$B:$B,$A33))</x:f>
      </x:c>
      <x:c r="F33" s="15">
        <x:f>IF($A33="","",SUMIF(RESULTADOS_GRID!$B:$B,$A33,RESULTADOS_GRID!$X:$X))</x:f>
      </x:c>
      <x:c r="G33" s="14" t="n"/>
      <x:c r="H33" s="18">
        <x:f>CONFIG_REFERENCIA!$E$7</x:f>
        <x:v>0.05</x:v>
      </x:c>
      <x:c r="I33" s="15">
        <x:f>IF($A33="","",$F33+N($G33)*$H33)</x:f>
      </x:c>
      <x:c r="J33" s="15">
        <x:f>IF($A33="","",IF((COUNTIFS(RESULTADOS_GRID!$B:$B,$A33,RESULTADOS_GRID!$Y:$Y,"&gt;=0")+COUNTIFS(RESULTADOS_GRID!$B:$B,$A33,RESULTADOS_GRID!$Y:$Y,"&lt;0"))=0,"",SUMIF(RESULTADOS_GRID!$B:$B,$A33,RESULTADOS_GRID!$Y:$Y)/(COUNTIFS(RESULTADOS_GRID!$B:$B,$A33,RESULTADOS_GRID!$Y:$Y,"&gt;=0")+COUNTIFS(RESULTADOS_GRID!$B:$B,$A33,RESULTADOS_GRID!$Y:$Y,"&lt;0"))))</x:f>
      </x:c>
      <x:c r="K33" s="15">
        <x:f>IF($A33="","",IF((COUNTIFS(RESULTADOS_GRID!$B:$B,$A33,RESULTADOS_GRID!$Z:$Z,"&gt;=0")+COUNTIFS(RESULTADOS_GRID!$B:$B,$A33,RESULTADOS_GRID!$Z:$Z,"&lt;0"))=0,"",SUMIF(RESULTADOS_GRID!$B:$B,$A33,RESULTADOS_GRID!$Z:$Z)/(COUNTIFS(RESULTADOS_GRID!$B:$B,$A33,RESULTADOS_GRID!$Z:$Z,"&gt;=0")+COUNTIFS(RESULTADOS_GRID!$B:$B,$A33,RESULTADOS_GRID!$Z:$Z,"&lt;0"))))</x:f>
      </x:c>
      <x:c r="L33" s="12">
        <x:f>IF($A33="","",IF((COUNTIFS(RESULTADOS_GRID!$B:$B,$A33,RESULTADOS_GRID!$AA:$AA,"&gt;=0")+COUNTIFS(RESULTADOS_GRID!$B:$B,$A33,RESULTADOS_GRID!$AA:$AA,"&lt;0"))=0,"",SUMIF(RESULTADOS_GRID!$B:$B,$A33,RESULTADOS_GRID!$AA:$AA)/(COUNTIFS(RESULTADOS_GRID!$B:$B,$A33,RESULTADOS_GRID!$AA:$AA,"&gt;=0")+COUNTIFS(RESULTADOS_GRID!$B:$B,$A33,RESULTADOS_GRID!$AA:$AA,"&lt;0"))))</x:f>
      </x:c>
      <x:c r="M33" s="12">
        <x:f>IF($A33="","",IF((COUNTIFS(RESULTADOS_GRID!$B:$B,$A33,RESULTADOS_GRID!$AB:$AB,"&gt;=0")+COUNTIFS(RESULTADOS_GRID!$B:$B,$A33,RESULTADOS_GRID!$AB:$AB,"&lt;0"))=0,"",SUMIF(RESULTADOS_GRID!$B:$B,$A33,RESULTADOS_GRID!$AB:$AB)/(COUNTIFS(RESULTADOS_GRID!$B:$B,$A33,RESULTADOS_GRID!$AB:$AB,"&gt;=0")+COUNTIFS(RESULTADOS_GRID!$B:$B,$A33,RESULTADOS_GRID!$AB:$AB,"&lt;0"))))</x:f>
      </x:c>
      <x:c r="N33" s="11" t="n"/>
      <x:c r="O33" s="17">
        <x:f>IF($I33="","",COUNTIFS($I$2:$I$101,"&lt;"&amp;$I33)+1)</x:f>
      </x:c>
      <x:c r="P33" s="11" t="n"/>
    </x:row>
    <x:row r="34">
      <x:c r="A34" s="11" t="inlineStr">
        <x:is>
          <x:t xml:space="preserve"/>
        </x:is>
      </x:c>
      <x:c r="B34" s="17">
        <x:f>IF($A34="","",IFERROR(INDEX(RESULTADOS_GRID!$C:$C,MATCH($A34,RESULTADOS_GRID!$B:$B,0)),""))</x:f>
      </x:c>
      <x:c r="C34" s="17">
        <x:f>IF($A34="","",IFERROR(INDEX(RESULTADOS_GRID!$E:$E,MATCH($A34,RESULTADOS_GRID!$B:$B,0)),""))</x:f>
      </x:c>
      <x:c r="D34" s="17">
        <x:f>IF($A34="","",IFERROR(INDEX(RESULTADOS_GRID!$D:$D,MATCH($A34,RESULTADOS_GRID!$B:$B,0)),""))</x:f>
      </x:c>
      <x:c r="E34" s="17">
        <x:f>IF($A34="","",COUNTIF(RESULTADOS_GRID!$B:$B,$A34))</x:f>
      </x:c>
      <x:c r="F34" s="15">
        <x:f>IF($A34="","",SUMIF(RESULTADOS_GRID!$B:$B,$A34,RESULTADOS_GRID!$X:$X))</x:f>
      </x:c>
      <x:c r="G34" s="14" t="n"/>
      <x:c r="H34" s="18">
        <x:f>CONFIG_REFERENCIA!$E$7</x:f>
        <x:v>0.05</x:v>
      </x:c>
      <x:c r="I34" s="15">
        <x:f>IF($A34="","",$F34+N($G34)*$H34)</x:f>
      </x:c>
      <x:c r="J34" s="15">
        <x:f>IF($A34="","",IF((COUNTIFS(RESULTADOS_GRID!$B:$B,$A34,RESULTADOS_GRID!$Y:$Y,"&gt;=0")+COUNTIFS(RESULTADOS_GRID!$B:$B,$A34,RESULTADOS_GRID!$Y:$Y,"&lt;0"))=0,"",SUMIF(RESULTADOS_GRID!$B:$B,$A34,RESULTADOS_GRID!$Y:$Y)/(COUNTIFS(RESULTADOS_GRID!$B:$B,$A34,RESULTADOS_GRID!$Y:$Y,"&gt;=0")+COUNTIFS(RESULTADOS_GRID!$B:$B,$A34,RESULTADOS_GRID!$Y:$Y,"&lt;0"))))</x:f>
      </x:c>
      <x:c r="K34" s="15">
        <x:f>IF($A34="","",IF((COUNTIFS(RESULTADOS_GRID!$B:$B,$A34,RESULTADOS_GRID!$Z:$Z,"&gt;=0")+COUNTIFS(RESULTADOS_GRID!$B:$B,$A34,RESULTADOS_GRID!$Z:$Z,"&lt;0"))=0,"",SUMIF(RESULTADOS_GRID!$B:$B,$A34,RESULTADOS_GRID!$Z:$Z)/(COUNTIFS(RESULTADOS_GRID!$B:$B,$A34,RESULTADOS_GRID!$Z:$Z,"&gt;=0")+COUNTIFS(RESULTADOS_GRID!$B:$B,$A34,RESULTADOS_GRID!$Z:$Z,"&lt;0"))))</x:f>
      </x:c>
      <x:c r="L34" s="12">
        <x:f>IF($A34="","",IF((COUNTIFS(RESULTADOS_GRID!$B:$B,$A34,RESULTADOS_GRID!$AA:$AA,"&gt;=0")+COUNTIFS(RESULTADOS_GRID!$B:$B,$A34,RESULTADOS_GRID!$AA:$AA,"&lt;0"))=0,"",SUMIF(RESULTADOS_GRID!$B:$B,$A34,RESULTADOS_GRID!$AA:$AA)/(COUNTIFS(RESULTADOS_GRID!$B:$B,$A34,RESULTADOS_GRID!$AA:$AA,"&gt;=0")+COUNTIFS(RESULTADOS_GRID!$B:$B,$A34,RESULTADOS_GRID!$AA:$AA,"&lt;0"))))</x:f>
      </x:c>
      <x:c r="M34" s="12">
        <x:f>IF($A34="","",IF((COUNTIFS(RESULTADOS_GRID!$B:$B,$A34,RESULTADOS_GRID!$AB:$AB,"&gt;=0")+COUNTIFS(RESULTADOS_GRID!$B:$B,$A34,RESULTADOS_GRID!$AB:$AB,"&lt;0"))=0,"",SUMIF(RESULTADOS_GRID!$B:$B,$A34,RESULTADOS_GRID!$AB:$AB)/(COUNTIFS(RESULTADOS_GRID!$B:$B,$A34,RESULTADOS_GRID!$AB:$AB,"&gt;=0")+COUNTIFS(RESULTADOS_GRID!$B:$B,$A34,RESULTADOS_GRID!$AB:$AB,"&lt;0"))))</x:f>
      </x:c>
      <x:c r="N34" s="11" t="n"/>
      <x:c r="O34" s="17">
        <x:f>IF($I34="","",COUNTIFS($I$2:$I$101,"&lt;"&amp;$I34)+1)</x:f>
      </x:c>
      <x:c r="P34" s="11" t="n"/>
    </x:row>
    <x:row r="35">
      <x:c r="A35" s="11" t="inlineStr">
        <x:is>
          <x:t xml:space="preserve"/>
        </x:is>
      </x:c>
      <x:c r="B35" s="17">
        <x:f>IF($A35="","",IFERROR(INDEX(RESULTADOS_GRID!$C:$C,MATCH($A35,RESULTADOS_GRID!$B:$B,0)),""))</x:f>
      </x:c>
      <x:c r="C35" s="17">
        <x:f>IF($A35="","",IFERROR(INDEX(RESULTADOS_GRID!$E:$E,MATCH($A35,RESULTADOS_GRID!$B:$B,0)),""))</x:f>
      </x:c>
      <x:c r="D35" s="17">
        <x:f>IF($A35="","",IFERROR(INDEX(RESULTADOS_GRID!$D:$D,MATCH($A35,RESULTADOS_GRID!$B:$B,0)),""))</x:f>
      </x:c>
      <x:c r="E35" s="17">
        <x:f>IF($A35="","",COUNTIF(RESULTADOS_GRID!$B:$B,$A35))</x:f>
      </x:c>
      <x:c r="F35" s="15">
        <x:f>IF($A35="","",SUMIF(RESULTADOS_GRID!$B:$B,$A35,RESULTADOS_GRID!$X:$X))</x:f>
      </x:c>
      <x:c r="G35" s="14" t="n"/>
      <x:c r="H35" s="18">
        <x:f>CONFIG_REFERENCIA!$E$7</x:f>
        <x:v>0.05</x:v>
      </x:c>
      <x:c r="I35" s="15">
        <x:f>IF($A35="","",$F35+N($G35)*$H35)</x:f>
      </x:c>
      <x:c r="J35" s="15">
        <x:f>IF($A35="","",IF((COUNTIFS(RESULTADOS_GRID!$B:$B,$A35,RESULTADOS_GRID!$Y:$Y,"&gt;=0")+COUNTIFS(RESULTADOS_GRID!$B:$B,$A35,RESULTADOS_GRID!$Y:$Y,"&lt;0"))=0,"",SUMIF(RESULTADOS_GRID!$B:$B,$A35,RESULTADOS_GRID!$Y:$Y)/(COUNTIFS(RESULTADOS_GRID!$B:$B,$A35,RESULTADOS_GRID!$Y:$Y,"&gt;=0")+COUNTIFS(RESULTADOS_GRID!$B:$B,$A35,RESULTADOS_GRID!$Y:$Y,"&lt;0"))))</x:f>
      </x:c>
      <x:c r="K35" s="15">
        <x:f>IF($A35="","",IF((COUNTIFS(RESULTADOS_GRID!$B:$B,$A35,RESULTADOS_GRID!$Z:$Z,"&gt;=0")+COUNTIFS(RESULTADOS_GRID!$B:$B,$A35,RESULTADOS_GRID!$Z:$Z,"&lt;0"))=0,"",SUMIF(RESULTADOS_GRID!$B:$B,$A35,RESULTADOS_GRID!$Z:$Z)/(COUNTIFS(RESULTADOS_GRID!$B:$B,$A35,RESULTADOS_GRID!$Z:$Z,"&gt;=0")+COUNTIFS(RESULTADOS_GRID!$B:$B,$A35,RESULTADOS_GRID!$Z:$Z,"&lt;0"))))</x:f>
      </x:c>
      <x:c r="L35" s="12">
        <x:f>IF($A35="","",IF((COUNTIFS(RESULTADOS_GRID!$B:$B,$A35,RESULTADOS_GRID!$AA:$AA,"&gt;=0")+COUNTIFS(RESULTADOS_GRID!$B:$B,$A35,RESULTADOS_GRID!$AA:$AA,"&lt;0"))=0,"",SUMIF(RESULTADOS_GRID!$B:$B,$A35,RESULTADOS_GRID!$AA:$AA)/(COUNTIFS(RESULTADOS_GRID!$B:$B,$A35,RESULTADOS_GRID!$AA:$AA,"&gt;=0")+COUNTIFS(RESULTADOS_GRID!$B:$B,$A35,RESULTADOS_GRID!$AA:$AA,"&lt;0"))))</x:f>
      </x:c>
      <x:c r="M35" s="12">
        <x:f>IF($A35="","",IF((COUNTIFS(RESULTADOS_GRID!$B:$B,$A35,RESULTADOS_GRID!$AB:$AB,"&gt;=0")+COUNTIFS(RESULTADOS_GRID!$B:$B,$A35,RESULTADOS_GRID!$AB:$AB,"&lt;0"))=0,"",SUMIF(RESULTADOS_GRID!$B:$B,$A35,RESULTADOS_GRID!$AB:$AB)/(COUNTIFS(RESULTADOS_GRID!$B:$B,$A35,RESULTADOS_GRID!$AB:$AB,"&gt;=0")+COUNTIFS(RESULTADOS_GRID!$B:$B,$A35,RESULTADOS_GRID!$AB:$AB,"&lt;0"))))</x:f>
      </x:c>
      <x:c r="N35" s="11" t="n"/>
      <x:c r="O35" s="17">
        <x:f>IF($I35="","",COUNTIFS($I$2:$I$101,"&lt;"&amp;$I35)+1)</x:f>
      </x:c>
      <x:c r="P35" s="11" t="n"/>
    </x:row>
    <x:row r="36">
      <x:c r="A36" s="11" t="inlineStr">
        <x:is>
          <x:t xml:space="preserve"/>
        </x:is>
      </x:c>
      <x:c r="B36" s="17">
        <x:f>IF($A36="","",IFERROR(INDEX(RESULTADOS_GRID!$C:$C,MATCH($A36,RESULTADOS_GRID!$B:$B,0)),""))</x:f>
      </x:c>
      <x:c r="C36" s="17">
        <x:f>IF($A36="","",IFERROR(INDEX(RESULTADOS_GRID!$E:$E,MATCH($A36,RESULTADOS_GRID!$B:$B,0)),""))</x:f>
      </x:c>
      <x:c r="D36" s="17">
        <x:f>IF($A36="","",IFERROR(INDEX(RESULTADOS_GRID!$D:$D,MATCH($A36,RESULTADOS_GRID!$B:$B,0)),""))</x:f>
      </x:c>
      <x:c r="E36" s="17">
        <x:f>IF($A36="","",COUNTIF(RESULTADOS_GRID!$B:$B,$A36))</x:f>
      </x:c>
      <x:c r="F36" s="15">
        <x:f>IF($A36="","",SUMIF(RESULTADOS_GRID!$B:$B,$A36,RESULTADOS_GRID!$X:$X))</x:f>
      </x:c>
      <x:c r="G36" s="14" t="n"/>
      <x:c r="H36" s="18">
        <x:f>CONFIG_REFERENCIA!$E$7</x:f>
        <x:v>0.05</x:v>
      </x:c>
      <x:c r="I36" s="15">
        <x:f>IF($A36="","",$F36+N($G36)*$H36)</x:f>
      </x:c>
      <x:c r="J36" s="15">
        <x:f>IF($A36="","",IF((COUNTIFS(RESULTADOS_GRID!$B:$B,$A36,RESULTADOS_GRID!$Y:$Y,"&gt;=0")+COUNTIFS(RESULTADOS_GRID!$B:$B,$A36,RESULTADOS_GRID!$Y:$Y,"&lt;0"))=0,"",SUMIF(RESULTADOS_GRID!$B:$B,$A36,RESULTADOS_GRID!$Y:$Y)/(COUNTIFS(RESULTADOS_GRID!$B:$B,$A36,RESULTADOS_GRID!$Y:$Y,"&gt;=0")+COUNTIFS(RESULTADOS_GRID!$B:$B,$A36,RESULTADOS_GRID!$Y:$Y,"&lt;0"))))</x:f>
      </x:c>
      <x:c r="K36" s="15">
        <x:f>IF($A36="","",IF((COUNTIFS(RESULTADOS_GRID!$B:$B,$A36,RESULTADOS_GRID!$Z:$Z,"&gt;=0")+COUNTIFS(RESULTADOS_GRID!$B:$B,$A36,RESULTADOS_GRID!$Z:$Z,"&lt;0"))=0,"",SUMIF(RESULTADOS_GRID!$B:$B,$A36,RESULTADOS_GRID!$Z:$Z)/(COUNTIFS(RESULTADOS_GRID!$B:$B,$A36,RESULTADOS_GRID!$Z:$Z,"&gt;=0")+COUNTIFS(RESULTADOS_GRID!$B:$B,$A36,RESULTADOS_GRID!$Z:$Z,"&lt;0"))))</x:f>
      </x:c>
      <x:c r="L36" s="12">
        <x:f>IF($A36="","",IF((COUNTIFS(RESULTADOS_GRID!$B:$B,$A36,RESULTADOS_GRID!$AA:$AA,"&gt;=0")+COUNTIFS(RESULTADOS_GRID!$B:$B,$A36,RESULTADOS_GRID!$AA:$AA,"&lt;0"))=0,"",SUMIF(RESULTADOS_GRID!$B:$B,$A36,RESULTADOS_GRID!$AA:$AA)/(COUNTIFS(RESULTADOS_GRID!$B:$B,$A36,RESULTADOS_GRID!$AA:$AA,"&gt;=0")+COUNTIFS(RESULTADOS_GRID!$B:$B,$A36,RESULTADOS_GRID!$AA:$AA,"&lt;0"))))</x:f>
      </x:c>
      <x:c r="M36" s="12">
        <x:f>IF($A36="","",IF((COUNTIFS(RESULTADOS_GRID!$B:$B,$A36,RESULTADOS_GRID!$AB:$AB,"&gt;=0")+COUNTIFS(RESULTADOS_GRID!$B:$B,$A36,RESULTADOS_GRID!$AB:$AB,"&lt;0"))=0,"",SUMIF(RESULTADOS_GRID!$B:$B,$A36,RESULTADOS_GRID!$AB:$AB)/(COUNTIFS(RESULTADOS_GRID!$B:$B,$A36,RESULTADOS_GRID!$AB:$AB,"&gt;=0")+COUNTIFS(RESULTADOS_GRID!$B:$B,$A36,RESULTADOS_GRID!$AB:$AB,"&lt;0"))))</x:f>
      </x:c>
      <x:c r="N36" s="11" t="n"/>
      <x:c r="O36" s="17">
        <x:f>IF($I36="","",COUNTIFS($I$2:$I$101,"&lt;"&amp;$I36)+1)</x:f>
      </x:c>
      <x:c r="P36" s="11" t="n"/>
    </x:row>
    <x:row r="37">
      <x:c r="A37" s="11" t="inlineStr">
        <x:is>
          <x:t xml:space="preserve"/>
        </x:is>
      </x:c>
      <x:c r="B37" s="17">
        <x:f>IF($A37="","",IFERROR(INDEX(RESULTADOS_GRID!$C:$C,MATCH($A37,RESULTADOS_GRID!$B:$B,0)),""))</x:f>
      </x:c>
      <x:c r="C37" s="17">
        <x:f>IF($A37="","",IFERROR(INDEX(RESULTADOS_GRID!$E:$E,MATCH($A37,RESULTADOS_GRID!$B:$B,0)),""))</x:f>
      </x:c>
      <x:c r="D37" s="17">
        <x:f>IF($A37="","",IFERROR(INDEX(RESULTADOS_GRID!$D:$D,MATCH($A37,RESULTADOS_GRID!$B:$B,0)),""))</x:f>
      </x:c>
      <x:c r="E37" s="17">
        <x:f>IF($A37="","",COUNTIF(RESULTADOS_GRID!$B:$B,$A37))</x:f>
      </x:c>
      <x:c r="F37" s="15">
        <x:f>IF($A37="","",SUMIF(RESULTADOS_GRID!$B:$B,$A37,RESULTADOS_GRID!$X:$X))</x:f>
      </x:c>
      <x:c r="G37" s="14" t="n"/>
      <x:c r="H37" s="18">
        <x:f>CONFIG_REFERENCIA!$E$7</x:f>
        <x:v>0.05</x:v>
      </x:c>
      <x:c r="I37" s="15">
        <x:f>IF($A37="","",$F37+N($G37)*$H37)</x:f>
      </x:c>
      <x:c r="J37" s="15">
        <x:f>IF($A37="","",IF((COUNTIFS(RESULTADOS_GRID!$B:$B,$A37,RESULTADOS_GRID!$Y:$Y,"&gt;=0")+COUNTIFS(RESULTADOS_GRID!$B:$B,$A37,RESULTADOS_GRID!$Y:$Y,"&lt;0"))=0,"",SUMIF(RESULTADOS_GRID!$B:$B,$A37,RESULTADOS_GRID!$Y:$Y)/(COUNTIFS(RESULTADOS_GRID!$B:$B,$A37,RESULTADOS_GRID!$Y:$Y,"&gt;=0")+COUNTIFS(RESULTADOS_GRID!$B:$B,$A37,RESULTADOS_GRID!$Y:$Y,"&lt;0"))))</x:f>
      </x:c>
      <x:c r="K37" s="15">
        <x:f>IF($A37="","",IF((COUNTIFS(RESULTADOS_GRID!$B:$B,$A37,RESULTADOS_GRID!$Z:$Z,"&gt;=0")+COUNTIFS(RESULTADOS_GRID!$B:$B,$A37,RESULTADOS_GRID!$Z:$Z,"&lt;0"))=0,"",SUMIF(RESULTADOS_GRID!$B:$B,$A37,RESULTADOS_GRID!$Z:$Z)/(COUNTIFS(RESULTADOS_GRID!$B:$B,$A37,RESULTADOS_GRID!$Z:$Z,"&gt;=0")+COUNTIFS(RESULTADOS_GRID!$B:$B,$A37,RESULTADOS_GRID!$Z:$Z,"&lt;0"))))</x:f>
      </x:c>
      <x:c r="L37" s="12">
        <x:f>IF($A37="","",IF((COUNTIFS(RESULTADOS_GRID!$B:$B,$A37,RESULTADOS_GRID!$AA:$AA,"&gt;=0")+COUNTIFS(RESULTADOS_GRID!$B:$B,$A37,RESULTADOS_GRID!$AA:$AA,"&lt;0"))=0,"",SUMIF(RESULTADOS_GRID!$B:$B,$A37,RESULTADOS_GRID!$AA:$AA)/(COUNTIFS(RESULTADOS_GRID!$B:$B,$A37,RESULTADOS_GRID!$AA:$AA,"&gt;=0")+COUNTIFS(RESULTADOS_GRID!$B:$B,$A37,RESULTADOS_GRID!$AA:$AA,"&lt;0"))))</x:f>
      </x:c>
      <x:c r="M37" s="12">
        <x:f>IF($A37="","",IF((COUNTIFS(RESULTADOS_GRID!$B:$B,$A37,RESULTADOS_GRID!$AB:$AB,"&gt;=0")+COUNTIFS(RESULTADOS_GRID!$B:$B,$A37,RESULTADOS_GRID!$AB:$AB,"&lt;0"))=0,"",SUMIF(RESULTADOS_GRID!$B:$B,$A37,RESULTADOS_GRID!$AB:$AB)/(COUNTIFS(RESULTADOS_GRID!$B:$B,$A37,RESULTADOS_GRID!$AB:$AB,"&gt;=0")+COUNTIFS(RESULTADOS_GRID!$B:$B,$A37,RESULTADOS_GRID!$AB:$AB,"&lt;0"))))</x:f>
      </x:c>
      <x:c r="N37" s="11" t="n"/>
      <x:c r="O37" s="17">
        <x:f>IF($I37="","",COUNTIFS($I$2:$I$101,"&lt;"&amp;$I37)+1)</x:f>
      </x:c>
      <x:c r="P37" s="11" t="n"/>
    </x:row>
    <x:row r="38">
      <x:c r="A38" s="11" t="inlineStr">
        <x:is>
          <x:t xml:space="preserve"/>
        </x:is>
      </x:c>
      <x:c r="B38" s="17">
        <x:f>IF($A38="","",IFERROR(INDEX(RESULTADOS_GRID!$C:$C,MATCH($A38,RESULTADOS_GRID!$B:$B,0)),""))</x:f>
      </x:c>
      <x:c r="C38" s="17">
        <x:f>IF($A38="","",IFERROR(INDEX(RESULTADOS_GRID!$E:$E,MATCH($A38,RESULTADOS_GRID!$B:$B,0)),""))</x:f>
      </x:c>
      <x:c r="D38" s="17">
        <x:f>IF($A38="","",IFERROR(INDEX(RESULTADOS_GRID!$D:$D,MATCH($A38,RESULTADOS_GRID!$B:$B,0)),""))</x:f>
      </x:c>
      <x:c r="E38" s="17">
        <x:f>IF($A38="","",COUNTIF(RESULTADOS_GRID!$B:$B,$A38))</x:f>
      </x:c>
      <x:c r="F38" s="15">
        <x:f>IF($A38="","",SUMIF(RESULTADOS_GRID!$B:$B,$A38,RESULTADOS_GRID!$X:$X))</x:f>
      </x:c>
      <x:c r="G38" s="14" t="n"/>
      <x:c r="H38" s="18">
        <x:f>CONFIG_REFERENCIA!$E$7</x:f>
        <x:v>0.05</x:v>
      </x:c>
      <x:c r="I38" s="15">
        <x:f>IF($A38="","",$F38+N($G38)*$H38)</x:f>
      </x:c>
      <x:c r="J38" s="15">
        <x:f>IF($A38="","",IF((COUNTIFS(RESULTADOS_GRID!$B:$B,$A38,RESULTADOS_GRID!$Y:$Y,"&gt;=0")+COUNTIFS(RESULTADOS_GRID!$B:$B,$A38,RESULTADOS_GRID!$Y:$Y,"&lt;0"))=0,"",SUMIF(RESULTADOS_GRID!$B:$B,$A38,RESULTADOS_GRID!$Y:$Y)/(COUNTIFS(RESULTADOS_GRID!$B:$B,$A38,RESULTADOS_GRID!$Y:$Y,"&gt;=0")+COUNTIFS(RESULTADOS_GRID!$B:$B,$A38,RESULTADOS_GRID!$Y:$Y,"&lt;0"))))</x:f>
      </x:c>
      <x:c r="K38" s="15">
        <x:f>IF($A38="","",IF((COUNTIFS(RESULTADOS_GRID!$B:$B,$A38,RESULTADOS_GRID!$Z:$Z,"&gt;=0")+COUNTIFS(RESULTADOS_GRID!$B:$B,$A38,RESULTADOS_GRID!$Z:$Z,"&lt;0"))=0,"",SUMIF(RESULTADOS_GRID!$B:$B,$A38,RESULTADOS_GRID!$Z:$Z)/(COUNTIFS(RESULTADOS_GRID!$B:$B,$A38,RESULTADOS_GRID!$Z:$Z,"&gt;=0")+COUNTIFS(RESULTADOS_GRID!$B:$B,$A38,RESULTADOS_GRID!$Z:$Z,"&lt;0"))))</x:f>
      </x:c>
      <x:c r="L38" s="12">
        <x:f>IF($A38="","",IF((COUNTIFS(RESULTADOS_GRID!$B:$B,$A38,RESULTADOS_GRID!$AA:$AA,"&gt;=0")+COUNTIFS(RESULTADOS_GRID!$B:$B,$A38,RESULTADOS_GRID!$AA:$AA,"&lt;0"))=0,"",SUMIF(RESULTADOS_GRID!$B:$B,$A38,RESULTADOS_GRID!$AA:$AA)/(COUNTIFS(RESULTADOS_GRID!$B:$B,$A38,RESULTADOS_GRID!$AA:$AA,"&gt;=0")+COUNTIFS(RESULTADOS_GRID!$B:$B,$A38,RESULTADOS_GRID!$AA:$AA,"&lt;0"))))</x:f>
      </x:c>
      <x:c r="M38" s="12">
        <x:f>IF($A38="","",IF((COUNTIFS(RESULTADOS_GRID!$B:$B,$A38,RESULTADOS_GRID!$AB:$AB,"&gt;=0")+COUNTIFS(RESULTADOS_GRID!$B:$B,$A38,RESULTADOS_GRID!$AB:$AB,"&lt;0"))=0,"",SUMIF(RESULTADOS_GRID!$B:$B,$A38,RESULTADOS_GRID!$AB:$AB)/(COUNTIFS(RESULTADOS_GRID!$B:$B,$A38,RESULTADOS_GRID!$AB:$AB,"&gt;=0")+COUNTIFS(RESULTADOS_GRID!$B:$B,$A38,RESULTADOS_GRID!$AB:$AB,"&lt;0"))))</x:f>
      </x:c>
      <x:c r="N38" s="11" t="n"/>
      <x:c r="O38" s="17">
        <x:f>IF($I38="","",COUNTIFS($I$2:$I$101,"&lt;"&amp;$I38)+1)</x:f>
      </x:c>
      <x:c r="P38" s="11" t="n"/>
    </x:row>
    <x:row r="39">
      <x:c r="A39" s="11" t="inlineStr">
        <x:is>
          <x:t xml:space="preserve"/>
        </x:is>
      </x:c>
      <x:c r="B39" s="17">
        <x:f>IF($A39="","",IFERROR(INDEX(RESULTADOS_GRID!$C:$C,MATCH($A39,RESULTADOS_GRID!$B:$B,0)),""))</x:f>
      </x:c>
      <x:c r="C39" s="17">
        <x:f>IF($A39="","",IFERROR(INDEX(RESULTADOS_GRID!$E:$E,MATCH($A39,RESULTADOS_GRID!$B:$B,0)),""))</x:f>
      </x:c>
      <x:c r="D39" s="17">
        <x:f>IF($A39="","",IFERROR(INDEX(RESULTADOS_GRID!$D:$D,MATCH($A39,RESULTADOS_GRID!$B:$B,0)),""))</x:f>
      </x:c>
      <x:c r="E39" s="17">
        <x:f>IF($A39="","",COUNTIF(RESULTADOS_GRID!$B:$B,$A39))</x:f>
      </x:c>
      <x:c r="F39" s="15">
        <x:f>IF($A39="","",SUMIF(RESULTADOS_GRID!$B:$B,$A39,RESULTADOS_GRID!$X:$X))</x:f>
      </x:c>
      <x:c r="G39" s="14" t="n"/>
      <x:c r="H39" s="18">
        <x:f>CONFIG_REFERENCIA!$E$7</x:f>
        <x:v>0.05</x:v>
      </x:c>
      <x:c r="I39" s="15">
        <x:f>IF($A39="","",$F39+N($G39)*$H39)</x:f>
      </x:c>
      <x:c r="J39" s="15">
        <x:f>IF($A39="","",IF((COUNTIFS(RESULTADOS_GRID!$B:$B,$A39,RESULTADOS_GRID!$Y:$Y,"&gt;=0")+COUNTIFS(RESULTADOS_GRID!$B:$B,$A39,RESULTADOS_GRID!$Y:$Y,"&lt;0"))=0,"",SUMIF(RESULTADOS_GRID!$B:$B,$A39,RESULTADOS_GRID!$Y:$Y)/(COUNTIFS(RESULTADOS_GRID!$B:$B,$A39,RESULTADOS_GRID!$Y:$Y,"&gt;=0")+COUNTIFS(RESULTADOS_GRID!$B:$B,$A39,RESULTADOS_GRID!$Y:$Y,"&lt;0"))))</x:f>
      </x:c>
      <x:c r="K39" s="15">
        <x:f>IF($A39="","",IF((COUNTIFS(RESULTADOS_GRID!$B:$B,$A39,RESULTADOS_GRID!$Z:$Z,"&gt;=0")+COUNTIFS(RESULTADOS_GRID!$B:$B,$A39,RESULTADOS_GRID!$Z:$Z,"&lt;0"))=0,"",SUMIF(RESULTADOS_GRID!$B:$B,$A39,RESULTADOS_GRID!$Z:$Z)/(COUNTIFS(RESULTADOS_GRID!$B:$B,$A39,RESULTADOS_GRID!$Z:$Z,"&gt;=0")+COUNTIFS(RESULTADOS_GRID!$B:$B,$A39,RESULTADOS_GRID!$Z:$Z,"&lt;0"))))</x:f>
      </x:c>
      <x:c r="L39" s="12">
        <x:f>IF($A39="","",IF((COUNTIFS(RESULTADOS_GRID!$B:$B,$A39,RESULTADOS_GRID!$AA:$AA,"&gt;=0")+COUNTIFS(RESULTADOS_GRID!$B:$B,$A39,RESULTADOS_GRID!$AA:$AA,"&lt;0"))=0,"",SUMIF(RESULTADOS_GRID!$B:$B,$A39,RESULTADOS_GRID!$AA:$AA)/(COUNTIFS(RESULTADOS_GRID!$B:$B,$A39,RESULTADOS_GRID!$AA:$AA,"&gt;=0")+COUNTIFS(RESULTADOS_GRID!$B:$B,$A39,RESULTADOS_GRID!$AA:$AA,"&lt;0"))))</x:f>
      </x:c>
      <x:c r="M39" s="12">
        <x:f>IF($A39="","",IF((COUNTIFS(RESULTADOS_GRID!$B:$B,$A39,RESULTADOS_GRID!$AB:$AB,"&gt;=0")+COUNTIFS(RESULTADOS_GRID!$B:$B,$A39,RESULTADOS_GRID!$AB:$AB,"&lt;0"))=0,"",SUMIF(RESULTADOS_GRID!$B:$B,$A39,RESULTADOS_GRID!$AB:$AB)/(COUNTIFS(RESULTADOS_GRID!$B:$B,$A39,RESULTADOS_GRID!$AB:$AB,"&gt;=0")+COUNTIFS(RESULTADOS_GRID!$B:$B,$A39,RESULTADOS_GRID!$AB:$AB,"&lt;0"))))</x:f>
      </x:c>
      <x:c r="N39" s="11" t="n"/>
      <x:c r="O39" s="17">
        <x:f>IF($I39="","",COUNTIFS($I$2:$I$101,"&lt;"&amp;$I39)+1)</x:f>
      </x:c>
      <x:c r="P39" s="11" t="n"/>
    </x:row>
    <x:row r="40">
      <x:c r="A40" s="11" t="inlineStr">
        <x:is>
          <x:t xml:space="preserve"/>
        </x:is>
      </x:c>
      <x:c r="B40" s="17">
        <x:f>IF($A40="","",IFERROR(INDEX(RESULTADOS_GRID!$C:$C,MATCH($A40,RESULTADOS_GRID!$B:$B,0)),""))</x:f>
      </x:c>
      <x:c r="C40" s="17">
        <x:f>IF($A40="","",IFERROR(INDEX(RESULTADOS_GRID!$E:$E,MATCH($A40,RESULTADOS_GRID!$B:$B,0)),""))</x:f>
      </x:c>
      <x:c r="D40" s="17">
        <x:f>IF($A40="","",IFERROR(INDEX(RESULTADOS_GRID!$D:$D,MATCH($A40,RESULTADOS_GRID!$B:$B,0)),""))</x:f>
      </x:c>
      <x:c r="E40" s="17">
        <x:f>IF($A40="","",COUNTIF(RESULTADOS_GRID!$B:$B,$A40))</x:f>
      </x:c>
      <x:c r="F40" s="15">
        <x:f>IF($A40="","",SUMIF(RESULTADOS_GRID!$B:$B,$A40,RESULTADOS_GRID!$X:$X))</x:f>
      </x:c>
      <x:c r="G40" s="14" t="n"/>
      <x:c r="H40" s="18">
        <x:f>CONFIG_REFERENCIA!$E$7</x:f>
        <x:v>0.05</x:v>
      </x:c>
      <x:c r="I40" s="15">
        <x:f>IF($A40="","",$F40+N($G40)*$H40)</x:f>
      </x:c>
      <x:c r="J40" s="15">
        <x:f>IF($A40="","",IF((COUNTIFS(RESULTADOS_GRID!$B:$B,$A40,RESULTADOS_GRID!$Y:$Y,"&gt;=0")+COUNTIFS(RESULTADOS_GRID!$B:$B,$A40,RESULTADOS_GRID!$Y:$Y,"&lt;0"))=0,"",SUMIF(RESULTADOS_GRID!$B:$B,$A40,RESULTADOS_GRID!$Y:$Y)/(COUNTIFS(RESULTADOS_GRID!$B:$B,$A40,RESULTADOS_GRID!$Y:$Y,"&gt;=0")+COUNTIFS(RESULTADOS_GRID!$B:$B,$A40,RESULTADOS_GRID!$Y:$Y,"&lt;0"))))</x:f>
      </x:c>
      <x:c r="K40" s="15">
        <x:f>IF($A40="","",IF((COUNTIFS(RESULTADOS_GRID!$B:$B,$A40,RESULTADOS_GRID!$Z:$Z,"&gt;=0")+COUNTIFS(RESULTADOS_GRID!$B:$B,$A40,RESULTADOS_GRID!$Z:$Z,"&lt;0"))=0,"",SUMIF(RESULTADOS_GRID!$B:$B,$A40,RESULTADOS_GRID!$Z:$Z)/(COUNTIFS(RESULTADOS_GRID!$B:$B,$A40,RESULTADOS_GRID!$Z:$Z,"&gt;=0")+COUNTIFS(RESULTADOS_GRID!$B:$B,$A40,RESULTADOS_GRID!$Z:$Z,"&lt;0"))))</x:f>
      </x:c>
      <x:c r="L40" s="12">
        <x:f>IF($A40="","",IF((COUNTIFS(RESULTADOS_GRID!$B:$B,$A40,RESULTADOS_GRID!$AA:$AA,"&gt;=0")+COUNTIFS(RESULTADOS_GRID!$B:$B,$A40,RESULTADOS_GRID!$AA:$AA,"&lt;0"))=0,"",SUMIF(RESULTADOS_GRID!$B:$B,$A40,RESULTADOS_GRID!$AA:$AA)/(COUNTIFS(RESULTADOS_GRID!$B:$B,$A40,RESULTADOS_GRID!$AA:$AA,"&gt;=0")+COUNTIFS(RESULTADOS_GRID!$B:$B,$A40,RESULTADOS_GRID!$AA:$AA,"&lt;0"))))</x:f>
      </x:c>
      <x:c r="M40" s="12">
        <x:f>IF($A40="","",IF((COUNTIFS(RESULTADOS_GRID!$B:$B,$A40,RESULTADOS_GRID!$AB:$AB,"&gt;=0")+COUNTIFS(RESULTADOS_GRID!$B:$B,$A40,RESULTADOS_GRID!$AB:$AB,"&lt;0"))=0,"",SUMIF(RESULTADOS_GRID!$B:$B,$A40,RESULTADOS_GRID!$AB:$AB)/(COUNTIFS(RESULTADOS_GRID!$B:$B,$A40,RESULTADOS_GRID!$AB:$AB,"&gt;=0")+COUNTIFS(RESULTADOS_GRID!$B:$B,$A40,RESULTADOS_GRID!$AB:$AB,"&lt;0"))))</x:f>
      </x:c>
      <x:c r="N40" s="11" t="n"/>
      <x:c r="O40" s="17">
        <x:f>IF($I40="","",COUNTIFS($I$2:$I$101,"&lt;"&amp;$I40)+1)</x:f>
      </x:c>
      <x:c r="P40" s="11" t="n"/>
    </x:row>
    <x:row r="41">
      <x:c r="A41" s="11" t="inlineStr">
        <x:is>
          <x:t xml:space="preserve"/>
        </x:is>
      </x:c>
      <x:c r="B41" s="17">
        <x:f>IF($A41="","",IFERROR(INDEX(RESULTADOS_GRID!$C:$C,MATCH($A41,RESULTADOS_GRID!$B:$B,0)),""))</x:f>
      </x:c>
      <x:c r="C41" s="17">
        <x:f>IF($A41="","",IFERROR(INDEX(RESULTADOS_GRID!$E:$E,MATCH($A41,RESULTADOS_GRID!$B:$B,0)),""))</x:f>
      </x:c>
      <x:c r="D41" s="17">
        <x:f>IF($A41="","",IFERROR(INDEX(RESULTADOS_GRID!$D:$D,MATCH($A41,RESULTADOS_GRID!$B:$B,0)),""))</x:f>
      </x:c>
      <x:c r="E41" s="17">
        <x:f>IF($A41="","",COUNTIF(RESULTADOS_GRID!$B:$B,$A41))</x:f>
      </x:c>
      <x:c r="F41" s="15">
        <x:f>IF($A41="","",SUMIF(RESULTADOS_GRID!$B:$B,$A41,RESULTADOS_GRID!$X:$X))</x:f>
      </x:c>
      <x:c r="G41" s="14" t="n"/>
      <x:c r="H41" s="18">
        <x:f>CONFIG_REFERENCIA!$E$7</x:f>
        <x:v>0.05</x:v>
      </x:c>
      <x:c r="I41" s="15">
        <x:f>IF($A41="","",$F41+N($G41)*$H41)</x:f>
      </x:c>
      <x:c r="J41" s="15">
        <x:f>IF($A41="","",IF((COUNTIFS(RESULTADOS_GRID!$B:$B,$A41,RESULTADOS_GRID!$Y:$Y,"&gt;=0")+COUNTIFS(RESULTADOS_GRID!$B:$B,$A41,RESULTADOS_GRID!$Y:$Y,"&lt;0"))=0,"",SUMIF(RESULTADOS_GRID!$B:$B,$A41,RESULTADOS_GRID!$Y:$Y)/(COUNTIFS(RESULTADOS_GRID!$B:$B,$A41,RESULTADOS_GRID!$Y:$Y,"&gt;=0")+COUNTIFS(RESULTADOS_GRID!$B:$B,$A41,RESULTADOS_GRID!$Y:$Y,"&lt;0"))))</x:f>
      </x:c>
      <x:c r="K41" s="15">
        <x:f>IF($A41="","",IF((COUNTIFS(RESULTADOS_GRID!$B:$B,$A41,RESULTADOS_GRID!$Z:$Z,"&gt;=0")+COUNTIFS(RESULTADOS_GRID!$B:$B,$A41,RESULTADOS_GRID!$Z:$Z,"&lt;0"))=0,"",SUMIF(RESULTADOS_GRID!$B:$B,$A41,RESULTADOS_GRID!$Z:$Z)/(COUNTIFS(RESULTADOS_GRID!$B:$B,$A41,RESULTADOS_GRID!$Z:$Z,"&gt;=0")+COUNTIFS(RESULTADOS_GRID!$B:$B,$A41,RESULTADOS_GRID!$Z:$Z,"&lt;0"))))</x:f>
      </x:c>
      <x:c r="L41" s="12">
        <x:f>IF($A41="","",IF((COUNTIFS(RESULTADOS_GRID!$B:$B,$A41,RESULTADOS_GRID!$AA:$AA,"&gt;=0")+COUNTIFS(RESULTADOS_GRID!$B:$B,$A41,RESULTADOS_GRID!$AA:$AA,"&lt;0"))=0,"",SUMIF(RESULTADOS_GRID!$B:$B,$A41,RESULTADOS_GRID!$AA:$AA)/(COUNTIFS(RESULTADOS_GRID!$B:$B,$A41,RESULTADOS_GRID!$AA:$AA,"&gt;=0")+COUNTIFS(RESULTADOS_GRID!$B:$B,$A41,RESULTADOS_GRID!$AA:$AA,"&lt;0"))))</x:f>
      </x:c>
      <x:c r="M41" s="12">
        <x:f>IF($A41="","",IF((COUNTIFS(RESULTADOS_GRID!$B:$B,$A41,RESULTADOS_GRID!$AB:$AB,"&gt;=0")+COUNTIFS(RESULTADOS_GRID!$B:$B,$A41,RESULTADOS_GRID!$AB:$AB,"&lt;0"))=0,"",SUMIF(RESULTADOS_GRID!$B:$B,$A41,RESULTADOS_GRID!$AB:$AB)/(COUNTIFS(RESULTADOS_GRID!$B:$B,$A41,RESULTADOS_GRID!$AB:$AB,"&gt;=0")+COUNTIFS(RESULTADOS_GRID!$B:$B,$A41,RESULTADOS_GRID!$AB:$AB,"&lt;0"))))</x:f>
      </x:c>
      <x:c r="N41" s="11" t="n"/>
      <x:c r="O41" s="17">
        <x:f>IF($I41="","",COUNTIFS($I$2:$I$101,"&lt;"&amp;$I41)+1)</x:f>
      </x:c>
      <x:c r="P41" s="11" t="n"/>
    </x:row>
    <x:row r="42">
      <x:c r="A42" s="11" t="inlineStr">
        <x:is>
          <x:t xml:space="preserve"/>
        </x:is>
      </x:c>
      <x:c r="B42" s="17">
        <x:f>IF($A42="","",IFERROR(INDEX(RESULTADOS_GRID!$C:$C,MATCH($A42,RESULTADOS_GRID!$B:$B,0)),""))</x:f>
      </x:c>
      <x:c r="C42" s="17">
        <x:f>IF($A42="","",IFERROR(INDEX(RESULTADOS_GRID!$E:$E,MATCH($A42,RESULTADOS_GRID!$B:$B,0)),""))</x:f>
      </x:c>
      <x:c r="D42" s="17">
        <x:f>IF($A42="","",IFERROR(INDEX(RESULTADOS_GRID!$D:$D,MATCH($A42,RESULTADOS_GRID!$B:$B,0)),""))</x:f>
      </x:c>
      <x:c r="E42" s="17">
        <x:f>IF($A42="","",COUNTIF(RESULTADOS_GRID!$B:$B,$A42))</x:f>
      </x:c>
      <x:c r="F42" s="15">
        <x:f>IF($A42="","",SUMIF(RESULTADOS_GRID!$B:$B,$A42,RESULTADOS_GRID!$X:$X))</x:f>
      </x:c>
      <x:c r="G42" s="14" t="n"/>
      <x:c r="H42" s="18">
        <x:f>CONFIG_REFERENCIA!$E$7</x:f>
        <x:v>0.05</x:v>
      </x:c>
      <x:c r="I42" s="15">
        <x:f>IF($A42="","",$F42+N($G42)*$H42)</x:f>
      </x:c>
      <x:c r="J42" s="15">
        <x:f>IF($A42="","",IF((COUNTIFS(RESULTADOS_GRID!$B:$B,$A42,RESULTADOS_GRID!$Y:$Y,"&gt;=0")+COUNTIFS(RESULTADOS_GRID!$B:$B,$A42,RESULTADOS_GRID!$Y:$Y,"&lt;0"))=0,"",SUMIF(RESULTADOS_GRID!$B:$B,$A42,RESULTADOS_GRID!$Y:$Y)/(COUNTIFS(RESULTADOS_GRID!$B:$B,$A42,RESULTADOS_GRID!$Y:$Y,"&gt;=0")+COUNTIFS(RESULTADOS_GRID!$B:$B,$A42,RESULTADOS_GRID!$Y:$Y,"&lt;0"))))</x:f>
      </x:c>
      <x:c r="K42" s="15">
        <x:f>IF($A42="","",IF((COUNTIFS(RESULTADOS_GRID!$B:$B,$A42,RESULTADOS_GRID!$Z:$Z,"&gt;=0")+COUNTIFS(RESULTADOS_GRID!$B:$B,$A42,RESULTADOS_GRID!$Z:$Z,"&lt;0"))=0,"",SUMIF(RESULTADOS_GRID!$B:$B,$A42,RESULTADOS_GRID!$Z:$Z)/(COUNTIFS(RESULTADOS_GRID!$B:$B,$A42,RESULTADOS_GRID!$Z:$Z,"&gt;=0")+COUNTIFS(RESULTADOS_GRID!$B:$B,$A42,RESULTADOS_GRID!$Z:$Z,"&lt;0"))))</x:f>
      </x:c>
      <x:c r="L42" s="12">
        <x:f>IF($A42="","",IF((COUNTIFS(RESULTADOS_GRID!$B:$B,$A42,RESULTADOS_GRID!$AA:$AA,"&gt;=0")+COUNTIFS(RESULTADOS_GRID!$B:$B,$A42,RESULTADOS_GRID!$AA:$AA,"&lt;0"))=0,"",SUMIF(RESULTADOS_GRID!$B:$B,$A42,RESULTADOS_GRID!$AA:$AA)/(COUNTIFS(RESULTADOS_GRID!$B:$B,$A42,RESULTADOS_GRID!$AA:$AA,"&gt;=0")+COUNTIFS(RESULTADOS_GRID!$B:$B,$A42,RESULTADOS_GRID!$AA:$AA,"&lt;0"))))</x:f>
      </x:c>
      <x:c r="M42" s="12">
        <x:f>IF($A42="","",IF((COUNTIFS(RESULTADOS_GRID!$B:$B,$A42,RESULTADOS_GRID!$AB:$AB,"&gt;=0")+COUNTIFS(RESULTADOS_GRID!$B:$B,$A42,RESULTADOS_GRID!$AB:$AB,"&lt;0"))=0,"",SUMIF(RESULTADOS_GRID!$B:$B,$A42,RESULTADOS_GRID!$AB:$AB)/(COUNTIFS(RESULTADOS_GRID!$B:$B,$A42,RESULTADOS_GRID!$AB:$AB,"&gt;=0")+COUNTIFS(RESULTADOS_GRID!$B:$B,$A42,RESULTADOS_GRID!$AB:$AB,"&lt;0"))))</x:f>
      </x:c>
      <x:c r="N42" s="11" t="n"/>
      <x:c r="O42" s="17">
        <x:f>IF($I42="","",COUNTIFS($I$2:$I$101,"&lt;"&amp;$I42)+1)</x:f>
      </x:c>
      <x:c r="P42" s="11" t="n"/>
    </x:row>
    <x:row r="43">
      <x:c r="A43" s="11" t="inlineStr">
        <x:is>
          <x:t xml:space="preserve"/>
        </x:is>
      </x:c>
      <x:c r="B43" s="17">
        <x:f>IF($A43="","",IFERROR(INDEX(RESULTADOS_GRID!$C:$C,MATCH($A43,RESULTADOS_GRID!$B:$B,0)),""))</x:f>
      </x:c>
      <x:c r="C43" s="17">
        <x:f>IF($A43="","",IFERROR(INDEX(RESULTADOS_GRID!$E:$E,MATCH($A43,RESULTADOS_GRID!$B:$B,0)),""))</x:f>
      </x:c>
      <x:c r="D43" s="17">
        <x:f>IF($A43="","",IFERROR(INDEX(RESULTADOS_GRID!$D:$D,MATCH($A43,RESULTADOS_GRID!$B:$B,0)),""))</x:f>
      </x:c>
      <x:c r="E43" s="17">
        <x:f>IF($A43="","",COUNTIF(RESULTADOS_GRID!$B:$B,$A43))</x:f>
      </x:c>
      <x:c r="F43" s="15">
        <x:f>IF($A43="","",SUMIF(RESULTADOS_GRID!$B:$B,$A43,RESULTADOS_GRID!$X:$X))</x:f>
      </x:c>
      <x:c r="G43" s="14" t="n"/>
      <x:c r="H43" s="18">
        <x:f>CONFIG_REFERENCIA!$E$7</x:f>
        <x:v>0.05</x:v>
      </x:c>
      <x:c r="I43" s="15">
        <x:f>IF($A43="","",$F43+N($G43)*$H43)</x:f>
      </x:c>
      <x:c r="J43" s="15">
        <x:f>IF($A43="","",IF((COUNTIFS(RESULTADOS_GRID!$B:$B,$A43,RESULTADOS_GRID!$Y:$Y,"&gt;=0")+COUNTIFS(RESULTADOS_GRID!$B:$B,$A43,RESULTADOS_GRID!$Y:$Y,"&lt;0"))=0,"",SUMIF(RESULTADOS_GRID!$B:$B,$A43,RESULTADOS_GRID!$Y:$Y)/(COUNTIFS(RESULTADOS_GRID!$B:$B,$A43,RESULTADOS_GRID!$Y:$Y,"&gt;=0")+COUNTIFS(RESULTADOS_GRID!$B:$B,$A43,RESULTADOS_GRID!$Y:$Y,"&lt;0"))))</x:f>
      </x:c>
      <x:c r="K43" s="15">
        <x:f>IF($A43="","",IF((COUNTIFS(RESULTADOS_GRID!$B:$B,$A43,RESULTADOS_GRID!$Z:$Z,"&gt;=0")+COUNTIFS(RESULTADOS_GRID!$B:$B,$A43,RESULTADOS_GRID!$Z:$Z,"&lt;0"))=0,"",SUMIF(RESULTADOS_GRID!$B:$B,$A43,RESULTADOS_GRID!$Z:$Z)/(COUNTIFS(RESULTADOS_GRID!$B:$B,$A43,RESULTADOS_GRID!$Z:$Z,"&gt;=0")+COUNTIFS(RESULTADOS_GRID!$B:$B,$A43,RESULTADOS_GRID!$Z:$Z,"&lt;0"))))</x:f>
      </x:c>
      <x:c r="L43" s="12">
        <x:f>IF($A43="","",IF((COUNTIFS(RESULTADOS_GRID!$B:$B,$A43,RESULTADOS_GRID!$AA:$AA,"&gt;=0")+COUNTIFS(RESULTADOS_GRID!$B:$B,$A43,RESULTADOS_GRID!$AA:$AA,"&lt;0"))=0,"",SUMIF(RESULTADOS_GRID!$B:$B,$A43,RESULTADOS_GRID!$AA:$AA)/(COUNTIFS(RESULTADOS_GRID!$B:$B,$A43,RESULTADOS_GRID!$AA:$AA,"&gt;=0")+COUNTIFS(RESULTADOS_GRID!$B:$B,$A43,RESULTADOS_GRID!$AA:$AA,"&lt;0"))))</x:f>
      </x:c>
      <x:c r="M43" s="12">
        <x:f>IF($A43="","",IF((COUNTIFS(RESULTADOS_GRID!$B:$B,$A43,RESULTADOS_GRID!$AB:$AB,"&gt;=0")+COUNTIFS(RESULTADOS_GRID!$B:$B,$A43,RESULTADOS_GRID!$AB:$AB,"&lt;0"))=0,"",SUMIF(RESULTADOS_GRID!$B:$B,$A43,RESULTADOS_GRID!$AB:$AB)/(COUNTIFS(RESULTADOS_GRID!$B:$B,$A43,RESULTADOS_GRID!$AB:$AB,"&gt;=0")+COUNTIFS(RESULTADOS_GRID!$B:$B,$A43,RESULTADOS_GRID!$AB:$AB,"&lt;0"))))</x:f>
      </x:c>
      <x:c r="N43" s="11" t="n"/>
      <x:c r="O43" s="17">
        <x:f>IF($I43="","",COUNTIFS($I$2:$I$101,"&lt;"&amp;$I43)+1)</x:f>
      </x:c>
      <x:c r="P43" s="11" t="n"/>
    </x:row>
    <x:row r="44">
      <x:c r="A44" s="11" t="inlineStr">
        <x:is>
          <x:t xml:space="preserve"/>
        </x:is>
      </x:c>
      <x:c r="B44" s="17">
        <x:f>IF($A44="","",IFERROR(INDEX(RESULTADOS_GRID!$C:$C,MATCH($A44,RESULTADOS_GRID!$B:$B,0)),""))</x:f>
      </x:c>
      <x:c r="C44" s="17">
        <x:f>IF($A44="","",IFERROR(INDEX(RESULTADOS_GRID!$E:$E,MATCH($A44,RESULTADOS_GRID!$B:$B,0)),""))</x:f>
      </x:c>
      <x:c r="D44" s="17">
        <x:f>IF($A44="","",IFERROR(INDEX(RESULTADOS_GRID!$D:$D,MATCH($A44,RESULTADOS_GRID!$B:$B,0)),""))</x:f>
      </x:c>
      <x:c r="E44" s="17">
        <x:f>IF($A44="","",COUNTIF(RESULTADOS_GRID!$B:$B,$A44))</x:f>
      </x:c>
      <x:c r="F44" s="15">
        <x:f>IF($A44="","",SUMIF(RESULTADOS_GRID!$B:$B,$A44,RESULTADOS_GRID!$X:$X))</x:f>
      </x:c>
      <x:c r="G44" s="14" t="n"/>
      <x:c r="H44" s="18">
        <x:f>CONFIG_REFERENCIA!$E$7</x:f>
        <x:v>0.05</x:v>
      </x:c>
      <x:c r="I44" s="15">
        <x:f>IF($A44="","",$F44+N($G44)*$H44)</x:f>
      </x:c>
      <x:c r="J44" s="15">
        <x:f>IF($A44="","",IF((COUNTIFS(RESULTADOS_GRID!$B:$B,$A44,RESULTADOS_GRID!$Y:$Y,"&gt;=0")+COUNTIFS(RESULTADOS_GRID!$B:$B,$A44,RESULTADOS_GRID!$Y:$Y,"&lt;0"))=0,"",SUMIF(RESULTADOS_GRID!$B:$B,$A44,RESULTADOS_GRID!$Y:$Y)/(COUNTIFS(RESULTADOS_GRID!$B:$B,$A44,RESULTADOS_GRID!$Y:$Y,"&gt;=0")+COUNTIFS(RESULTADOS_GRID!$B:$B,$A44,RESULTADOS_GRID!$Y:$Y,"&lt;0"))))</x:f>
      </x:c>
      <x:c r="K44" s="15">
        <x:f>IF($A44="","",IF((COUNTIFS(RESULTADOS_GRID!$B:$B,$A44,RESULTADOS_GRID!$Z:$Z,"&gt;=0")+COUNTIFS(RESULTADOS_GRID!$B:$B,$A44,RESULTADOS_GRID!$Z:$Z,"&lt;0"))=0,"",SUMIF(RESULTADOS_GRID!$B:$B,$A44,RESULTADOS_GRID!$Z:$Z)/(COUNTIFS(RESULTADOS_GRID!$B:$B,$A44,RESULTADOS_GRID!$Z:$Z,"&gt;=0")+COUNTIFS(RESULTADOS_GRID!$B:$B,$A44,RESULTADOS_GRID!$Z:$Z,"&lt;0"))))</x:f>
      </x:c>
      <x:c r="L44" s="12">
        <x:f>IF($A44="","",IF((COUNTIFS(RESULTADOS_GRID!$B:$B,$A44,RESULTADOS_GRID!$AA:$AA,"&gt;=0")+COUNTIFS(RESULTADOS_GRID!$B:$B,$A44,RESULTADOS_GRID!$AA:$AA,"&lt;0"))=0,"",SUMIF(RESULTADOS_GRID!$B:$B,$A44,RESULTADOS_GRID!$AA:$AA)/(COUNTIFS(RESULTADOS_GRID!$B:$B,$A44,RESULTADOS_GRID!$AA:$AA,"&gt;=0")+COUNTIFS(RESULTADOS_GRID!$B:$B,$A44,RESULTADOS_GRID!$AA:$AA,"&lt;0"))))</x:f>
      </x:c>
      <x:c r="M44" s="12">
        <x:f>IF($A44="","",IF((COUNTIFS(RESULTADOS_GRID!$B:$B,$A44,RESULTADOS_GRID!$AB:$AB,"&gt;=0")+COUNTIFS(RESULTADOS_GRID!$B:$B,$A44,RESULTADOS_GRID!$AB:$AB,"&lt;0"))=0,"",SUMIF(RESULTADOS_GRID!$B:$B,$A44,RESULTADOS_GRID!$AB:$AB)/(COUNTIFS(RESULTADOS_GRID!$B:$B,$A44,RESULTADOS_GRID!$AB:$AB,"&gt;=0")+COUNTIFS(RESULTADOS_GRID!$B:$B,$A44,RESULTADOS_GRID!$AB:$AB,"&lt;0"))))</x:f>
      </x:c>
      <x:c r="N44" s="11" t="n"/>
      <x:c r="O44" s="17">
        <x:f>IF($I44="","",COUNTIFS($I$2:$I$101,"&lt;"&amp;$I44)+1)</x:f>
      </x:c>
      <x:c r="P44" s="11" t="n"/>
    </x:row>
    <x:row r="45">
      <x:c r="A45" s="11" t="inlineStr">
        <x:is>
          <x:t xml:space="preserve"/>
        </x:is>
      </x:c>
      <x:c r="B45" s="17">
        <x:f>IF($A45="","",IFERROR(INDEX(RESULTADOS_GRID!$C:$C,MATCH($A45,RESULTADOS_GRID!$B:$B,0)),""))</x:f>
      </x:c>
      <x:c r="C45" s="17">
        <x:f>IF($A45="","",IFERROR(INDEX(RESULTADOS_GRID!$E:$E,MATCH($A45,RESULTADOS_GRID!$B:$B,0)),""))</x:f>
      </x:c>
      <x:c r="D45" s="17">
        <x:f>IF($A45="","",IFERROR(INDEX(RESULTADOS_GRID!$D:$D,MATCH($A45,RESULTADOS_GRID!$B:$B,0)),""))</x:f>
      </x:c>
      <x:c r="E45" s="17">
        <x:f>IF($A45="","",COUNTIF(RESULTADOS_GRID!$B:$B,$A45))</x:f>
      </x:c>
      <x:c r="F45" s="15">
        <x:f>IF($A45="","",SUMIF(RESULTADOS_GRID!$B:$B,$A45,RESULTADOS_GRID!$X:$X))</x:f>
      </x:c>
      <x:c r="G45" s="14" t="n"/>
      <x:c r="H45" s="18">
        <x:f>CONFIG_REFERENCIA!$E$7</x:f>
        <x:v>0.05</x:v>
      </x:c>
      <x:c r="I45" s="15">
        <x:f>IF($A45="","",$F45+N($G45)*$H45)</x:f>
      </x:c>
      <x:c r="J45" s="15">
        <x:f>IF($A45="","",IF((COUNTIFS(RESULTADOS_GRID!$B:$B,$A45,RESULTADOS_GRID!$Y:$Y,"&gt;=0")+COUNTIFS(RESULTADOS_GRID!$B:$B,$A45,RESULTADOS_GRID!$Y:$Y,"&lt;0"))=0,"",SUMIF(RESULTADOS_GRID!$B:$B,$A45,RESULTADOS_GRID!$Y:$Y)/(COUNTIFS(RESULTADOS_GRID!$B:$B,$A45,RESULTADOS_GRID!$Y:$Y,"&gt;=0")+COUNTIFS(RESULTADOS_GRID!$B:$B,$A45,RESULTADOS_GRID!$Y:$Y,"&lt;0"))))</x:f>
      </x:c>
      <x:c r="K45" s="15">
        <x:f>IF($A45="","",IF((COUNTIFS(RESULTADOS_GRID!$B:$B,$A45,RESULTADOS_GRID!$Z:$Z,"&gt;=0")+COUNTIFS(RESULTADOS_GRID!$B:$B,$A45,RESULTADOS_GRID!$Z:$Z,"&lt;0"))=0,"",SUMIF(RESULTADOS_GRID!$B:$B,$A45,RESULTADOS_GRID!$Z:$Z)/(COUNTIFS(RESULTADOS_GRID!$B:$B,$A45,RESULTADOS_GRID!$Z:$Z,"&gt;=0")+COUNTIFS(RESULTADOS_GRID!$B:$B,$A45,RESULTADOS_GRID!$Z:$Z,"&lt;0"))))</x:f>
      </x:c>
      <x:c r="L45" s="12">
        <x:f>IF($A45="","",IF((COUNTIFS(RESULTADOS_GRID!$B:$B,$A45,RESULTADOS_GRID!$AA:$AA,"&gt;=0")+COUNTIFS(RESULTADOS_GRID!$B:$B,$A45,RESULTADOS_GRID!$AA:$AA,"&lt;0"))=0,"",SUMIF(RESULTADOS_GRID!$B:$B,$A45,RESULTADOS_GRID!$AA:$AA)/(COUNTIFS(RESULTADOS_GRID!$B:$B,$A45,RESULTADOS_GRID!$AA:$AA,"&gt;=0")+COUNTIFS(RESULTADOS_GRID!$B:$B,$A45,RESULTADOS_GRID!$AA:$AA,"&lt;0"))))</x:f>
      </x:c>
      <x:c r="M45" s="12">
        <x:f>IF($A45="","",IF((COUNTIFS(RESULTADOS_GRID!$B:$B,$A45,RESULTADOS_GRID!$AB:$AB,"&gt;=0")+COUNTIFS(RESULTADOS_GRID!$B:$B,$A45,RESULTADOS_GRID!$AB:$AB,"&lt;0"))=0,"",SUMIF(RESULTADOS_GRID!$B:$B,$A45,RESULTADOS_GRID!$AB:$AB)/(COUNTIFS(RESULTADOS_GRID!$B:$B,$A45,RESULTADOS_GRID!$AB:$AB,"&gt;=0")+COUNTIFS(RESULTADOS_GRID!$B:$B,$A45,RESULTADOS_GRID!$AB:$AB,"&lt;0"))))</x:f>
      </x:c>
      <x:c r="N45" s="11" t="n"/>
      <x:c r="O45" s="17">
        <x:f>IF($I45="","",COUNTIFS($I$2:$I$101,"&lt;"&amp;$I45)+1)</x:f>
      </x:c>
      <x:c r="P45" s="11" t="n"/>
    </x:row>
    <x:row r="46">
      <x:c r="A46" s="11" t="inlineStr">
        <x:is>
          <x:t xml:space="preserve"/>
        </x:is>
      </x:c>
      <x:c r="B46" s="17">
        <x:f>IF($A46="","",IFERROR(INDEX(RESULTADOS_GRID!$C:$C,MATCH($A46,RESULTADOS_GRID!$B:$B,0)),""))</x:f>
      </x:c>
      <x:c r="C46" s="17">
        <x:f>IF($A46="","",IFERROR(INDEX(RESULTADOS_GRID!$E:$E,MATCH($A46,RESULTADOS_GRID!$B:$B,0)),""))</x:f>
      </x:c>
      <x:c r="D46" s="17">
        <x:f>IF($A46="","",IFERROR(INDEX(RESULTADOS_GRID!$D:$D,MATCH($A46,RESULTADOS_GRID!$B:$B,0)),""))</x:f>
      </x:c>
      <x:c r="E46" s="17">
        <x:f>IF($A46="","",COUNTIF(RESULTADOS_GRID!$B:$B,$A46))</x:f>
      </x:c>
      <x:c r="F46" s="15">
        <x:f>IF($A46="","",SUMIF(RESULTADOS_GRID!$B:$B,$A46,RESULTADOS_GRID!$X:$X))</x:f>
      </x:c>
      <x:c r="G46" s="14" t="n"/>
      <x:c r="H46" s="18">
        <x:f>CONFIG_REFERENCIA!$E$7</x:f>
        <x:v>0.05</x:v>
      </x:c>
      <x:c r="I46" s="15">
        <x:f>IF($A46="","",$F46+N($G46)*$H46)</x:f>
      </x:c>
      <x:c r="J46" s="15">
        <x:f>IF($A46="","",IF((COUNTIFS(RESULTADOS_GRID!$B:$B,$A46,RESULTADOS_GRID!$Y:$Y,"&gt;=0")+COUNTIFS(RESULTADOS_GRID!$B:$B,$A46,RESULTADOS_GRID!$Y:$Y,"&lt;0"))=0,"",SUMIF(RESULTADOS_GRID!$B:$B,$A46,RESULTADOS_GRID!$Y:$Y)/(COUNTIFS(RESULTADOS_GRID!$B:$B,$A46,RESULTADOS_GRID!$Y:$Y,"&gt;=0")+COUNTIFS(RESULTADOS_GRID!$B:$B,$A46,RESULTADOS_GRID!$Y:$Y,"&lt;0"))))</x:f>
      </x:c>
      <x:c r="K46" s="15">
        <x:f>IF($A46="","",IF((COUNTIFS(RESULTADOS_GRID!$B:$B,$A46,RESULTADOS_GRID!$Z:$Z,"&gt;=0")+COUNTIFS(RESULTADOS_GRID!$B:$B,$A46,RESULTADOS_GRID!$Z:$Z,"&lt;0"))=0,"",SUMIF(RESULTADOS_GRID!$B:$B,$A46,RESULTADOS_GRID!$Z:$Z)/(COUNTIFS(RESULTADOS_GRID!$B:$B,$A46,RESULTADOS_GRID!$Z:$Z,"&gt;=0")+COUNTIFS(RESULTADOS_GRID!$B:$B,$A46,RESULTADOS_GRID!$Z:$Z,"&lt;0"))))</x:f>
      </x:c>
      <x:c r="L46" s="12">
        <x:f>IF($A46="","",IF((COUNTIFS(RESULTADOS_GRID!$B:$B,$A46,RESULTADOS_GRID!$AA:$AA,"&gt;=0")+COUNTIFS(RESULTADOS_GRID!$B:$B,$A46,RESULTADOS_GRID!$AA:$AA,"&lt;0"))=0,"",SUMIF(RESULTADOS_GRID!$B:$B,$A46,RESULTADOS_GRID!$AA:$AA)/(COUNTIFS(RESULTADOS_GRID!$B:$B,$A46,RESULTADOS_GRID!$AA:$AA,"&gt;=0")+COUNTIFS(RESULTADOS_GRID!$B:$B,$A46,RESULTADOS_GRID!$AA:$AA,"&lt;0"))))</x:f>
      </x:c>
      <x:c r="M46" s="12">
        <x:f>IF($A46="","",IF((COUNTIFS(RESULTADOS_GRID!$B:$B,$A46,RESULTADOS_GRID!$AB:$AB,"&gt;=0")+COUNTIFS(RESULTADOS_GRID!$B:$B,$A46,RESULTADOS_GRID!$AB:$AB,"&lt;0"))=0,"",SUMIF(RESULTADOS_GRID!$B:$B,$A46,RESULTADOS_GRID!$AB:$AB)/(COUNTIFS(RESULTADOS_GRID!$B:$B,$A46,RESULTADOS_GRID!$AB:$AB,"&gt;=0")+COUNTIFS(RESULTADOS_GRID!$B:$B,$A46,RESULTADOS_GRID!$AB:$AB,"&lt;0"))))</x:f>
      </x:c>
      <x:c r="N46" s="11" t="n"/>
      <x:c r="O46" s="17">
        <x:f>IF($I46="","",COUNTIFS($I$2:$I$101,"&lt;"&amp;$I46)+1)</x:f>
      </x:c>
      <x:c r="P46" s="11" t="n"/>
    </x:row>
    <x:row r="47">
      <x:c r="A47" s="11" t="inlineStr">
        <x:is>
          <x:t xml:space="preserve"/>
        </x:is>
      </x:c>
      <x:c r="B47" s="17">
        <x:f>IF($A47="","",IFERROR(INDEX(RESULTADOS_GRID!$C:$C,MATCH($A47,RESULTADOS_GRID!$B:$B,0)),""))</x:f>
      </x:c>
      <x:c r="C47" s="17">
        <x:f>IF($A47="","",IFERROR(INDEX(RESULTADOS_GRID!$E:$E,MATCH($A47,RESULTADOS_GRID!$B:$B,0)),""))</x:f>
      </x:c>
      <x:c r="D47" s="17">
        <x:f>IF($A47="","",IFERROR(INDEX(RESULTADOS_GRID!$D:$D,MATCH($A47,RESULTADOS_GRID!$B:$B,0)),""))</x:f>
      </x:c>
      <x:c r="E47" s="17">
        <x:f>IF($A47="","",COUNTIF(RESULTADOS_GRID!$B:$B,$A47))</x:f>
      </x:c>
      <x:c r="F47" s="15">
        <x:f>IF($A47="","",SUMIF(RESULTADOS_GRID!$B:$B,$A47,RESULTADOS_GRID!$X:$X))</x:f>
      </x:c>
      <x:c r="G47" s="14" t="n"/>
      <x:c r="H47" s="18">
        <x:f>CONFIG_REFERENCIA!$E$7</x:f>
        <x:v>0.05</x:v>
      </x:c>
      <x:c r="I47" s="15">
        <x:f>IF($A47="","",$F47+N($G47)*$H47)</x:f>
      </x:c>
      <x:c r="J47" s="15">
        <x:f>IF($A47="","",IF((COUNTIFS(RESULTADOS_GRID!$B:$B,$A47,RESULTADOS_GRID!$Y:$Y,"&gt;=0")+COUNTIFS(RESULTADOS_GRID!$B:$B,$A47,RESULTADOS_GRID!$Y:$Y,"&lt;0"))=0,"",SUMIF(RESULTADOS_GRID!$B:$B,$A47,RESULTADOS_GRID!$Y:$Y)/(COUNTIFS(RESULTADOS_GRID!$B:$B,$A47,RESULTADOS_GRID!$Y:$Y,"&gt;=0")+COUNTIFS(RESULTADOS_GRID!$B:$B,$A47,RESULTADOS_GRID!$Y:$Y,"&lt;0"))))</x:f>
      </x:c>
      <x:c r="K47" s="15">
        <x:f>IF($A47="","",IF((COUNTIFS(RESULTADOS_GRID!$B:$B,$A47,RESULTADOS_GRID!$Z:$Z,"&gt;=0")+COUNTIFS(RESULTADOS_GRID!$B:$B,$A47,RESULTADOS_GRID!$Z:$Z,"&lt;0"))=0,"",SUMIF(RESULTADOS_GRID!$B:$B,$A47,RESULTADOS_GRID!$Z:$Z)/(COUNTIFS(RESULTADOS_GRID!$B:$B,$A47,RESULTADOS_GRID!$Z:$Z,"&gt;=0")+COUNTIFS(RESULTADOS_GRID!$B:$B,$A47,RESULTADOS_GRID!$Z:$Z,"&lt;0"))))</x:f>
      </x:c>
      <x:c r="L47" s="12">
        <x:f>IF($A47="","",IF((COUNTIFS(RESULTADOS_GRID!$B:$B,$A47,RESULTADOS_GRID!$AA:$AA,"&gt;=0")+COUNTIFS(RESULTADOS_GRID!$B:$B,$A47,RESULTADOS_GRID!$AA:$AA,"&lt;0"))=0,"",SUMIF(RESULTADOS_GRID!$B:$B,$A47,RESULTADOS_GRID!$AA:$AA)/(COUNTIFS(RESULTADOS_GRID!$B:$B,$A47,RESULTADOS_GRID!$AA:$AA,"&gt;=0")+COUNTIFS(RESULTADOS_GRID!$B:$B,$A47,RESULTADOS_GRID!$AA:$AA,"&lt;0"))))</x:f>
      </x:c>
      <x:c r="M47" s="12">
        <x:f>IF($A47="","",IF((COUNTIFS(RESULTADOS_GRID!$B:$B,$A47,RESULTADOS_GRID!$AB:$AB,"&gt;=0")+COUNTIFS(RESULTADOS_GRID!$B:$B,$A47,RESULTADOS_GRID!$AB:$AB,"&lt;0"))=0,"",SUMIF(RESULTADOS_GRID!$B:$B,$A47,RESULTADOS_GRID!$AB:$AB)/(COUNTIFS(RESULTADOS_GRID!$B:$B,$A47,RESULTADOS_GRID!$AB:$AB,"&gt;=0")+COUNTIFS(RESULTADOS_GRID!$B:$B,$A47,RESULTADOS_GRID!$AB:$AB,"&lt;0"))))</x:f>
      </x:c>
      <x:c r="N47" s="11" t="n"/>
      <x:c r="O47" s="17">
        <x:f>IF($I47="","",COUNTIFS($I$2:$I$101,"&lt;"&amp;$I47)+1)</x:f>
      </x:c>
      <x:c r="P47" s="11" t="n"/>
    </x:row>
    <x:row r="48">
      <x:c r="A48" s="11" t="inlineStr">
        <x:is>
          <x:t xml:space="preserve"/>
        </x:is>
      </x:c>
      <x:c r="B48" s="17">
        <x:f>IF($A48="","",IFERROR(INDEX(RESULTADOS_GRID!$C:$C,MATCH($A48,RESULTADOS_GRID!$B:$B,0)),""))</x:f>
      </x:c>
      <x:c r="C48" s="17">
        <x:f>IF($A48="","",IFERROR(INDEX(RESULTADOS_GRID!$E:$E,MATCH($A48,RESULTADOS_GRID!$B:$B,0)),""))</x:f>
      </x:c>
      <x:c r="D48" s="17">
        <x:f>IF($A48="","",IFERROR(INDEX(RESULTADOS_GRID!$D:$D,MATCH($A48,RESULTADOS_GRID!$B:$B,0)),""))</x:f>
      </x:c>
      <x:c r="E48" s="17">
        <x:f>IF($A48="","",COUNTIF(RESULTADOS_GRID!$B:$B,$A48))</x:f>
      </x:c>
      <x:c r="F48" s="15">
        <x:f>IF($A48="","",SUMIF(RESULTADOS_GRID!$B:$B,$A48,RESULTADOS_GRID!$X:$X))</x:f>
      </x:c>
      <x:c r="G48" s="14" t="n"/>
      <x:c r="H48" s="18">
        <x:f>CONFIG_REFERENCIA!$E$7</x:f>
        <x:v>0.05</x:v>
      </x:c>
      <x:c r="I48" s="15">
        <x:f>IF($A48="","",$F48+N($G48)*$H48)</x:f>
      </x:c>
      <x:c r="J48" s="15">
        <x:f>IF($A48="","",IF((COUNTIFS(RESULTADOS_GRID!$B:$B,$A48,RESULTADOS_GRID!$Y:$Y,"&gt;=0")+COUNTIFS(RESULTADOS_GRID!$B:$B,$A48,RESULTADOS_GRID!$Y:$Y,"&lt;0"))=0,"",SUMIF(RESULTADOS_GRID!$B:$B,$A48,RESULTADOS_GRID!$Y:$Y)/(COUNTIFS(RESULTADOS_GRID!$B:$B,$A48,RESULTADOS_GRID!$Y:$Y,"&gt;=0")+COUNTIFS(RESULTADOS_GRID!$B:$B,$A48,RESULTADOS_GRID!$Y:$Y,"&lt;0"))))</x:f>
      </x:c>
      <x:c r="K48" s="15">
        <x:f>IF($A48="","",IF((COUNTIFS(RESULTADOS_GRID!$B:$B,$A48,RESULTADOS_GRID!$Z:$Z,"&gt;=0")+COUNTIFS(RESULTADOS_GRID!$B:$B,$A48,RESULTADOS_GRID!$Z:$Z,"&lt;0"))=0,"",SUMIF(RESULTADOS_GRID!$B:$B,$A48,RESULTADOS_GRID!$Z:$Z)/(COUNTIFS(RESULTADOS_GRID!$B:$B,$A48,RESULTADOS_GRID!$Z:$Z,"&gt;=0")+COUNTIFS(RESULTADOS_GRID!$B:$B,$A48,RESULTADOS_GRID!$Z:$Z,"&lt;0"))))</x:f>
      </x:c>
      <x:c r="L48" s="12">
        <x:f>IF($A48="","",IF((COUNTIFS(RESULTADOS_GRID!$B:$B,$A48,RESULTADOS_GRID!$AA:$AA,"&gt;=0")+COUNTIFS(RESULTADOS_GRID!$B:$B,$A48,RESULTADOS_GRID!$AA:$AA,"&lt;0"))=0,"",SUMIF(RESULTADOS_GRID!$B:$B,$A48,RESULTADOS_GRID!$AA:$AA)/(COUNTIFS(RESULTADOS_GRID!$B:$B,$A48,RESULTADOS_GRID!$AA:$AA,"&gt;=0")+COUNTIFS(RESULTADOS_GRID!$B:$B,$A48,RESULTADOS_GRID!$AA:$AA,"&lt;0"))))</x:f>
      </x:c>
      <x:c r="M48" s="12">
        <x:f>IF($A48="","",IF((COUNTIFS(RESULTADOS_GRID!$B:$B,$A48,RESULTADOS_GRID!$AB:$AB,"&gt;=0")+COUNTIFS(RESULTADOS_GRID!$B:$B,$A48,RESULTADOS_GRID!$AB:$AB,"&lt;0"))=0,"",SUMIF(RESULTADOS_GRID!$B:$B,$A48,RESULTADOS_GRID!$AB:$AB)/(COUNTIFS(RESULTADOS_GRID!$B:$B,$A48,RESULTADOS_GRID!$AB:$AB,"&gt;=0")+COUNTIFS(RESULTADOS_GRID!$B:$B,$A48,RESULTADOS_GRID!$AB:$AB,"&lt;0"))))</x:f>
      </x:c>
      <x:c r="N48" s="11" t="n"/>
      <x:c r="O48" s="17">
        <x:f>IF($I48="","",COUNTIFS($I$2:$I$101,"&lt;"&amp;$I48)+1)</x:f>
      </x:c>
      <x:c r="P48" s="11" t="n"/>
    </x:row>
    <x:row r="49">
      <x:c r="A49" s="11" t="inlineStr">
        <x:is>
          <x:t xml:space="preserve"/>
        </x:is>
      </x:c>
      <x:c r="B49" s="17">
        <x:f>IF($A49="","",IFERROR(INDEX(RESULTADOS_GRID!$C:$C,MATCH($A49,RESULTADOS_GRID!$B:$B,0)),""))</x:f>
      </x:c>
      <x:c r="C49" s="17">
        <x:f>IF($A49="","",IFERROR(INDEX(RESULTADOS_GRID!$E:$E,MATCH($A49,RESULTADOS_GRID!$B:$B,0)),""))</x:f>
      </x:c>
      <x:c r="D49" s="17">
        <x:f>IF($A49="","",IFERROR(INDEX(RESULTADOS_GRID!$D:$D,MATCH($A49,RESULTADOS_GRID!$B:$B,0)),""))</x:f>
      </x:c>
      <x:c r="E49" s="17">
        <x:f>IF($A49="","",COUNTIF(RESULTADOS_GRID!$B:$B,$A49))</x:f>
      </x:c>
      <x:c r="F49" s="15">
        <x:f>IF($A49="","",SUMIF(RESULTADOS_GRID!$B:$B,$A49,RESULTADOS_GRID!$X:$X))</x:f>
      </x:c>
      <x:c r="G49" s="14" t="n"/>
      <x:c r="H49" s="18">
        <x:f>CONFIG_REFERENCIA!$E$7</x:f>
        <x:v>0.05</x:v>
      </x:c>
      <x:c r="I49" s="15">
        <x:f>IF($A49="","",$F49+N($G49)*$H49)</x:f>
      </x:c>
      <x:c r="J49" s="15">
        <x:f>IF($A49="","",IF((COUNTIFS(RESULTADOS_GRID!$B:$B,$A49,RESULTADOS_GRID!$Y:$Y,"&gt;=0")+COUNTIFS(RESULTADOS_GRID!$B:$B,$A49,RESULTADOS_GRID!$Y:$Y,"&lt;0"))=0,"",SUMIF(RESULTADOS_GRID!$B:$B,$A49,RESULTADOS_GRID!$Y:$Y)/(COUNTIFS(RESULTADOS_GRID!$B:$B,$A49,RESULTADOS_GRID!$Y:$Y,"&gt;=0")+COUNTIFS(RESULTADOS_GRID!$B:$B,$A49,RESULTADOS_GRID!$Y:$Y,"&lt;0"))))</x:f>
      </x:c>
      <x:c r="K49" s="15">
        <x:f>IF($A49="","",IF((COUNTIFS(RESULTADOS_GRID!$B:$B,$A49,RESULTADOS_GRID!$Z:$Z,"&gt;=0")+COUNTIFS(RESULTADOS_GRID!$B:$B,$A49,RESULTADOS_GRID!$Z:$Z,"&lt;0"))=0,"",SUMIF(RESULTADOS_GRID!$B:$B,$A49,RESULTADOS_GRID!$Z:$Z)/(COUNTIFS(RESULTADOS_GRID!$B:$B,$A49,RESULTADOS_GRID!$Z:$Z,"&gt;=0")+COUNTIFS(RESULTADOS_GRID!$B:$B,$A49,RESULTADOS_GRID!$Z:$Z,"&lt;0"))))</x:f>
      </x:c>
      <x:c r="L49" s="12">
        <x:f>IF($A49="","",IF((COUNTIFS(RESULTADOS_GRID!$B:$B,$A49,RESULTADOS_GRID!$AA:$AA,"&gt;=0")+COUNTIFS(RESULTADOS_GRID!$B:$B,$A49,RESULTADOS_GRID!$AA:$AA,"&lt;0"))=0,"",SUMIF(RESULTADOS_GRID!$B:$B,$A49,RESULTADOS_GRID!$AA:$AA)/(COUNTIFS(RESULTADOS_GRID!$B:$B,$A49,RESULTADOS_GRID!$AA:$AA,"&gt;=0")+COUNTIFS(RESULTADOS_GRID!$B:$B,$A49,RESULTADOS_GRID!$AA:$AA,"&lt;0"))))</x:f>
      </x:c>
      <x:c r="M49" s="12">
        <x:f>IF($A49="","",IF((COUNTIFS(RESULTADOS_GRID!$B:$B,$A49,RESULTADOS_GRID!$AB:$AB,"&gt;=0")+COUNTIFS(RESULTADOS_GRID!$B:$B,$A49,RESULTADOS_GRID!$AB:$AB,"&lt;0"))=0,"",SUMIF(RESULTADOS_GRID!$B:$B,$A49,RESULTADOS_GRID!$AB:$AB)/(COUNTIFS(RESULTADOS_GRID!$B:$B,$A49,RESULTADOS_GRID!$AB:$AB,"&gt;=0")+COUNTIFS(RESULTADOS_GRID!$B:$B,$A49,RESULTADOS_GRID!$AB:$AB,"&lt;0"))))</x:f>
      </x:c>
      <x:c r="N49" s="11" t="n"/>
      <x:c r="O49" s="17">
        <x:f>IF($I49="","",COUNTIFS($I$2:$I$101,"&lt;"&amp;$I49)+1)</x:f>
      </x:c>
      <x:c r="P49" s="11" t="n"/>
    </x:row>
    <x:row r="50">
      <x:c r="A50" s="11" t="inlineStr">
        <x:is>
          <x:t xml:space="preserve"/>
        </x:is>
      </x:c>
      <x:c r="B50" s="17">
        <x:f>IF($A50="","",IFERROR(INDEX(RESULTADOS_GRID!$C:$C,MATCH($A50,RESULTADOS_GRID!$B:$B,0)),""))</x:f>
      </x:c>
      <x:c r="C50" s="17">
        <x:f>IF($A50="","",IFERROR(INDEX(RESULTADOS_GRID!$E:$E,MATCH($A50,RESULTADOS_GRID!$B:$B,0)),""))</x:f>
      </x:c>
      <x:c r="D50" s="17">
        <x:f>IF($A50="","",IFERROR(INDEX(RESULTADOS_GRID!$D:$D,MATCH($A50,RESULTADOS_GRID!$B:$B,0)),""))</x:f>
      </x:c>
      <x:c r="E50" s="17">
        <x:f>IF($A50="","",COUNTIF(RESULTADOS_GRID!$B:$B,$A50))</x:f>
      </x:c>
      <x:c r="F50" s="15">
        <x:f>IF($A50="","",SUMIF(RESULTADOS_GRID!$B:$B,$A50,RESULTADOS_GRID!$X:$X))</x:f>
      </x:c>
      <x:c r="G50" s="14" t="n"/>
      <x:c r="H50" s="18">
        <x:f>CONFIG_REFERENCIA!$E$7</x:f>
        <x:v>0.05</x:v>
      </x:c>
      <x:c r="I50" s="15">
        <x:f>IF($A50="","",$F50+N($G50)*$H50)</x:f>
      </x:c>
      <x:c r="J50" s="15">
        <x:f>IF($A50="","",IF((COUNTIFS(RESULTADOS_GRID!$B:$B,$A50,RESULTADOS_GRID!$Y:$Y,"&gt;=0")+COUNTIFS(RESULTADOS_GRID!$B:$B,$A50,RESULTADOS_GRID!$Y:$Y,"&lt;0"))=0,"",SUMIF(RESULTADOS_GRID!$B:$B,$A50,RESULTADOS_GRID!$Y:$Y)/(COUNTIFS(RESULTADOS_GRID!$B:$B,$A50,RESULTADOS_GRID!$Y:$Y,"&gt;=0")+COUNTIFS(RESULTADOS_GRID!$B:$B,$A50,RESULTADOS_GRID!$Y:$Y,"&lt;0"))))</x:f>
      </x:c>
      <x:c r="K50" s="15">
        <x:f>IF($A50="","",IF((COUNTIFS(RESULTADOS_GRID!$B:$B,$A50,RESULTADOS_GRID!$Z:$Z,"&gt;=0")+COUNTIFS(RESULTADOS_GRID!$B:$B,$A50,RESULTADOS_GRID!$Z:$Z,"&lt;0"))=0,"",SUMIF(RESULTADOS_GRID!$B:$B,$A50,RESULTADOS_GRID!$Z:$Z)/(COUNTIFS(RESULTADOS_GRID!$B:$B,$A50,RESULTADOS_GRID!$Z:$Z,"&gt;=0")+COUNTIFS(RESULTADOS_GRID!$B:$B,$A50,RESULTADOS_GRID!$Z:$Z,"&lt;0"))))</x:f>
      </x:c>
      <x:c r="L50" s="12">
        <x:f>IF($A50="","",IF((COUNTIFS(RESULTADOS_GRID!$B:$B,$A50,RESULTADOS_GRID!$AA:$AA,"&gt;=0")+COUNTIFS(RESULTADOS_GRID!$B:$B,$A50,RESULTADOS_GRID!$AA:$AA,"&lt;0"))=0,"",SUMIF(RESULTADOS_GRID!$B:$B,$A50,RESULTADOS_GRID!$AA:$AA)/(COUNTIFS(RESULTADOS_GRID!$B:$B,$A50,RESULTADOS_GRID!$AA:$AA,"&gt;=0")+COUNTIFS(RESULTADOS_GRID!$B:$B,$A50,RESULTADOS_GRID!$AA:$AA,"&lt;0"))))</x:f>
      </x:c>
      <x:c r="M50" s="12">
        <x:f>IF($A50="","",IF((COUNTIFS(RESULTADOS_GRID!$B:$B,$A50,RESULTADOS_GRID!$AB:$AB,"&gt;=0")+COUNTIFS(RESULTADOS_GRID!$B:$B,$A50,RESULTADOS_GRID!$AB:$AB,"&lt;0"))=0,"",SUMIF(RESULTADOS_GRID!$B:$B,$A50,RESULTADOS_GRID!$AB:$AB)/(COUNTIFS(RESULTADOS_GRID!$B:$B,$A50,RESULTADOS_GRID!$AB:$AB,"&gt;=0")+COUNTIFS(RESULTADOS_GRID!$B:$B,$A50,RESULTADOS_GRID!$AB:$AB,"&lt;0"))))</x:f>
      </x:c>
      <x:c r="N50" s="11" t="n"/>
      <x:c r="O50" s="17">
        <x:f>IF($I50="","",COUNTIFS($I$2:$I$101,"&lt;"&amp;$I50)+1)</x:f>
      </x:c>
      <x:c r="P50" s="11" t="n"/>
    </x:row>
    <x:row r="51">
      <x:c r="A51" s="11" t="inlineStr">
        <x:is>
          <x:t xml:space="preserve"/>
        </x:is>
      </x:c>
      <x:c r="B51" s="17">
        <x:f>IF($A51="","",IFERROR(INDEX(RESULTADOS_GRID!$C:$C,MATCH($A51,RESULTADOS_GRID!$B:$B,0)),""))</x:f>
      </x:c>
      <x:c r="C51" s="17">
        <x:f>IF($A51="","",IFERROR(INDEX(RESULTADOS_GRID!$E:$E,MATCH($A51,RESULTADOS_GRID!$B:$B,0)),""))</x:f>
      </x:c>
      <x:c r="D51" s="17">
        <x:f>IF($A51="","",IFERROR(INDEX(RESULTADOS_GRID!$D:$D,MATCH($A51,RESULTADOS_GRID!$B:$B,0)),""))</x:f>
      </x:c>
      <x:c r="E51" s="17">
        <x:f>IF($A51="","",COUNTIF(RESULTADOS_GRID!$B:$B,$A51))</x:f>
      </x:c>
      <x:c r="F51" s="15">
        <x:f>IF($A51="","",SUMIF(RESULTADOS_GRID!$B:$B,$A51,RESULTADOS_GRID!$X:$X))</x:f>
      </x:c>
      <x:c r="G51" s="14" t="n"/>
      <x:c r="H51" s="18">
        <x:f>CONFIG_REFERENCIA!$E$7</x:f>
        <x:v>0.05</x:v>
      </x:c>
      <x:c r="I51" s="15">
        <x:f>IF($A51="","",$F51+N($G51)*$H51)</x:f>
      </x:c>
      <x:c r="J51" s="15">
        <x:f>IF($A51="","",IF((COUNTIFS(RESULTADOS_GRID!$B:$B,$A51,RESULTADOS_GRID!$Y:$Y,"&gt;=0")+COUNTIFS(RESULTADOS_GRID!$B:$B,$A51,RESULTADOS_GRID!$Y:$Y,"&lt;0"))=0,"",SUMIF(RESULTADOS_GRID!$B:$B,$A51,RESULTADOS_GRID!$Y:$Y)/(COUNTIFS(RESULTADOS_GRID!$B:$B,$A51,RESULTADOS_GRID!$Y:$Y,"&gt;=0")+COUNTIFS(RESULTADOS_GRID!$B:$B,$A51,RESULTADOS_GRID!$Y:$Y,"&lt;0"))))</x:f>
      </x:c>
      <x:c r="K51" s="15">
        <x:f>IF($A51="","",IF((COUNTIFS(RESULTADOS_GRID!$B:$B,$A51,RESULTADOS_GRID!$Z:$Z,"&gt;=0")+COUNTIFS(RESULTADOS_GRID!$B:$B,$A51,RESULTADOS_GRID!$Z:$Z,"&lt;0"))=0,"",SUMIF(RESULTADOS_GRID!$B:$B,$A51,RESULTADOS_GRID!$Z:$Z)/(COUNTIFS(RESULTADOS_GRID!$B:$B,$A51,RESULTADOS_GRID!$Z:$Z,"&gt;=0")+COUNTIFS(RESULTADOS_GRID!$B:$B,$A51,RESULTADOS_GRID!$Z:$Z,"&lt;0"))))</x:f>
      </x:c>
      <x:c r="L51" s="12">
        <x:f>IF($A51="","",IF((COUNTIFS(RESULTADOS_GRID!$B:$B,$A51,RESULTADOS_GRID!$AA:$AA,"&gt;=0")+COUNTIFS(RESULTADOS_GRID!$B:$B,$A51,RESULTADOS_GRID!$AA:$AA,"&lt;0"))=0,"",SUMIF(RESULTADOS_GRID!$B:$B,$A51,RESULTADOS_GRID!$AA:$AA)/(COUNTIFS(RESULTADOS_GRID!$B:$B,$A51,RESULTADOS_GRID!$AA:$AA,"&gt;=0")+COUNTIFS(RESULTADOS_GRID!$B:$B,$A51,RESULTADOS_GRID!$AA:$AA,"&lt;0"))))</x:f>
      </x:c>
      <x:c r="M51" s="12">
        <x:f>IF($A51="","",IF((COUNTIFS(RESULTADOS_GRID!$B:$B,$A51,RESULTADOS_GRID!$AB:$AB,"&gt;=0")+COUNTIFS(RESULTADOS_GRID!$B:$B,$A51,RESULTADOS_GRID!$AB:$AB,"&lt;0"))=0,"",SUMIF(RESULTADOS_GRID!$B:$B,$A51,RESULTADOS_GRID!$AB:$AB)/(COUNTIFS(RESULTADOS_GRID!$B:$B,$A51,RESULTADOS_GRID!$AB:$AB,"&gt;=0")+COUNTIFS(RESULTADOS_GRID!$B:$B,$A51,RESULTADOS_GRID!$AB:$AB,"&lt;0"))))</x:f>
      </x:c>
      <x:c r="N51" s="11" t="n"/>
      <x:c r="O51" s="17">
        <x:f>IF($I51="","",COUNTIFS($I$2:$I$101,"&lt;"&amp;$I51)+1)</x:f>
      </x:c>
      <x:c r="P51" s="11" t="n"/>
    </x:row>
    <x:row r="52">
      <x:c r="A52" s="11" t="inlineStr">
        <x:is>
          <x:t xml:space="preserve"/>
        </x:is>
      </x:c>
      <x:c r="B52" s="17">
        <x:f>IF($A52="","",IFERROR(INDEX(RESULTADOS_GRID!$C:$C,MATCH($A52,RESULTADOS_GRID!$B:$B,0)),""))</x:f>
      </x:c>
      <x:c r="C52" s="17">
        <x:f>IF($A52="","",IFERROR(INDEX(RESULTADOS_GRID!$E:$E,MATCH($A52,RESULTADOS_GRID!$B:$B,0)),""))</x:f>
      </x:c>
      <x:c r="D52" s="17">
        <x:f>IF($A52="","",IFERROR(INDEX(RESULTADOS_GRID!$D:$D,MATCH($A52,RESULTADOS_GRID!$B:$B,0)),""))</x:f>
      </x:c>
      <x:c r="E52" s="17">
        <x:f>IF($A52="","",COUNTIF(RESULTADOS_GRID!$B:$B,$A52))</x:f>
      </x:c>
      <x:c r="F52" s="15">
        <x:f>IF($A52="","",SUMIF(RESULTADOS_GRID!$B:$B,$A52,RESULTADOS_GRID!$X:$X))</x:f>
      </x:c>
      <x:c r="G52" s="14" t="n"/>
      <x:c r="H52" s="18">
        <x:f>CONFIG_REFERENCIA!$E$7</x:f>
        <x:v>0.05</x:v>
      </x:c>
      <x:c r="I52" s="15">
        <x:f>IF($A52="","",$F52+N($G52)*$H52)</x:f>
      </x:c>
      <x:c r="J52" s="15">
        <x:f>IF($A52="","",IF((COUNTIFS(RESULTADOS_GRID!$B:$B,$A52,RESULTADOS_GRID!$Y:$Y,"&gt;=0")+COUNTIFS(RESULTADOS_GRID!$B:$B,$A52,RESULTADOS_GRID!$Y:$Y,"&lt;0"))=0,"",SUMIF(RESULTADOS_GRID!$B:$B,$A52,RESULTADOS_GRID!$Y:$Y)/(COUNTIFS(RESULTADOS_GRID!$B:$B,$A52,RESULTADOS_GRID!$Y:$Y,"&gt;=0")+COUNTIFS(RESULTADOS_GRID!$B:$B,$A52,RESULTADOS_GRID!$Y:$Y,"&lt;0"))))</x:f>
      </x:c>
      <x:c r="K52" s="15">
        <x:f>IF($A52="","",IF((COUNTIFS(RESULTADOS_GRID!$B:$B,$A52,RESULTADOS_GRID!$Z:$Z,"&gt;=0")+COUNTIFS(RESULTADOS_GRID!$B:$B,$A52,RESULTADOS_GRID!$Z:$Z,"&lt;0"))=0,"",SUMIF(RESULTADOS_GRID!$B:$B,$A52,RESULTADOS_GRID!$Z:$Z)/(COUNTIFS(RESULTADOS_GRID!$B:$B,$A52,RESULTADOS_GRID!$Z:$Z,"&gt;=0")+COUNTIFS(RESULTADOS_GRID!$B:$B,$A52,RESULTADOS_GRID!$Z:$Z,"&lt;0"))))</x:f>
      </x:c>
      <x:c r="L52" s="12">
        <x:f>IF($A52="","",IF((COUNTIFS(RESULTADOS_GRID!$B:$B,$A52,RESULTADOS_GRID!$AA:$AA,"&gt;=0")+COUNTIFS(RESULTADOS_GRID!$B:$B,$A52,RESULTADOS_GRID!$AA:$AA,"&lt;0"))=0,"",SUMIF(RESULTADOS_GRID!$B:$B,$A52,RESULTADOS_GRID!$AA:$AA)/(COUNTIFS(RESULTADOS_GRID!$B:$B,$A52,RESULTADOS_GRID!$AA:$AA,"&gt;=0")+COUNTIFS(RESULTADOS_GRID!$B:$B,$A52,RESULTADOS_GRID!$AA:$AA,"&lt;0"))))</x:f>
      </x:c>
      <x:c r="M52" s="12">
        <x:f>IF($A52="","",IF((COUNTIFS(RESULTADOS_GRID!$B:$B,$A52,RESULTADOS_GRID!$AB:$AB,"&gt;=0")+COUNTIFS(RESULTADOS_GRID!$B:$B,$A52,RESULTADOS_GRID!$AB:$AB,"&lt;0"))=0,"",SUMIF(RESULTADOS_GRID!$B:$B,$A52,RESULTADOS_GRID!$AB:$AB)/(COUNTIFS(RESULTADOS_GRID!$B:$B,$A52,RESULTADOS_GRID!$AB:$AB,"&gt;=0")+COUNTIFS(RESULTADOS_GRID!$B:$B,$A52,RESULTADOS_GRID!$AB:$AB,"&lt;0"))))</x:f>
      </x:c>
      <x:c r="N52" s="11" t="n"/>
      <x:c r="O52" s="17">
        <x:f>IF($I52="","",COUNTIFS($I$2:$I$101,"&lt;"&amp;$I52)+1)</x:f>
      </x:c>
      <x:c r="P52" s="11" t="n"/>
    </x:row>
    <x:row r="53">
      <x:c r="A53" s="11" t="inlineStr">
        <x:is>
          <x:t xml:space="preserve"/>
        </x:is>
      </x:c>
      <x:c r="B53" s="17">
        <x:f>IF($A53="","",IFERROR(INDEX(RESULTADOS_GRID!$C:$C,MATCH($A53,RESULTADOS_GRID!$B:$B,0)),""))</x:f>
      </x:c>
      <x:c r="C53" s="17">
        <x:f>IF($A53="","",IFERROR(INDEX(RESULTADOS_GRID!$E:$E,MATCH($A53,RESULTADOS_GRID!$B:$B,0)),""))</x:f>
      </x:c>
      <x:c r="D53" s="17">
        <x:f>IF($A53="","",IFERROR(INDEX(RESULTADOS_GRID!$D:$D,MATCH($A53,RESULTADOS_GRID!$B:$B,0)),""))</x:f>
      </x:c>
      <x:c r="E53" s="17">
        <x:f>IF($A53="","",COUNTIF(RESULTADOS_GRID!$B:$B,$A53))</x:f>
      </x:c>
      <x:c r="F53" s="15">
        <x:f>IF($A53="","",SUMIF(RESULTADOS_GRID!$B:$B,$A53,RESULTADOS_GRID!$X:$X))</x:f>
      </x:c>
      <x:c r="G53" s="14" t="n"/>
      <x:c r="H53" s="18">
        <x:f>CONFIG_REFERENCIA!$E$7</x:f>
        <x:v>0.05</x:v>
      </x:c>
      <x:c r="I53" s="15">
        <x:f>IF($A53="","",$F53+N($G53)*$H53)</x:f>
      </x:c>
      <x:c r="J53" s="15">
        <x:f>IF($A53="","",IF((COUNTIFS(RESULTADOS_GRID!$B:$B,$A53,RESULTADOS_GRID!$Y:$Y,"&gt;=0")+COUNTIFS(RESULTADOS_GRID!$B:$B,$A53,RESULTADOS_GRID!$Y:$Y,"&lt;0"))=0,"",SUMIF(RESULTADOS_GRID!$B:$B,$A53,RESULTADOS_GRID!$Y:$Y)/(COUNTIFS(RESULTADOS_GRID!$B:$B,$A53,RESULTADOS_GRID!$Y:$Y,"&gt;=0")+COUNTIFS(RESULTADOS_GRID!$B:$B,$A53,RESULTADOS_GRID!$Y:$Y,"&lt;0"))))</x:f>
      </x:c>
      <x:c r="K53" s="15">
        <x:f>IF($A53="","",IF((COUNTIFS(RESULTADOS_GRID!$B:$B,$A53,RESULTADOS_GRID!$Z:$Z,"&gt;=0")+COUNTIFS(RESULTADOS_GRID!$B:$B,$A53,RESULTADOS_GRID!$Z:$Z,"&lt;0"))=0,"",SUMIF(RESULTADOS_GRID!$B:$B,$A53,RESULTADOS_GRID!$Z:$Z)/(COUNTIFS(RESULTADOS_GRID!$B:$B,$A53,RESULTADOS_GRID!$Z:$Z,"&gt;=0")+COUNTIFS(RESULTADOS_GRID!$B:$B,$A53,RESULTADOS_GRID!$Z:$Z,"&lt;0"))))</x:f>
      </x:c>
      <x:c r="L53" s="12">
        <x:f>IF($A53="","",IF((COUNTIFS(RESULTADOS_GRID!$B:$B,$A53,RESULTADOS_GRID!$AA:$AA,"&gt;=0")+COUNTIFS(RESULTADOS_GRID!$B:$B,$A53,RESULTADOS_GRID!$AA:$AA,"&lt;0"))=0,"",SUMIF(RESULTADOS_GRID!$B:$B,$A53,RESULTADOS_GRID!$AA:$AA)/(COUNTIFS(RESULTADOS_GRID!$B:$B,$A53,RESULTADOS_GRID!$AA:$AA,"&gt;=0")+COUNTIFS(RESULTADOS_GRID!$B:$B,$A53,RESULTADOS_GRID!$AA:$AA,"&lt;0"))))</x:f>
      </x:c>
      <x:c r="M53" s="12">
        <x:f>IF($A53="","",IF((COUNTIFS(RESULTADOS_GRID!$B:$B,$A53,RESULTADOS_GRID!$AB:$AB,"&gt;=0")+COUNTIFS(RESULTADOS_GRID!$B:$B,$A53,RESULTADOS_GRID!$AB:$AB,"&lt;0"))=0,"",SUMIF(RESULTADOS_GRID!$B:$B,$A53,RESULTADOS_GRID!$AB:$AB)/(COUNTIFS(RESULTADOS_GRID!$B:$B,$A53,RESULTADOS_GRID!$AB:$AB,"&gt;=0")+COUNTIFS(RESULTADOS_GRID!$B:$B,$A53,RESULTADOS_GRID!$AB:$AB,"&lt;0"))))</x:f>
      </x:c>
      <x:c r="N53" s="11" t="n"/>
      <x:c r="O53" s="17">
        <x:f>IF($I53="","",COUNTIFS($I$2:$I$101,"&lt;"&amp;$I53)+1)</x:f>
      </x:c>
      <x:c r="P53" s="11" t="n"/>
    </x:row>
    <x:row r="54">
      <x:c r="A54" s="11" t="inlineStr">
        <x:is>
          <x:t xml:space="preserve"/>
        </x:is>
      </x:c>
      <x:c r="B54" s="17">
        <x:f>IF($A54="","",IFERROR(INDEX(RESULTADOS_GRID!$C:$C,MATCH($A54,RESULTADOS_GRID!$B:$B,0)),""))</x:f>
      </x:c>
      <x:c r="C54" s="17">
        <x:f>IF($A54="","",IFERROR(INDEX(RESULTADOS_GRID!$E:$E,MATCH($A54,RESULTADOS_GRID!$B:$B,0)),""))</x:f>
      </x:c>
      <x:c r="D54" s="17">
        <x:f>IF($A54="","",IFERROR(INDEX(RESULTADOS_GRID!$D:$D,MATCH($A54,RESULTADOS_GRID!$B:$B,0)),""))</x:f>
      </x:c>
      <x:c r="E54" s="17">
        <x:f>IF($A54="","",COUNTIF(RESULTADOS_GRID!$B:$B,$A54))</x:f>
      </x:c>
      <x:c r="F54" s="15">
        <x:f>IF($A54="","",SUMIF(RESULTADOS_GRID!$B:$B,$A54,RESULTADOS_GRID!$X:$X))</x:f>
      </x:c>
      <x:c r="G54" s="14" t="n"/>
      <x:c r="H54" s="18">
        <x:f>CONFIG_REFERENCIA!$E$7</x:f>
        <x:v>0.05</x:v>
      </x:c>
      <x:c r="I54" s="15">
        <x:f>IF($A54="","",$F54+N($G54)*$H54)</x:f>
      </x:c>
      <x:c r="J54" s="15">
        <x:f>IF($A54="","",IF((COUNTIFS(RESULTADOS_GRID!$B:$B,$A54,RESULTADOS_GRID!$Y:$Y,"&gt;=0")+COUNTIFS(RESULTADOS_GRID!$B:$B,$A54,RESULTADOS_GRID!$Y:$Y,"&lt;0"))=0,"",SUMIF(RESULTADOS_GRID!$B:$B,$A54,RESULTADOS_GRID!$Y:$Y)/(COUNTIFS(RESULTADOS_GRID!$B:$B,$A54,RESULTADOS_GRID!$Y:$Y,"&gt;=0")+COUNTIFS(RESULTADOS_GRID!$B:$B,$A54,RESULTADOS_GRID!$Y:$Y,"&lt;0"))))</x:f>
      </x:c>
      <x:c r="K54" s="15">
        <x:f>IF($A54="","",IF((COUNTIFS(RESULTADOS_GRID!$B:$B,$A54,RESULTADOS_GRID!$Z:$Z,"&gt;=0")+COUNTIFS(RESULTADOS_GRID!$B:$B,$A54,RESULTADOS_GRID!$Z:$Z,"&lt;0"))=0,"",SUMIF(RESULTADOS_GRID!$B:$B,$A54,RESULTADOS_GRID!$Z:$Z)/(COUNTIFS(RESULTADOS_GRID!$B:$B,$A54,RESULTADOS_GRID!$Z:$Z,"&gt;=0")+COUNTIFS(RESULTADOS_GRID!$B:$B,$A54,RESULTADOS_GRID!$Z:$Z,"&lt;0"))))</x:f>
      </x:c>
      <x:c r="L54" s="12">
        <x:f>IF($A54="","",IF((COUNTIFS(RESULTADOS_GRID!$B:$B,$A54,RESULTADOS_GRID!$AA:$AA,"&gt;=0")+COUNTIFS(RESULTADOS_GRID!$B:$B,$A54,RESULTADOS_GRID!$AA:$AA,"&lt;0"))=0,"",SUMIF(RESULTADOS_GRID!$B:$B,$A54,RESULTADOS_GRID!$AA:$AA)/(COUNTIFS(RESULTADOS_GRID!$B:$B,$A54,RESULTADOS_GRID!$AA:$AA,"&gt;=0")+COUNTIFS(RESULTADOS_GRID!$B:$B,$A54,RESULTADOS_GRID!$AA:$AA,"&lt;0"))))</x:f>
      </x:c>
      <x:c r="M54" s="12">
        <x:f>IF($A54="","",IF((COUNTIFS(RESULTADOS_GRID!$B:$B,$A54,RESULTADOS_GRID!$AB:$AB,"&gt;=0")+COUNTIFS(RESULTADOS_GRID!$B:$B,$A54,RESULTADOS_GRID!$AB:$AB,"&lt;0"))=0,"",SUMIF(RESULTADOS_GRID!$B:$B,$A54,RESULTADOS_GRID!$AB:$AB)/(COUNTIFS(RESULTADOS_GRID!$B:$B,$A54,RESULTADOS_GRID!$AB:$AB,"&gt;=0")+COUNTIFS(RESULTADOS_GRID!$B:$B,$A54,RESULTADOS_GRID!$AB:$AB,"&lt;0"))))</x:f>
      </x:c>
      <x:c r="N54" s="11" t="n"/>
      <x:c r="O54" s="17">
        <x:f>IF($I54="","",COUNTIFS($I$2:$I$101,"&lt;"&amp;$I54)+1)</x:f>
      </x:c>
      <x:c r="P54" s="11" t="n"/>
    </x:row>
    <x:row r="55">
      <x:c r="A55" s="11" t="inlineStr">
        <x:is>
          <x:t xml:space="preserve"/>
        </x:is>
      </x:c>
      <x:c r="B55" s="17">
        <x:f>IF($A55="","",IFERROR(INDEX(RESULTADOS_GRID!$C:$C,MATCH($A55,RESULTADOS_GRID!$B:$B,0)),""))</x:f>
      </x:c>
      <x:c r="C55" s="17">
        <x:f>IF($A55="","",IFERROR(INDEX(RESULTADOS_GRID!$E:$E,MATCH($A55,RESULTADOS_GRID!$B:$B,0)),""))</x:f>
      </x:c>
      <x:c r="D55" s="17">
        <x:f>IF($A55="","",IFERROR(INDEX(RESULTADOS_GRID!$D:$D,MATCH($A55,RESULTADOS_GRID!$B:$B,0)),""))</x:f>
      </x:c>
      <x:c r="E55" s="17">
        <x:f>IF($A55="","",COUNTIF(RESULTADOS_GRID!$B:$B,$A55))</x:f>
      </x:c>
      <x:c r="F55" s="15">
        <x:f>IF($A55="","",SUMIF(RESULTADOS_GRID!$B:$B,$A55,RESULTADOS_GRID!$X:$X))</x:f>
      </x:c>
      <x:c r="G55" s="14" t="n"/>
      <x:c r="H55" s="18">
        <x:f>CONFIG_REFERENCIA!$E$7</x:f>
        <x:v>0.05</x:v>
      </x:c>
      <x:c r="I55" s="15">
        <x:f>IF($A55="","",$F55+N($G55)*$H55)</x:f>
      </x:c>
      <x:c r="J55" s="15">
        <x:f>IF($A55="","",IF((COUNTIFS(RESULTADOS_GRID!$B:$B,$A55,RESULTADOS_GRID!$Y:$Y,"&gt;=0")+COUNTIFS(RESULTADOS_GRID!$B:$B,$A55,RESULTADOS_GRID!$Y:$Y,"&lt;0"))=0,"",SUMIF(RESULTADOS_GRID!$B:$B,$A55,RESULTADOS_GRID!$Y:$Y)/(COUNTIFS(RESULTADOS_GRID!$B:$B,$A55,RESULTADOS_GRID!$Y:$Y,"&gt;=0")+COUNTIFS(RESULTADOS_GRID!$B:$B,$A55,RESULTADOS_GRID!$Y:$Y,"&lt;0"))))</x:f>
      </x:c>
      <x:c r="K55" s="15">
        <x:f>IF($A55="","",IF((COUNTIFS(RESULTADOS_GRID!$B:$B,$A55,RESULTADOS_GRID!$Z:$Z,"&gt;=0")+COUNTIFS(RESULTADOS_GRID!$B:$B,$A55,RESULTADOS_GRID!$Z:$Z,"&lt;0"))=0,"",SUMIF(RESULTADOS_GRID!$B:$B,$A55,RESULTADOS_GRID!$Z:$Z)/(COUNTIFS(RESULTADOS_GRID!$B:$B,$A55,RESULTADOS_GRID!$Z:$Z,"&gt;=0")+COUNTIFS(RESULTADOS_GRID!$B:$B,$A55,RESULTADOS_GRID!$Z:$Z,"&lt;0"))))</x:f>
      </x:c>
      <x:c r="L55" s="12">
        <x:f>IF($A55="","",IF((COUNTIFS(RESULTADOS_GRID!$B:$B,$A55,RESULTADOS_GRID!$AA:$AA,"&gt;=0")+COUNTIFS(RESULTADOS_GRID!$B:$B,$A55,RESULTADOS_GRID!$AA:$AA,"&lt;0"))=0,"",SUMIF(RESULTADOS_GRID!$B:$B,$A55,RESULTADOS_GRID!$AA:$AA)/(COUNTIFS(RESULTADOS_GRID!$B:$B,$A55,RESULTADOS_GRID!$AA:$AA,"&gt;=0")+COUNTIFS(RESULTADOS_GRID!$B:$B,$A55,RESULTADOS_GRID!$AA:$AA,"&lt;0"))))</x:f>
      </x:c>
      <x:c r="M55" s="12">
        <x:f>IF($A55="","",IF((COUNTIFS(RESULTADOS_GRID!$B:$B,$A55,RESULTADOS_GRID!$AB:$AB,"&gt;=0")+COUNTIFS(RESULTADOS_GRID!$B:$B,$A55,RESULTADOS_GRID!$AB:$AB,"&lt;0"))=0,"",SUMIF(RESULTADOS_GRID!$B:$B,$A55,RESULTADOS_GRID!$AB:$AB)/(COUNTIFS(RESULTADOS_GRID!$B:$B,$A55,RESULTADOS_GRID!$AB:$AB,"&gt;=0")+COUNTIFS(RESULTADOS_GRID!$B:$B,$A55,RESULTADOS_GRID!$AB:$AB,"&lt;0"))))</x:f>
      </x:c>
      <x:c r="N55" s="11" t="n"/>
      <x:c r="O55" s="17">
        <x:f>IF($I55="","",COUNTIFS($I$2:$I$101,"&lt;"&amp;$I55)+1)</x:f>
      </x:c>
      <x:c r="P55" s="11" t="n"/>
    </x:row>
    <x:row r="56">
      <x:c r="A56" s="11" t="inlineStr">
        <x:is>
          <x:t xml:space="preserve"/>
        </x:is>
      </x:c>
      <x:c r="B56" s="17">
        <x:f>IF($A56="","",IFERROR(INDEX(RESULTADOS_GRID!$C:$C,MATCH($A56,RESULTADOS_GRID!$B:$B,0)),""))</x:f>
      </x:c>
      <x:c r="C56" s="17">
        <x:f>IF($A56="","",IFERROR(INDEX(RESULTADOS_GRID!$E:$E,MATCH($A56,RESULTADOS_GRID!$B:$B,0)),""))</x:f>
      </x:c>
      <x:c r="D56" s="17">
        <x:f>IF($A56="","",IFERROR(INDEX(RESULTADOS_GRID!$D:$D,MATCH($A56,RESULTADOS_GRID!$B:$B,0)),""))</x:f>
      </x:c>
      <x:c r="E56" s="17">
        <x:f>IF($A56="","",COUNTIF(RESULTADOS_GRID!$B:$B,$A56))</x:f>
      </x:c>
      <x:c r="F56" s="15">
        <x:f>IF($A56="","",SUMIF(RESULTADOS_GRID!$B:$B,$A56,RESULTADOS_GRID!$X:$X))</x:f>
      </x:c>
      <x:c r="G56" s="14" t="n"/>
      <x:c r="H56" s="18">
        <x:f>CONFIG_REFERENCIA!$E$7</x:f>
        <x:v>0.05</x:v>
      </x:c>
      <x:c r="I56" s="15">
        <x:f>IF($A56="","",$F56+N($G56)*$H56)</x:f>
      </x:c>
      <x:c r="J56" s="15">
        <x:f>IF($A56="","",IF((COUNTIFS(RESULTADOS_GRID!$B:$B,$A56,RESULTADOS_GRID!$Y:$Y,"&gt;=0")+COUNTIFS(RESULTADOS_GRID!$B:$B,$A56,RESULTADOS_GRID!$Y:$Y,"&lt;0"))=0,"",SUMIF(RESULTADOS_GRID!$B:$B,$A56,RESULTADOS_GRID!$Y:$Y)/(COUNTIFS(RESULTADOS_GRID!$B:$B,$A56,RESULTADOS_GRID!$Y:$Y,"&gt;=0")+COUNTIFS(RESULTADOS_GRID!$B:$B,$A56,RESULTADOS_GRID!$Y:$Y,"&lt;0"))))</x:f>
      </x:c>
      <x:c r="K56" s="15">
        <x:f>IF($A56="","",IF((COUNTIFS(RESULTADOS_GRID!$B:$B,$A56,RESULTADOS_GRID!$Z:$Z,"&gt;=0")+COUNTIFS(RESULTADOS_GRID!$B:$B,$A56,RESULTADOS_GRID!$Z:$Z,"&lt;0"))=0,"",SUMIF(RESULTADOS_GRID!$B:$B,$A56,RESULTADOS_GRID!$Z:$Z)/(COUNTIFS(RESULTADOS_GRID!$B:$B,$A56,RESULTADOS_GRID!$Z:$Z,"&gt;=0")+COUNTIFS(RESULTADOS_GRID!$B:$B,$A56,RESULTADOS_GRID!$Z:$Z,"&lt;0"))))</x:f>
      </x:c>
      <x:c r="L56" s="12">
        <x:f>IF($A56="","",IF((COUNTIFS(RESULTADOS_GRID!$B:$B,$A56,RESULTADOS_GRID!$AA:$AA,"&gt;=0")+COUNTIFS(RESULTADOS_GRID!$B:$B,$A56,RESULTADOS_GRID!$AA:$AA,"&lt;0"))=0,"",SUMIF(RESULTADOS_GRID!$B:$B,$A56,RESULTADOS_GRID!$AA:$AA)/(COUNTIFS(RESULTADOS_GRID!$B:$B,$A56,RESULTADOS_GRID!$AA:$AA,"&gt;=0")+COUNTIFS(RESULTADOS_GRID!$B:$B,$A56,RESULTADOS_GRID!$AA:$AA,"&lt;0"))))</x:f>
      </x:c>
      <x:c r="M56" s="12">
        <x:f>IF($A56="","",IF((COUNTIFS(RESULTADOS_GRID!$B:$B,$A56,RESULTADOS_GRID!$AB:$AB,"&gt;=0")+COUNTIFS(RESULTADOS_GRID!$B:$B,$A56,RESULTADOS_GRID!$AB:$AB,"&lt;0"))=0,"",SUMIF(RESULTADOS_GRID!$B:$B,$A56,RESULTADOS_GRID!$AB:$AB)/(COUNTIFS(RESULTADOS_GRID!$B:$B,$A56,RESULTADOS_GRID!$AB:$AB,"&gt;=0")+COUNTIFS(RESULTADOS_GRID!$B:$B,$A56,RESULTADOS_GRID!$AB:$AB,"&lt;0"))))</x:f>
      </x:c>
      <x:c r="N56" s="11" t="n"/>
      <x:c r="O56" s="17">
        <x:f>IF($I56="","",COUNTIFS($I$2:$I$101,"&lt;"&amp;$I56)+1)</x:f>
      </x:c>
      <x:c r="P56" s="11" t="n"/>
    </x:row>
    <x:row r="57">
      <x:c r="A57" s="11" t="inlineStr">
        <x:is>
          <x:t xml:space="preserve"/>
        </x:is>
      </x:c>
      <x:c r="B57" s="17">
        <x:f>IF($A57="","",IFERROR(INDEX(RESULTADOS_GRID!$C:$C,MATCH($A57,RESULTADOS_GRID!$B:$B,0)),""))</x:f>
      </x:c>
      <x:c r="C57" s="17">
        <x:f>IF($A57="","",IFERROR(INDEX(RESULTADOS_GRID!$E:$E,MATCH($A57,RESULTADOS_GRID!$B:$B,0)),""))</x:f>
      </x:c>
      <x:c r="D57" s="17">
        <x:f>IF($A57="","",IFERROR(INDEX(RESULTADOS_GRID!$D:$D,MATCH($A57,RESULTADOS_GRID!$B:$B,0)),""))</x:f>
      </x:c>
      <x:c r="E57" s="17">
        <x:f>IF($A57="","",COUNTIF(RESULTADOS_GRID!$B:$B,$A57))</x:f>
      </x:c>
      <x:c r="F57" s="15">
        <x:f>IF($A57="","",SUMIF(RESULTADOS_GRID!$B:$B,$A57,RESULTADOS_GRID!$X:$X))</x:f>
      </x:c>
      <x:c r="G57" s="14" t="n"/>
      <x:c r="H57" s="18">
        <x:f>CONFIG_REFERENCIA!$E$7</x:f>
        <x:v>0.05</x:v>
      </x:c>
      <x:c r="I57" s="15">
        <x:f>IF($A57="","",$F57+N($G57)*$H57)</x:f>
      </x:c>
      <x:c r="J57" s="15">
        <x:f>IF($A57="","",IF((COUNTIFS(RESULTADOS_GRID!$B:$B,$A57,RESULTADOS_GRID!$Y:$Y,"&gt;=0")+COUNTIFS(RESULTADOS_GRID!$B:$B,$A57,RESULTADOS_GRID!$Y:$Y,"&lt;0"))=0,"",SUMIF(RESULTADOS_GRID!$B:$B,$A57,RESULTADOS_GRID!$Y:$Y)/(COUNTIFS(RESULTADOS_GRID!$B:$B,$A57,RESULTADOS_GRID!$Y:$Y,"&gt;=0")+COUNTIFS(RESULTADOS_GRID!$B:$B,$A57,RESULTADOS_GRID!$Y:$Y,"&lt;0"))))</x:f>
      </x:c>
      <x:c r="K57" s="15">
        <x:f>IF($A57="","",IF((COUNTIFS(RESULTADOS_GRID!$B:$B,$A57,RESULTADOS_GRID!$Z:$Z,"&gt;=0")+COUNTIFS(RESULTADOS_GRID!$B:$B,$A57,RESULTADOS_GRID!$Z:$Z,"&lt;0"))=0,"",SUMIF(RESULTADOS_GRID!$B:$B,$A57,RESULTADOS_GRID!$Z:$Z)/(COUNTIFS(RESULTADOS_GRID!$B:$B,$A57,RESULTADOS_GRID!$Z:$Z,"&gt;=0")+COUNTIFS(RESULTADOS_GRID!$B:$B,$A57,RESULTADOS_GRID!$Z:$Z,"&lt;0"))))</x:f>
      </x:c>
      <x:c r="L57" s="12">
        <x:f>IF($A57="","",IF((COUNTIFS(RESULTADOS_GRID!$B:$B,$A57,RESULTADOS_GRID!$AA:$AA,"&gt;=0")+COUNTIFS(RESULTADOS_GRID!$B:$B,$A57,RESULTADOS_GRID!$AA:$AA,"&lt;0"))=0,"",SUMIF(RESULTADOS_GRID!$B:$B,$A57,RESULTADOS_GRID!$AA:$AA)/(COUNTIFS(RESULTADOS_GRID!$B:$B,$A57,RESULTADOS_GRID!$AA:$AA,"&gt;=0")+COUNTIFS(RESULTADOS_GRID!$B:$B,$A57,RESULTADOS_GRID!$AA:$AA,"&lt;0"))))</x:f>
      </x:c>
      <x:c r="M57" s="12">
        <x:f>IF($A57="","",IF((COUNTIFS(RESULTADOS_GRID!$B:$B,$A57,RESULTADOS_GRID!$AB:$AB,"&gt;=0")+COUNTIFS(RESULTADOS_GRID!$B:$B,$A57,RESULTADOS_GRID!$AB:$AB,"&lt;0"))=0,"",SUMIF(RESULTADOS_GRID!$B:$B,$A57,RESULTADOS_GRID!$AB:$AB)/(COUNTIFS(RESULTADOS_GRID!$B:$B,$A57,RESULTADOS_GRID!$AB:$AB,"&gt;=0")+COUNTIFS(RESULTADOS_GRID!$B:$B,$A57,RESULTADOS_GRID!$AB:$AB,"&lt;0"))))</x:f>
      </x:c>
      <x:c r="N57" s="11" t="n"/>
      <x:c r="O57" s="17">
        <x:f>IF($I57="","",COUNTIFS($I$2:$I$101,"&lt;"&amp;$I57)+1)</x:f>
      </x:c>
      <x:c r="P57" s="11" t="n"/>
    </x:row>
    <x:row r="58">
      <x:c r="A58" s="11" t="inlineStr">
        <x:is>
          <x:t xml:space="preserve"/>
        </x:is>
      </x:c>
      <x:c r="B58" s="17">
        <x:f>IF($A58="","",IFERROR(INDEX(RESULTADOS_GRID!$C:$C,MATCH($A58,RESULTADOS_GRID!$B:$B,0)),""))</x:f>
      </x:c>
      <x:c r="C58" s="17">
        <x:f>IF($A58="","",IFERROR(INDEX(RESULTADOS_GRID!$E:$E,MATCH($A58,RESULTADOS_GRID!$B:$B,0)),""))</x:f>
      </x:c>
      <x:c r="D58" s="17">
        <x:f>IF($A58="","",IFERROR(INDEX(RESULTADOS_GRID!$D:$D,MATCH($A58,RESULTADOS_GRID!$B:$B,0)),""))</x:f>
      </x:c>
      <x:c r="E58" s="17">
        <x:f>IF($A58="","",COUNTIF(RESULTADOS_GRID!$B:$B,$A58))</x:f>
      </x:c>
      <x:c r="F58" s="15">
        <x:f>IF($A58="","",SUMIF(RESULTADOS_GRID!$B:$B,$A58,RESULTADOS_GRID!$X:$X))</x:f>
      </x:c>
      <x:c r="G58" s="14" t="n"/>
      <x:c r="H58" s="18">
        <x:f>CONFIG_REFERENCIA!$E$7</x:f>
        <x:v>0.05</x:v>
      </x:c>
      <x:c r="I58" s="15">
        <x:f>IF($A58="","",$F58+N($G58)*$H58)</x:f>
      </x:c>
      <x:c r="J58" s="15">
        <x:f>IF($A58="","",IF((COUNTIFS(RESULTADOS_GRID!$B:$B,$A58,RESULTADOS_GRID!$Y:$Y,"&gt;=0")+COUNTIFS(RESULTADOS_GRID!$B:$B,$A58,RESULTADOS_GRID!$Y:$Y,"&lt;0"))=0,"",SUMIF(RESULTADOS_GRID!$B:$B,$A58,RESULTADOS_GRID!$Y:$Y)/(COUNTIFS(RESULTADOS_GRID!$B:$B,$A58,RESULTADOS_GRID!$Y:$Y,"&gt;=0")+COUNTIFS(RESULTADOS_GRID!$B:$B,$A58,RESULTADOS_GRID!$Y:$Y,"&lt;0"))))</x:f>
      </x:c>
      <x:c r="K58" s="15">
        <x:f>IF($A58="","",IF((COUNTIFS(RESULTADOS_GRID!$B:$B,$A58,RESULTADOS_GRID!$Z:$Z,"&gt;=0")+COUNTIFS(RESULTADOS_GRID!$B:$B,$A58,RESULTADOS_GRID!$Z:$Z,"&lt;0"))=0,"",SUMIF(RESULTADOS_GRID!$B:$B,$A58,RESULTADOS_GRID!$Z:$Z)/(COUNTIFS(RESULTADOS_GRID!$B:$B,$A58,RESULTADOS_GRID!$Z:$Z,"&gt;=0")+COUNTIFS(RESULTADOS_GRID!$B:$B,$A58,RESULTADOS_GRID!$Z:$Z,"&lt;0"))))</x:f>
      </x:c>
      <x:c r="L58" s="12">
        <x:f>IF($A58="","",IF((COUNTIFS(RESULTADOS_GRID!$B:$B,$A58,RESULTADOS_GRID!$AA:$AA,"&gt;=0")+COUNTIFS(RESULTADOS_GRID!$B:$B,$A58,RESULTADOS_GRID!$AA:$AA,"&lt;0"))=0,"",SUMIF(RESULTADOS_GRID!$B:$B,$A58,RESULTADOS_GRID!$AA:$AA)/(COUNTIFS(RESULTADOS_GRID!$B:$B,$A58,RESULTADOS_GRID!$AA:$AA,"&gt;=0")+COUNTIFS(RESULTADOS_GRID!$B:$B,$A58,RESULTADOS_GRID!$AA:$AA,"&lt;0"))))</x:f>
      </x:c>
      <x:c r="M58" s="12">
        <x:f>IF($A58="","",IF((COUNTIFS(RESULTADOS_GRID!$B:$B,$A58,RESULTADOS_GRID!$AB:$AB,"&gt;=0")+COUNTIFS(RESULTADOS_GRID!$B:$B,$A58,RESULTADOS_GRID!$AB:$AB,"&lt;0"))=0,"",SUMIF(RESULTADOS_GRID!$B:$B,$A58,RESULTADOS_GRID!$AB:$AB)/(COUNTIFS(RESULTADOS_GRID!$B:$B,$A58,RESULTADOS_GRID!$AB:$AB,"&gt;=0")+COUNTIFS(RESULTADOS_GRID!$B:$B,$A58,RESULTADOS_GRID!$AB:$AB,"&lt;0"))))</x:f>
      </x:c>
      <x:c r="N58" s="11" t="n"/>
      <x:c r="O58" s="17">
        <x:f>IF($I58="","",COUNTIFS($I$2:$I$101,"&lt;"&amp;$I58)+1)</x:f>
      </x:c>
      <x:c r="P58" s="11" t="n"/>
    </x:row>
    <x:row r="59">
      <x:c r="A59" s="11" t="inlineStr">
        <x:is>
          <x:t xml:space="preserve"/>
        </x:is>
      </x:c>
      <x:c r="B59" s="17">
        <x:f>IF($A59="","",IFERROR(INDEX(RESULTADOS_GRID!$C:$C,MATCH($A59,RESULTADOS_GRID!$B:$B,0)),""))</x:f>
      </x:c>
      <x:c r="C59" s="17">
        <x:f>IF($A59="","",IFERROR(INDEX(RESULTADOS_GRID!$E:$E,MATCH($A59,RESULTADOS_GRID!$B:$B,0)),""))</x:f>
      </x:c>
      <x:c r="D59" s="17">
        <x:f>IF($A59="","",IFERROR(INDEX(RESULTADOS_GRID!$D:$D,MATCH($A59,RESULTADOS_GRID!$B:$B,0)),""))</x:f>
      </x:c>
      <x:c r="E59" s="17">
        <x:f>IF($A59="","",COUNTIF(RESULTADOS_GRID!$B:$B,$A59))</x:f>
      </x:c>
      <x:c r="F59" s="15">
        <x:f>IF($A59="","",SUMIF(RESULTADOS_GRID!$B:$B,$A59,RESULTADOS_GRID!$X:$X))</x:f>
      </x:c>
      <x:c r="G59" s="14" t="n"/>
      <x:c r="H59" s="18">
        <x:f>CONFIG_REFERENCIA!$E$7</x:f>
        <x:v>0.05</x:v>
      </x:c>
      <x:c r="I59" s="15">
        <x:f>IF($A59="","",$F59+N($G59)*$H59)</x:f>
      </x:c>
      <x:c r="J59" s="15">
        <x:f>IF($A59="","",IF((COUNTIFS(RESULTADOS_GRID!$B:$B,$A59,RESULTADOS_GRID!$Y:$Y,"&gt;=0")+COUNTIFS(RESULTADOS_GRID!$B:$B,$A59,RESULTADOS_GRID!$Y:$Y,"&lt;0"))=0,"",SUMIF(RESULTADOS_GRID!$B:$B,$A59,RESULTADOS_GRID!$Y:$Y)/(COUNTIFS(RESULTADOS_GRID!$B:$B,$A59,RESULTADOS_GRID!$Y:$Y,"&gt;=0")+COUNTIFS(RESULTADOS_GRID!$B:$B,$A59,RESULTADOS_GRID!$Y:$Y,"&lt;0"))))</x:f>
      </x:c>
      <x:c r="K59" s="15">
        <x:f>IF($A59="","",IF((COUNTIFS(RESULTADOS_GRID!$B:$B,$A59,RESULTADOS_GRID!$Z:$Z,"&gt;=0")+COUNTIFS(RESULTADOS_GRID!$B:$B,$A59,RESULTADOS_GRID!$Z:$Z,"&lt;0"))=0,"",SUMIF(RESULTADOS_GRID!$B:$B,$A59,RESULTADOS_GRID!$Z:$Z)/(COUNTIFS(RESULTADOS_GRID!$B:$B,$A59,RESULTADOS_GRID!$Z:$Z,"&gt;=0")+COUNTIFS(RESULTADOS_GRID!$B:$B,$A59,RESULTADOS_GRID!$Z:$Z,"&lt;0"))))</x:f>
      </x:c>
      <x:c r="L59" s="12">
        <x:f>IF($A59="","",IF((COUNTIFS(RESULTADOS_GRID!$B:$B,$A59,RESULTADOS_GRID!$AA:$AA,"&gt;=0")+COUNTIFS(RESULTADOS_GRID!$B:$B,$A59,RESULTADOS_GRID!$AA:$AA,"&lt;0"))=0,"",SUMIF(RESULTADOS_GRID!$B:$B,$A59,RESULTADOS_GRID!$AA:$AA)/(COUNTIFS(RESULTADOS_GRID!$B:$B,$A59,RESULTADOS_GRID!$AA:$AA,"&gt;=0")+COUNTIFS(RESULTADOS_GRID!$B:$B,$A59,RESULTADOS_GRID!$AA:$AA,"&lt;0"))))</x:f>
      </x:c>
      <x:c r="M59" s="12">
        <x:f>IF($A59="","",IF((COUNTIFS(RESULTADOS_GRID!$B:$B,$A59,RESULTADOS_GRID!$AB:$AB,"&gt;=0")+COUNTIFS(RESULTADOS_GRID!$B:$B,$A59,RESULTADOS_GRID!$AB:$AB,"&lt;0"))=0,"",SUMIF(RESULTADOS_GRID!$B:$B,$A59,RESULTADOS_GRID!$AB:$AB)/(COUNTIFS(RESULTADOS_GRID!$B:$B,$A59,RESULTADOS_GRID!$AB:$AB,"&gt;=0")+COUNTIFS(RESULTADOS_GRID!$B:$B,$A59,RESULTADOS_GRID!$AB:$AB,"&lt;0"))))</x:f>
      </x:c>
      <x:c r="N59" s="11" t="n"/>
      <x:c r="O59" s="17">
        <x:f>IF($I59="","",COUNTIFS($I$2:$I$101,"&lt;"&amp;$I59)+1)</x:f>
      </x:c>
      <x:c r="P59" s="11" t="n"/>
    </x:row>
    <x:row r="60">
      <x:c r="A60" s="11" t="inlineStr">
        <x:is>
          <x:t xml:space="preserve"/>
        </x:is>
      </x:c>
      <x:c r="B60" s="17">
        <x:f>IF($A60="","",IFERROR(INDEX(RESULTADOS_GRID!$C:$C,MATCH($A60,RESULTADOS_GRID!$B:$B,0)),""))</x:f>
      </x:c>
      <x:c r="C60" s="17">
        <x:f>IF($A60="","",IFERROR(INDEX(RESULTADOS_GRID!$E:$E,MATCH($A60,RESULTADOS_GRID!$B:$B,0)),""))</x:f>
      </x:c>
      <x:c r="D60" s="17">
        <x:f>IF($A60="","",IFERROR(INDEX(RESULTADOS_GRID!$D:$D,MATCH($A60,RESULTADOS_GRID!$B:$B,0)),""))</x:f>
      </x:c>
      <x:c r="E60" s="17">
        <x:f>IF($A60="","",COUNTIF(RESULTADOS_GRID!$B:$B,$A60))</x:f>
      </x:c>
      <x:c r="F60" s="15">
        <x:f>IF($A60="","",SUMIF(RESULTADOS_GRID!$B:$B,$A60,RESULTADOS_GRID!$X:$X))</x:f>
      </x:c>
      <x:c r="G60" s="14" t="n"/>
      <x:c r="H60" s="18">
        <x:f>CONFIG_REFERENCIA!$E$7</x:f>
        <x:v>0.05</x:v>
      </x:c>
      <x:c r="I60" s="15">
        <x:f>IF($A60="","",$F60+N($G60)*$H60)</x:f>
      </x:c>
      <x:c r="J60" s="15">
        <x:f>IF($A60="","",IF((COUNTIFS(RESULTADOS_GRID!$B:$B,$A60,RESULTADOS_GRID!$Y:$Y,"&gt;=0")+COUNTIFS(RESULTADOS_GRID!$B:$B,$A60,RESULTADOS_GRID!$Y:$Y,"&lt;0"))=0,"",SUMIF(RESULTADOS_GRID!$B:$B,$A60,RESULTADOS_GRID!$Y:$Y)/(COUNTIFS(RESULTADOS_GRID!$B:$B,$A60,RESULTADOS_GRID!$Y:$Y,"&gt;=0")+COUNTIFS(RESULTADOS_GRID!$B:$B,$A60,RESULTADOS_GRID!$Y:$Y,"&lt;0"))))</x:f>
      </x:c>
      <x:c r="K60" s="15">
        <x:f>IF($A60="","",IF((COUNTIFS(RESULTADOS_GRID!$B:$B,$A60,RESULTADOS_GRID!$Z:$Z,"&gt;=0")+COUNTIFS(RESULTADOS_GRID!$B:$B,$A60,RESULTADOS_GRID!$Z:$Z,"&lt;0"))=0,"",SUMIF(RESULTADOS_GRID!$B:$B,$A60,RESULTADOS_GRID!$Z:$Z)/(COUNTIFS(RESULTADOS_GRID!$B:$B,$A60,RESULTADOS_GRID!$Z:$Z,"&gt;=0")+COUNTIFS(RESULTADOS_GRID!$B:$B,$A60,RESULTADOS_GRID!$Z:$Z,"&lt;0"))))</x:f>
      </x:c>
      <x:c r="L60" s="12">
        <x:f>IF($A60="","",IF((COUNTIFS(RESULTADOS_GRID!$B:$B,$A60,RESULTADOS_GRID!$AA:$AA,"&gt;=0")+COUNTIFS(RESULTADOS_GRID!$B:$B,$A60,RESULTADOS_GRID!$AA:$AA,"&lt;0"))=0,"",SUMIF(RESULTADOS_GRID!$B:$B,$A60,RESULTADOS_GRID!$AA:$AA)/(COUNTIFS(RESULTADOS_GRID!$B:$B,$A60,RESULTADOS_GRID!$AA:$AA,"&gt;=0")+COUNTIFS(RESULTADOS_GRID!$B:$B,$A60,RESULTADOS_GRID!$AA:$AA,"&lt;0"))))</x:f>
      </x:c>
      <x:c r="M60" s="12">
        <x:f>IF($A60="","",IF((COUNTIFS(RESULTADOS_GRID!$B:$B,$A60,RESULTADOS_GRID!$AB:$AB,"&gt;=0")+COUNTIFS(RESULTADOS_GRID!$B:$B,$A60,RESULTADOS_GRID!$AB:$AB,"&lt;0"))=0,"",SUMIF(RESULTADOS_GRID!$B:$B,$A60,RESULTADOS_GRID!$AB:$AB)/(COUNTIFS(RESULTADOS_GRID!$B:$B,$A60,RESULTADOS_GRID!$AB:$AB,"&gt;=0")+COUNTIFS(RESULTADOS_GRID!$B:$B,$A60,RESULTADOS_GRID!$AB:$AB,"&lt;0"))))</x:f>
      </x:c>
      <x:c r="N60" s="11" t="n"/>
      <x:c r="O60" s="17">
        <x:f>IF($I60="","",COUNTIFS($I$2:$I$101,"&lt;"&amp;$I60)+1)</x:f>
      </x:c>
      <x:c r="P60" s="11" t="n"/>
    </x:row>
    <x:row r="61">
      <x:c r="A61" s="11" t="inlineStr">
        <x:is>
          <x:t xml:space="preserve"/>
        </x:is>
      </x:c>
      <x:c r="B61" s="17">
        <x:f>IF($A61="","",IFERROR(INDEX(RESULTADOS_GRID!$C:$C,MATCH($A61,RESULTADOS_GRID!$B:$B,0)),""))</x:f>
      </x:c>
      <x:c r="C61" s="17">
        <x:f>IF($A61="","",IFERROR(INDEX(RESULTADOS_GRID!$E:$E,MATCH($A61,RESULTADOS_GRID!$B:$B,0)),""))</x:f>
      </x:c>
      <x:c r="D61" s="17">
        <x:f>IF($A61="","",IFERROR(INDEX(RESULTADOS_GRID!$D:$D,MATCH($A61,RESULTADOS_GRID!$B:$B,0)),""))</x:f>
      </x:c>
      <x:c r="E61" s="17">
        <x:f>IF($A61="","",COUNTIF(RESULTADOS_GRID!$B:$B,$A61))</x:f>
      </x:c>
      <x:c r="F61" s="15">
        <x:f>IF($A61="","",SUMIF(RESULTADOS_GRID!$B:$B,$A61,RESULTADOS_GRID!$X:$X))</x:f>
      </x:c>
      <x:c r="G61" s="14" t="n"/>
      <x:c r="H61" s="18">
        <x:f>CONFIG_REFERENCIA!$E$7</x:f>
        <x:v>0.05</x:v>
      </x:c>
      <x:c r="I61" s="15">
        <x:f>IF($A61="","",$F61+N($G61)*$H61)</x:f>
      </x:c>
      <x:c r="J61" s="15">
        <x:f>IF($A61="","",IF((COUNTIFS(RESULTADOS_GRID!$B:$B,$A61,RESULTADOS_GRID!$Y:$Y,"&gt;=0")+COUNTIFS(RESULTADOS_GRID!$B:$B,$A61,RESULTADOS_GRID!$Y:$Y,"&lt;0"))=0,"",SUMIF(RESULTADOS_GRID!$B:$B,$A61,RESULTADOS_GRID!$Y:$Y)/(COUNTIFS(RESULTADOS_GRID!$B:$B,$A61,RESULTADOS_GRID!$Y:$Y,"&gt;=0")+COUNTIFS(RESULTADOS_GRID!$B:$B,$A61,RESULTADOS_GRID!$Y:$Y,"&lt;0"))))</x:f>
      </x:c>
      <x:c r="K61" s="15">
        <x:f>IF($A61="","",IF((COUNTIFS(RESULTADOS_GRID!$B:$B,$A61,RESULTADOS_GRID!$Z:$Z,"&gt;=0")+COUNTIFS(RESULTADOS_GRID!$B:$B,$A61,RESULTADOS_GRID!$Z:$Z,"&lt;0"))=0,"",SUMIF(RESULTADOS_GRID!$B:$B,$A61,RESULTADOS_GRID!$Z:$Z)/(COUNTIFS(RESULTADOS_GRID!$B:$B,$A61,RESULTADOS_GRID!$Z:$Z,"&gt;=0")+COUNTIFS(RESULTADOS_GRID!$B:$B,$A61,RESULTADOS_GRID!$Z:$Z,"&lt;0"))))</x:f>
      </x:c>
      <x:c r="L61" s="12">
        <x:f>IF($A61="","",IF((COUNTIFS(RESULTADOS_GRID!$B:$B,$A61,RESULTADOS_GRID!$AA:$AA,"&gt;=0")+COUNTIFS(RESULTADOS_GRID!$B:$B,$A61,RESULTADOS_GRID!$AA:$AA,"&lt;0"))=0,"",SUMIF(RESULTADOS_GRID!$B:$B,$A61,RESULTADOS_GRID!$AA:$AA)/(COUNTIFS(RESULTADOS_GRID!$B:$B,$A61,RESULTADOS_GRID!$AA:$AA,"&gt;=0")+COUNTIFS(RESULTADOS_GRID!$B:$B,$A61,RESULTADOS_GRID!$AA:$AA,"&lt;0"))))</x:f>
      </x:c>
      <x:c r="M61" s="12">
        <x:f>IF($A61="","",IF((COUNTIFS(RESULTADOS_GRID!$B:$B,$A61,RESULTADOS_GRID!$AB:$AB,"&gt;=0")+COUNTIFS(RESULTADOS_GRID!$B:$B,$A61,RESULTADOS_GRID!$AB:$AB,"&lt;0"))=0,"",SUMIF(RESULTADOS_GRID!$B:$B,$A61,RESULTADOS_GRID!$AB:$AB)/(COUNTIFS(RESULTADOS_GRID!$B:$B,$A61,RESULTADOS_GRID!$AB:$AB,"&gt;=0")+COUNTIFS(RESULTADOS_GRID!$B:$B,$A61,RESULTADOS_GRID!$AB:$AB,"&lt;0"))))</x:f>
      </x:c>
      <x:c r="N61" s="11" t="n"/>
      <x:c r="O61" s="17">
        <x:f>IF($I61="","",COUNTIFS($I$2:$I$101,"&lt;"&amp;$I61)+1)</x:f>
      </x:c>
      <x:c r="P61" s="11" t="n"/>
    </x:row>
    <x:row r="62">
      <x:c r="A62" s="11" t="inlineStr">
        <x:is>
          <x:t xml:space="preserve"/>
        </x:is>
      </x:c>
      <x:c r="B62" s="17">
        <x:f>IF($A62="","",IFERROR(INDEX(RESULTADOS_GRID!$C:$C,MATCH($A62,RESULTADOS_GRID!$B:$B,0)),""))</x:f>
      </x:c>
      <x:c r="C62" s="17">
        <x:f>IF($A62="","",IFERROR(INDEX(RESULTADOS_GRID!$E:$E,MATCH($A62,RESULTADOS_GRID!$B:$B,0)),""))</x:f>
      </x:c>
      <x:c r="D62" s="17">
        <x:f>IF($A62="","",IFERROR(INDEX(RESULTADOS_GRID!$D:$D,MATCH($A62,RESULTADOS_GRID!$B:$B,0)),""))</x:f>
      </x:c>
      <x:c r="E62" s="17">
        <x:f>IF($A62="","",COUNTIF(RESULTADOS_GRID!$B:$B,$A62))</x:f>
      </x:c>
      <x:c r="F62" s="15">
        <x:f>IF($A62="","",SUMIF(RESULTADOS_GRID!$B:$B,$A62,RESULTADOS_GRID!$X:$X))</x:f>
      </x:c>
      <x:c r="G62" s="14" t="n"/>
      <x:c r="H62" s="18">
        <x:f>CONFIG_REFERENCIA!$E$7</x:f>
        <x:v>0.05</x:v>
      </x:c>
      <x:c r="I62" s="15">
        <x:f>IF($A62="","",$F62+N($G62)*$H62)</x:f>
      </x:c>
      <x:c r="J62" s="15">
        <x:f>IF($A62="","",IF((COUNTIFS(RESULTADOS_GRID!$B:$B,$A62,RESULTADOS_GRID!$Y:$Y,"&gt;=0")+COUNTIFS(RESULTADOS_GRID!$B:$B,$A62,RESULTADOS_GRID!$Y:$Y,"&lt;0"))=0,"",SUMIF(RESULTADOS_GRID!$B:$B,$A62,RESULTADOS_GRID!$Y:$Y)/(COUNTIFS(RESULTADOS_GRID!$B:$B,$A62,RESULTADOS_GRID!$Y:$Y,"&gt;=0")+COUNTIFS(RESULTADOS_GRID!$B:$B,$A62,RESULTADOS_GRID!$Y:$Y,"&lt;0"))))</x:f>
      </x:c>
      <x:c r="K62" s="15">
        <x:f>IF($A62="","",IF((COUNTIFS(RESULTADOS_GRID!$B:$B,$A62,RESULTADOS_GRID!$Z:$Z,"&gt;=0")+COUNTIFS(RESULTADOS_GRID!$B:$B,$A62,RESULTADOS_GRID!$Z:$Z,"&lt;0"))=0,"",SUMIF(RESULTADOS_GRID!$B:$B,$A62,RESULTADOS_GRID!$Z:$Z)/(COUNTIFS(RESULTADOS_GRID!$B:$B,$A62,RESULTADOS_GRID!$Z:$Z,"&gt;=0")+COUNTIFS(RESULTADOS_GRID!$B:$B,$A62,RESULTADOS_GRID!$Z:$Z,"&lt;0"))))</x:f>
      </x:c>
      <x:c r="L62" s="12">
        <x:f>IF($A62="","",IF((COUNTIFS(RESULTADOS_GRID!$B:$B,$A62,RESULTADOS_GRID!$AA:$AA,"&gt;=0")+COUNTIFS(RESULTADOS_GRID!$B:$B,$A62,RESULTADOS_GRID!$AA:$AA,"&lt;0"))=0,"",SUMIF(RESULTADOS_GRID!$B:$B,$A62,RESULTADOS_GRID!$AA:$AA)/(COUNTIFS(RESULTADOS_GRID!$B:$B,$A62,RESULTADOS_GRID!$AA:$AA,"&gt;=0")+COUNTIFS(RESULTADOS_GRID!$B:$B,$A62,RESULTADOS_GRID!$AA:$AA,"&lt;0"))))</x:f>
      </x:c>
      <x:c r="M62" s="12">
        <x:f>IF($A62="","",IF((COUNTIFS(RESULTADOS_GRID!$B:$B,$A62,RESULTADOS_GRID!$AB:$AB,"&gt;=0")+COUNTIFS(RESULTADOS_GRID!$B:$B,$A62,RESULTADOS_GRID!$AB:$AB,"&lt;0"))=0,"",SUMIF(RESULTADOS_GRID!$B:$B,$A62,RESULTADOS_GRID!$AB:$AB)/(COUNTIFS(RESULTADOS_GRID!$B:$B,$A62,RESULTADOS_GRID!$AB:$AB,"&gt;=0")+COUNTIFS(RESULTADOS_GRID!$B:$B,$A62,RESULTADOS_GRID!$AB:$AB,"&lt;0"))))</x:f>
      </x:c>
      <x:c r="N62" s="11" t="n"/>
      <x:c r="O62" s="17">
        <x:f>IF($I62="","",COUNTIFS($I$2:$I$101,"&lt;"&amp;$I62)+1)</x:f>
      </x:c>
      <x:c r="P62" s="11" t="n"/>
    </x:row>
    <x:row r="63">
      <x:c r="A63" s="11" t="inlineStr">
        <x:is>
          <x:t xml:space="preserve"/>
        </x:is>
      </x:c>
      <x:c r="B63" s="17">
        <x:f>IF($A63="","",IFERROR(INDEX(RESULTADOS_GRID!$C:$C,MATCH($A63,RESULTADOS_GRID!$B:$B,0)),""))</x:f>
      </x:c>
      <x:c r="C63" s="17">
        <x:f>IF($A63="","",IFERROR(INDEX(RESULTADOS_GRID!$E:$E,MATCH($A63,RESULTADOS_GRID!$B:$B,0)),""))</x:f>
      </x:c>
      <x:c r="D63" s="17">
        <x:f>IF($A63="","",IFERROR(INDEX(RESULTADOS_GRID!$D:$D,MATCH($A63,RESULTADOS_GRID!$B:$B,0)),""))</x:f>
      </x:c>
      <x:c r="E63" s="17">
        <x:f>IF($A63="","",COUNTIF(RESULTADOS_GRID!$B:$B,$A63))</x:f>
      </x:c>
      <x:c r="F63" s="15">
        <x:f>IF($A63="","",SUMIF(RESULTADOS_GRID!$B:$B,$A63,RESULTADOS_GRID!$X:$X))</x:f>
      </x:c>
      <x:c r="G63" s="14" t="n"/>
      <x:c r="H63" s="18">
        <x:f>CONFIG_REFERENCIA!$E$7</x:f>
        <x:v>0.05</x:v>
      </x:c>
      <x:c r="I63" s="15">
        <x:f>IF($A63="","",$F63+N($G63)*$H63)</x:f>
      </x:c>
      <x:c r="J63" s="15">
        <x:f>IF($A63="","",IF((COUNTIFS(RESULTADOS_GRID!$B:$B,$A63,RESULTADOS_GRID!$Y:$Y,"&gt;=0")+COUNTIFS(RESULTADOS_GRID!$B:$B,$A63,RESULTADOS_GRID!$Y:$Y,"&lt;0"))=0,"",SUMIF(RESULTADOS_GRID!$B:$B,$A63,RESULTADOS_GRID!$Y:$Y)/(COUNTIFS(RESULTADOS_GRID!$B:$B,$A63,RESULTADOS_GRID!$Y:$Y,"&gt;=0")+COUNTIFS(RESULTADOS_GRID!$B:$B,$A63,RESULTADOS_GRID!$Y:$Y,"&lt;0"))))</x:f>
      </x:c>
      <x:c r="K63" s="15">
        <x:f>IF($A63="","",IF((COUNTIFS(RESULTADOS_GRID!$B:$B,$A63,RESULTADOS_GRID!$Z:$Z,"&gt;=0")+COUNTIFS(RESULTADOS_GRID!$B:$B,$A63,RESULTADOS_GRID!$Z:$Z,"&lt;0"))=0,"",SUMIF(RESULTADOS_GRID!$B:$B,$A63,RESULTADOS_GRID!$Z:$Z)/(COUNTIFS(RESULTADOS_GRID!$B:$B,$A63,RESULTADOS_GRID!$Z:$Z,"&gt;=0")+COUNTIFS(RESULTADOS_GRID!$B:$B,$A63,RESULTADOS_GRID!$Z:$Z,"&lt;0"))))</x:f>
      </x:c>
      <x:c r="L63" s="12">
        <x:f>IF($A63="","",IF((COUNTIFS(RESULTADOS_GRID!$B:$B,$A63,RESULTADOS_GRID!$AA:$AA,"&gt;=0")+COUNTIFS(RESULTADOS_GRID!$B:$B,$A63,RESULTADOS_GRID!$AA:$AA,"&lt;0"))=0,"",SUMIF(RESULTADOS_GRID!$B:$B,$A63,RESULTADOS_GRID!$AA:$AA)/(COUNTIFS(RESULTADOS_GRID!$B:$B,$A63,RESULTADOS_GRID!$AA:$AA,"&gt;=0")+COUNTIFS(RESULTADOS_GRID!$B:$B,$A63,RESULTADOS_GRID!$AA:$AA,"&lt;0"))))</x:f>
      </x:c>
      <x:c r="M63" s="12">
        <x:f>IF($A63="","",IF((COUNTIFS(RESULTADOS_GRID!$B:$B,$A63,RESULTADOS_GRID!$AB:$AB,"&gt;=0")+COUNTIFS(RESULTADOS_GRID!$B:$B,$A63,RESULTADOS_GRID!$AB:$AB,"&lt;0"))=0,"",SUMIF(RESULTADOS_GRID!$B:$B,$A63,RESULTADOS_GRID!$AB:$AB)/(COUNTIFS(RESULTADOS_GRID!$B:$B,$A63,RESULTADOS_GRID!$AB:$AB,"&gt;=0")+COUNTIFS(RESULTADOS_GRID!$B:$B,$A63,RESULTADOS_GRID!$AB:$AB,"&lt;0"))))</x:f>
      </x:c>
      <x:c r="N63" s="11" t="n"/>
      <x:c r="O63" s="17">
        <x:f>IF($I63="","",COUNTIFS($I$2:$I$101,"&lt;"&amp;$I63)+1)</x:f>
      </x:c>
      <x:c r="P63" s="11" t="n"/>
    </x:row>
    <x:row r="64">
      <x:c r="A64" s="11" t="inlineStr">
        <x:is>
          <x:t xml:space="preserve"/>
        </x:is>
      </x:c>
      <x:c r="B64" s="17">
        <x:f>IF($A64="","",IFERROR(INDEX(RESULTADOS_GRID!$C:$C,MATCH($A64,RESULTADOS_GRID!$B:$B,0)),""))</x:f>
      </x:c>
      <x:c r="C64" s="17">
        <x:f>IF($A64="","",IFERROR(INDEX(RESULTADOS_GRID!$E:$E,MATCH($A64,RESULTADOS_GRID!$B:$B,0)),""))</x:f>
      </x:c>
      <x:c r="D64" s="17">
        <x:f>IF($A64="","",IFERROR(INDEX(RESULTADOS_GRID!$D:$D,MATCH($A64,RESULTADOS_GRID!$B:$B,0)),""))</x:f>
      </x:c>
      <x:c r="E64" s="17">
        <x:f>IF($A64="","",COUNTIF(RESULTADOS_GRID!$B:$B,$A64))</x:f>
      </x:c>
      <x:c r="F64" s="15">
        <x:f>IF($A64="","",SUMIF(RESULTADOS_GRID!$B:$B,$A64,RESULTADOS_GRID!$X:$X))</x:f>
      </x:c>
      <x:c r="G64" s="14" t="n"/>
      <x:c r="H64" s="18">
        <x:f>CONFIG_REFERENCIA!$E$7</x:f>
        <x:v>0.05</x:v>
      </x:c>
      <x:c r="I64" s="15">
        <x:f>IF($A64="","",$F64+N($G64)*$H64)</x:f>
      </x:c>
      <x:c r="J64" s="15">
        <x:f>IF($A64="","",IF((COUNTIFS(RESULTADOS_GRID!$B:$B,$A64,RESULTADOS_GRID!$Y:$Y,"&gt;=0")+COUNTIFS(RESULTADOS_GRID!$B:$B,$A64,RESULTADOS_GRID!$Y:$Y,"&lt;0"))=0,"",SUMIF(RESULTADOS_GRID!$B:$B,$A64,RESULTADOS_GRID!$Y:$Y)/(COUNTIFS(RESULTADOS_GRID!$B:$B,$A64,RESULTADOS_GRID!$Y:$Y,"&gt;=0")+COUNTIFS(RESULTADOS_GRID!$B:$B,$A64,RESULTADOS_GRID!$Y:$Y,"&lt;0"))))</x:f>
      </x:c>
      <x:c r="K64" s="15">
        <x:f>IF($A64="","",IF((COUNTIFS(RESULTADOS_GRID!$B:$B,$A64,RESULTADOS_GRID!$Z:$Z,"&gt;=0")+COUNTIFS(RESULTADOS_GRID!$B:$B,$A64,RESULTADOS_GRID!$Z:$Z,"&lt;0"))=0,"",SUMIF(RESULTADOS_GRID!$B:$B,$A64,RESULTADOS_GRID!$Z:$Z)/(COUNTIFS(RESULTADOS_GRID!$B:$B,$A64,RESULTADOS_GRID!$Z:$Z,"&gt;=0")+COUNTIFS(RESULTADOS_GRID!$B:$B,$A64,RESULTADOS_GRID!$Z:$Z,"&lt;0"))))</x:f>
      </x:c>
      <x:c r="L64" s="12">
        <x:f>IF($A64="","",IF((COUNTIFS(RESULTADOS_GRID!$B:$B,$A64,RESULTADOS_GRID!$AA:$AA,"&gt;=0")+COUNTIFS(RESULTADOS_GRID!$B:$B,$A64,RESULTADOS_GRID!$AA:$AA,"&lt;0"))=0,"",SUMIF(RESULTADOS_GRID!$B:$B,$A64,RESULTADOS_GRID!$AA:$AA)/(COUNTIFS(RESULTADOS_GRID!$B:$B,$A64,RESULTADOS_GRID!$AA:$AA,"&gt;=0")+COUNTIFS(RESULTADOS_GRID!$B:$B,$A64,RESULTADOS_GRID!$AA:$AA,"&lt;0"))))</x:f>
      </x:c>
      <x:c r="M64" s="12">
        <x:f>IF($A64="","",IF((COUNTIFS(RESULTADOS_GRID!$B:$B,$A64,RESULTADOS_GRID!$AB:$AB,"&gt;=0")+COUNTIFS(RESULTADOS_GRID!$B:$B,$A64,RESULTADOS_GRID!$AB:$AB,"&lt;0"))=0,"",SUMIF(RESULTADOS_GRID!$B:$B,$A64,RESULTADOS_GRID!$AB:$AB)/(COUNTIFS(RESULTADOS_GRID!$B:$B,$A64,RESULTADOS_GRID!$AB:$AB,"&gt;=0")+COUNTIFS(RESULTADOS_GRID!$B:$B,$A64,RESULTADOS_GRID!$AB:$AB,"&lt;0"))))</x:f>
      </x:c>
      <x:c r="N64" s="11" t="n"/>
      <x:c r="O64" s="17">
        <x:f>IF($I64="","",COUNTIFS($I$2:$I$101,"&lt;"&amp;$I64)+1)</x:f>
      </x:c>
      <x:c r="P64" s="11" t="n"/>
    </x:row>
    <x:row r="65">
      <x:c r="A65" s="11" t="inlineStr">
        <x:is>
          <x:t xml:space="preserve"/>
        </x:is>
      </x:c>
      <x:c r="B65" s="17">
        <x:f>IF($A65="","",IFERROR(INDEX(RESULTADOS_GRID!$C:$C,MATCH($A65,RESULTADOS_GRID!$B:$B,0)),""))</x:f>
      </x:c>
      <x:c r="C65" s="17">
        <x:f>IF($A65="","",IFERROR(INDEX(RESULTADOS_GRID!$E:$E,MATCH($A65,RESULTADOS_GRID!$B:$B,0)),""))</x:f>
      </x:c>
      <x:c r="D65" s="17">
        <x:f>IF($A65="","",IFERROR(INDEX(RESULTADOS_GRID!$D:$D,MATCH($A65,RESULTADOS_GRID!$B:$B,0)),""))</x:f>
      </x:c>
      <x:c r="E65" s="17">
        <x:f>IF($A65="","",COUNTIF(RESULTADOS_GRID!$B:$B,$A65))</x:f>
      </x:c>
      <x:c r="F65" s="15">
        <x:f>IF($A65="","",SUMIF(RESULTADOS_GRID!$B:$B,$A65,RESULTADOS_GRID!$X:$X))</x:f>
      </x:c>
      <x:c r="G65" s="14" t="n"/>
      <x:c r="H65" s="18">
        <x:f>CONFIG_REFERENCIA!$E$7</x:f>
        <x:v>0.05</x:v>
      </x:c>
      <x:c r="I65" s="15">
        <x:f>IF($A65="","",$F65+N($G65)*$H65)</x:f>
      </x:c>
      <x:c r="J65" s="15">
        <x:f>IF($A65="","",IF((COUNTIFS(RESULTADOS_GRID!$B:$B,$A65,RESULTADOS_GRID!$Y:$Y,"&gt;=0")+COUNTIFS(RESULTADOS_GRID!$B:$B,$A65,RESULTADOS_GRID!$Y:$Y,"&lt;0"))=0,"",SUMIF(RESULTADOS_GRID!$B:$B,$A65,RESULTADOS_GRID!$Y:$Y)/(COUNTIFS(RESULTADOS_GRID!$B:$B,$A65,RESULTADOS_GRID!$Y:$Y,"&gt;=0")+COUNTIFS(RESULTADOS_GRID!$B:$B,$A65,RESULTADOS_GRID!$Y:$Y,"&lt;0"))))</x:f>
      </x:c>
      <x:c r="K65" s="15">
        <x:f>IF($A65="","",IF((COUNTIFS(RESULTADOS_GRID!$B:$B,$A65,RESULTADOS_GRID!$Z:$Z,"&gt;=0")+COUNTIFS(RESULTADOS_GRID!$B:$B,$A65,RESULTADOS_GRID!$Z:$Z,"&lt;0"))=0,"",SUMIF(RESULTADOS_GRID!$B:$B,$A65,RESULTADOS_GRID!$Z:$Z)/(COUNTIFS(RESULTADOS_GRID!$B:$B,$A65,RESULTADOS_GRID!$Z:$Z,"&gt;=0")+COUNTIFS(RESULTADOS_GRID!$B:$B,$A65,RESULTADOS_GRID!$Z:$Z,"&lt;0"))))</x:f>
      </x:c>
      <x:c r="L65" s="12">
        <x:f>IF($A65="","",IF((COUNTIFS(RESULTADOS_GRID!$B:$B,$A65,RESULTADOS_GRID!$AA:$AA,"&gt;=0")+COUNTIFS(RESULTADOS_GRID!$B:$B,$A65,RESULTADOS_GRID!$AA:$AA,"&lt;0"))=0,"",SUMIF(RESULTADOS_GRID!$B:$B,$A65,RESULTADOS_GRID!$AA:$AA)/(COUNTIFS(RESULTADOS_GRID!$B:$B,$A65,RESULTADOS_GRID!$AA:$AA,"&gt;=0")+COUNTIFS(RESULTADOS_GRID!$B:$B,$A65,RESULTADOS_GRID!$AA:$AA,"&lt;0"))))</x:f>
      </x:c>
      <x:c r="M65" s="12">
        <x:f>IF($A65="","",IF((COUNTIFS(RESULTADOS_GRID!$B:$B,$A65,RESULTADOS_GRID!$AB:$AB,"&gt;=0")+COUNTIFS(RESULTADOS_GRID!$B:$B,$A65,RESULTADOS_GRID!$AB:$AB,"&lt;0"))=0,"",SUMIF(RESULTADOS_GRID!$B:$B,$A65,RESULTADOS_GRID!$AB:$AB)/(COUNTIFS(RESULTADOS_GRID!$B:$B,$A65,RESULTADOS_GRID!$AB:$AB,"&gt;=0")+COUNTIFS(RESULTADOS_GRID!$B:$B,$A65,RESULTADOS_GRID!$AB:$AB,"&lt;0"))))</x:f>
      </x:c>
      <x:c r="N65" s="11" t="n"/>
      <x:c r="O65" s="17">
        <x:f>IF($I65="","",COUNTIFS($I$2:$I$101,"&lt;"&amp;$I65)+1)</x:f>
      </x:c>
      <x:c r="P65" s="11" t="n"/>
    </x:row>
    <x:row r="66">
      <x:c r="A66" s="11" t="inlineStr">
        <x:is>
          <x:t xml:space="preserve"/>
        </x:is>
      </x:c>
      <x:c r="B66" s="17">
        <x:f>IF($A66="","",IFERROR(INDEX(RESULTADOS_GRID!$C:$C,MATCH($A66,RESULTADOS_GRID!$B:$B,0)),""))</x:f>
      </x:c>
      <x:c r="C66" s="17">
        <x:f>IF($A66="","",IFERROR(INDEX(RESULTADOS_GRID!$E:$E,MATCH($A66,RESULTADOS_GRID!$B:$B,0)),""))</x:f>
      </x:c>
      <x:c r="D66" s="17">
        <x:f>IF($A66="","",IFERROR(INDEX(RESULTADOS_GRID!$D:$D,MATCH($A66,RESULTADOS_GRID!$B:$B,0)),""))</x:f>
      </x:c>
      <x:c r="E66" s="17">
        <x:f>IF($A66="","",COUNTIF(RESULTADOS_GRID!$B:$B,$A66))</x:f>
      </x:c>
      <x:c r="F66" s="15">
        <x:f>IF($A66="","",SUMIF(RESULTADOS_GRID!$B:$B,$A66,RESULTADOS_GRID!$X:$X))</x:f>
      </x:c>
      <x:c r="G66" s="14" t="n"/>
      <x:c r="H66" s="18">
        <x:f>CONFIG_REFERENCIA!$E$7</x:f>
        <x:v>0.05</x:v>
      </x:c>
      <x:c r="I66" s="15">
        <x:f>IF($A66="","",$F66+N($G66)*$H66)</x:f>
      </x:c>
      <x:c r="J66" s="15">
        <x:f>IF($A66="","",IF((COUNTIFS(RESULTADOS_GRID!$B:$B,$A66,RESULTADOS_GRID!$Y:$Y,"&gt;=0")+COUNTIFS(RESULTADOS_GRID!$B:$B,$A66,RESULTADOS_GRID!$Y:$Y,"&lt;0"))=0,"",SUMIF(RESULTADOS_GRID!$B:$B,$A66,RESULTADOS_GRID!$Y:$Y)/(COUNTIFS(RESULTADOS_GRID!$B:$B,$A66,RESULTADOS_GRID!$Y:$Y,"&gt;=0")+COUNTIFS(RESULTADOS_GRID!$B:$B,$A66,RESULTADOS_GRID!$Y:$Y,"&lt;0"))))</x:f>
      </x:c>
      <x:c r="K66" s="15">
        <x:f>IF($A66="","",IF((COUNTIFS(RESULTADOS_GRID!$B:$B,$A66,RESULTADOS_GRID!$Z:$Z,"&gt;=0")+COUNTIFS(RESULTADOS_GRID!$B:$B,$A66,RESULTADOS_GRID!$Z:$Z,"&lt;0"))=0,"",SUMIF(RESULTADOS_GRID!$B:$B,$A66,RESULTADOS_GRID!$Z:$Z)/(COUNTIFS(RESULTADOS_GRID!$B:$B,$A66,RESULTADOS_GRID!$Z:$Z,"&gt;=0")+COUNTIFS(RESULTADOS_GRID!$B:$B,$A66,RESULTADOS_GRID!$Z:$Z,"&lt;0"))))</x:f>
      </x:c>
      <x:c r="L66" s="12">
        <x:f>IF($A66="","",IF((COUNTIFS(RESULTADOS_GRID!$B:$B,$A66,RESULTADOS_GRID!$AA:$AA,"&gt;=0")+COUNTIFS(RESULTADOS_GRID!$B:$B,$A66,RESULTADOS_GRID!$AA:$AA,"&lt;0"))=0,"",SUMIF(RESULTADOS_GRID!$B:$B,$A66,RESULTADOS_GRID!$AA:$AA)/(COUNTIFS(RESULTADOS_GRID!$B:$B,$A66,RESULTADOS_GRID!$AA:$AA,"&gt;=0")+COUNTIFS(RESULTADOS_GRID!$B:$B,$A66,RESULTADOS_GRID!$AA:$AA,"&lt;0"))))</x:f>
      </x:c>
      <x:c r="M66" s="12">
        <x:f>IF($A66="","",IF((COUNTIFS(RESULTADOS_GRID!$B:$B,$A66,RESULTADOS_GRID!$AB:$AB,"&gt;=0")+COUNTIFS(RESULTADOS_GRID!$B:$B,$A66,RESULTADOS_GRID!$AB:$AB,"&lt;0"))=0,"",SUMIF(RESULTADOS_GRID!$B:$B,$A66,RESULTADOS_GRID!$AB:$AB)/(COUNTIFS(RESULTADOS_GRID!$B:$B,$A66,RESULTADOS_GRID!$AB:$AB,"&gt;=0")+COUNTIFS(RESULTADOS_GRID!$B:$B,$A66,RESULTADOS_GRID!$AB:$AB,"&lt;0"))))</x:f>
      </x:c>
      <x:c r="N66" s="11" t="n"/>
      <x:c r="O66" s="17">
        <x:f>IF($I66="","",COUNTIFS($I$2:$I$101,"&lt;"&amp;$I66)+1)</x:f>
      </x:c>
      <x:c r="P66" s="11" t="n"/>
    </x:row>
    <x:row r="67">
      <x:c r="A67" s="11" t="inlineStr">
        <x:is>
          <x:t xml:space="preserve"/>
        </x:is>
      </x:c>
      <x:c r="B67" s="17">
        <x:f>IF($A67="","",IFERROR(INDEX(RESULTADOS_GRID!$C:$C,MATCH($A67,RESULTADOS_GRID!$B:$B,0)),""))</x:f>
      </x:c>
      <x:c r="C67" s="17">
        <x:f>IF($A67="","",IFERROR(INDEX(RESULTADOS_GRID!$E:$E,MATCH($A67,RESULTADOS_GRID!$B:$B,0)),""))</x:f>
      </x:c>
      <x:c r="D67" s="17">
        <x:f>IF($A67="","",IFERROR(INDEX(RESULTADOS_GRID!$D:$D,MATCH($A67,RESULTADOS_GRID!$B:$B,0)),""))</x:f>
      </x:c>
      <x:c r="E67" s="17">
        <x:f>IF($A67="","",COUNTIF(RESULTADOS_GRID!$B:$B,$A67))</x:f>
      </x:c>
      <x:c r="F67" s="15">
        <x:f>IF($A67="","",SUMIF(RESULTADOS_GRID!$B:$B,$A67,RESULTADOS_GRID!$X:$X))</x:f>
      </x:c>
      <x:c r="G67" s="14" t="n"/>
      <x:c r="H67" s="18">
        <x:f>CONFIG_REFERENCIA!$E$7</x:f>
        <x:v>0.05</x:v>
      </x:c>
      <x:c r="I67" s="15">
        <x:f>IF($A67="","",$F67+N($G67)*$H67)</x:f>
      </x:c>
      <x:c r="J67" s="15">
        <x:f>IF($A67="","",IF((COUNTIFS(RESULTADOS_GRID!$B:$B,$A67,RESULTADOS_GRID!$Y:$Y,"&gt;=0")+COUNTIFS(RESULTADOS_GRID!$B:$B,$A67,RESULTADOS_GRID!$Y:$Y,"&lt;0"))=0,"",SUMIF(RESULTADOS_GRID!$B:$B,$A67,RESULTADOS_GRID!$Y:$Y)/(COUNTIFS(RESULTADOS_GRID!$B:$B,$A67,RESULTADOS_GRID!$Y:$Y,"&gt;=0")+COUNTIFS(RESULTADOS_GRID!$B:$B,$A67,RESULTADOS_GRID!$Y:$Y,"&lt;0"))))</x:f>
      </x:c>
      <x:c r="K67" s="15">
        <x:f>IF($A67="","",IF((COUNTIFS(RESULTADOS_GRID!$B:$B,$A67,RESULTADOS_GRID!$Z:$Z,"&gt;=0")+COUNTIFS(RESULTADOS_GRID!$B:$B,$A67,RESULTADOS_GRID!$Z:$Z,"&lt;0"))=0,"",SUMIF(RESULTADOS_GRID!$B:$B,$A67,RESULTADOS_GRID!$Z:$Z)/(COUNTIFS(RESULTADOS_GRID!$B:$B,$A67,RESULTADOS_GRID!$Z:$Z,"&gt;=0")+COUNTIFS(RESULTADOS_GRID!$B:$B,$A67,RESULTADOS_GRID!$Z:$Z,"&lt;0"))))</x:f>
      </x:c>
      <x:c r="L67" s="12">
        <x:f>IF($A67="","",IF((COUNTIFS(RESULTADOS_GRID!$B:$B,$A67,RESULTADOS_GRID!$AA:$AA,"&gt;=0")+COUNTIFS(RESULTADOS_GRID!$B:$B,$A67,RESULTADOS_GRID!$AA:$AA,"&lt;0"))=0,"",SUMIF(RESULTADOS_GRID!$B:$B,$A67,RESULTADOS_GRID!$AA:$AA)/(COUNTIFS(RESULTADOS_GRID!$B:$B,$A67,RESULTADOS_GRID!$AA:$AA,"&gt;=0")+COUNTIFS(RESULTADOS_GRID!$B:$B,$A67,RESULTADOS_GRID!$AA:$AA,"&lt;0"))))</x:f>
      </x:c>
      <x:c r="M67" s="12">
        <x:f>IF($A67="","",IF((COUNTIFS(RESULTADOS_GRID!$B:$B,$A67,RESULTADOS_GRID!$AB:$AB,"&gt;=0")+COUNTIFS(RESULTADOS_GRID!$B:$B,$A67,RESULTADOS_GRID!$AB:$AB,"&lt;0"))=0,"",SUMIF(RESULTADOS_GRID!$B:$B,$A67,RESULTADOS_GRID!$AB:$AB)/(COUNTIFS(RESULTADOS_GRID!$B:$B,$A67,RESULTADOS_GRID!$AB:$AB,"&gt;=0")+COUNTIFS(RESULTADOS_GRID!$B:$B,$A67,RESULTADOS_GRID!$AB:$AB,"&lt;0"))))</x:f>
      </x:c>
      <x:c r="N67" s="11" t="n"/>
      <x:c r="O67" s="17">
        <x:f>IF($I67="","",COUNTIFS($I$2:$I$101,"&lt;"&amp;$I67)+1)</x:f>
      </x:c>
      <x:c r="P67" s="11" t="n"/>
    </x:row>
    <x:row r="68">
      <x:c r="A68" s="11" t="inlineStr">
        <x:is>
          <x:t xml:space="preserve"/>
        </x:is>
      </x:c>
      <x:c r="B68" s="17">
        <x:f>IF($A68="","",IFERROR(INDEX(RESULTADOS_GRID!$C:$C,MATCH($A68,RESULTADOS_GRID!$B:$B,0)),""))</x:f>
      </x:c>
      <x:c r="C68" s="17">
        <x:f>IF($A68="","",IFERROR(INDEX(RESULTADOS_GRID!$E:$E,MATCH($A68,RESULTADOS_GRID!$B:$B,0)),""))</x:f>
      </x:c>
      <x:c r="D68" s="17">
        <x:f>IF($A68="","",IFERROR(INDEX(RESULTADOS_GRID!$D:$D,MATCH($A68,RESULTADOS_GRID!$B:$B,0)),""))</x:f>
      </x:c>
      <x:c r="E68" s="17">
        <x:f>IF($A68="","",COUNTIF(RESULTADOS_GRID!$B:$B,$A68))</x:f>
      </x:c>
      <x:c r="F68" s="15">
        <x:f>IF($A68="","",SUMIF(RESULTADOS_GRID!$B:$B,$A68,RESULTADOS_GRID!$X:$X))</x:f>
      </x:c>
      <x:c r="G68" s="14" t="n"/>
      <x:c r="H68" s="18">
        <x:f>CONFIG_REFERENCIA!$E$7</x:f>
        <x:v>0.05</x:v>
      </x:c>
      <x:c r="I68" s="15">
        <x:f>IF($A68="","",$F68+N($G68)*$H68)</x:f>
      </x:c>
      <x:c r="J68" s="15">
        <x:f>IF($A68="","",IF((COUNTIFS(RESULTADOS_GRID!$B:$B,$A68,RESULTADOS_GRID!$Y:$Y,"&gt;=0")+COUNTIFS(RESULTADOS_GRID!$B:$B,$A68,RESULTADOS_GRID!$Y:$Y,"&lt;0"))=0,"",SUMIF(RESULTADOS_GRID!$B:$B,$A68,RESULTADOS_GRID!$Y:$Y)/(COUNTIFS(RESULTADOS_GRID!$B:$B,$A68,RESULTADOS_GRID!$Y:$Y,"&gt;=0")+COUNTIFS(RESULTADOS_GRID!$B:$B,$A68,RESULTADOS_GRID!$Y:$Y,"&lt;0"))))</x:f>
      </x:c>
      <x:c r="K68" s="15">
        <x:f>IF($A68="","",IF((COUNTIFS(RESULTADOS_GRID!$B:$B,$A68,RESULTADOS_GRID!$Z:$Z,"&gt;=0")+COUNTIFS(RESULTADOS_GRID!$B:$B,$A68,RESULTADOS_GRID!$Z:$Z,"&lt;0"))=0,"",SUMIF(RESULTADOS_GRID!$B:$B,$A68,RESULTADOS_GRID!$Z:$Z)/(COUNTIFS(RESULTADOS_GRID!$B:$B,$A68,RESULTADOS_GRID!$Z:$Z,"&gt;=0")+COUNTIFS(RESULTADOS_GRID!$B:$B,$A68,RESULTADOS_GRID!$Z:$Z,"&lt;0"))))</x:f>
      </x:c>
      <x:c r="L68" s="12">
        <x:f>IF($A68="","",IF((COUNTIFS(RESULTADOS_GRID!$B:$B,$A68,RESULTADOS_GRID!$AA:$AA,"&gt;=0")+COUNTIFS(RESULTADOS_GRID!$B:$B,$A68,RESULTADOS_GRID!$AA:$AA,"&lt;0"))=0,"",SUMIF(RESULTADOS_GRID!$B:$B,$A68,RESULTADOS_GRID!$AA:$AA)/(COUNTIFS(RESULTADOS_GRID!$B:$B,$A68,RESULTADOS_GRID!$AA:$AA,"&gt;=0")+COUNTIFS(RESULTADOS_GRID!$B:$B,$A68,RESULTADOS_GRID!$AA:$AA,"&lt;0"))))</x:f>
      </x:c>
      <x:c r="M68" s="12">
        <x:f>IF($A68="","",IF((COUNTIFS(RESULTADOS_GRID!$B:$B,$A68,RESULTADOS_GRID!$AB:$AB,"&gt;=0")+COUNTIFS(RESULTADOS_GRID!$B:$B,$A68,RESULTADOS_GRID!$AB:$AB,"&lt;0"))=0,"",SUMIF(RESULTADOS_GRID!$B:$B,$A68,RESULTADOS_GRID!$AB:$AB)/(COUNTIFS(RESULTADOS_GRID!$B:$B,$A68,RESULTADOS_GRID!$AB:$AB,"&gt;=0")+COUNTIFS(RESULTADOS_GRID!$B:$B,$A68,RESULTADOS_GRID!$AB:$AB,"&lt;0"))))</x:f>
      </x:c>
      <x:c r="N68" s="11" t="n"/>
      <x:c r="O68" s="17">
        <x:f>IF($I68="","",COUNTIFS($I$2:$I$101,"&lt;"&amp;$I68)+1)</x:f>
      </x:c>
      <x:c r="P68" s="11" t="n"/>
    </x:row>
    <x:row r="69">
      <x:c r="A69" s="11" t="inlineStr">
        <x:is>
          <x:t xml:space="preserve"/>
        </x:is>
      </x:c>
      <x:c r="B69" s="17">
        <x:f>IF($A69="","",IFERROR(INDEX(RESULTADOS_GRID!$C:$C,MATCH($A69,RESULTADOS_GRID!$B:$B,0)),""))</x:f>
      </x:c>
      <x:c r="C69" s="17">
        <x:f>IF($A69="","",IFERROR(INDEX(RESULTADOS_GRID!$E:$E,MATCH($A69,RESULTADOS_GRID!$B:$B,0)),""))</x:f>
      </x:c>
      <x:c r="D69" s="17">
        <x:f>IF($A69="","",IFERROR(INDEX(RESULTADOS_GRID!$D:$D,MATCH($A69,RESULTADOS_GRID!$B:$B,0)),""))</x:f>
      </x:c>
      <x:c r="E69" s="17">
        <x:f>IF($A69="","",COUNTIF(RESULTADOS_GRID!$B:$B,$A69))</x:f>
      </x:c>
      <x:c r="F69" s="15">
        <x:f>IF($A69="","",SUMIF(RESULTADOS_GRID!$B:$B,$A69,RESULTADOS_GRID!$X:$X))</x:f>
      </x:c>
      <x:c r="G69" s="14" t="n"/>
      <x:c r="H69" s="18">
        <x:f>CONFIG_REFERENCIA!$E$7</x:f>
        <x:v>0.05</x:v>
      </x:c>
      <x:c r="I69" s="15">
        <x:f>IF($A69="","",$F69+N($G69)*$H69)</x:f>
      </x:c>
      <x:c r="J69" s="15">
        <x:f>IF($A69="","",IF((COUNTIFS(RESULTADOS_GRID!$B:$B,$A69,RESULTADOS_GRID!$Y:$Y,"&gt;=0")+COUNTIFS(RESULTADOS_GRID!$B:$B,$A69,RESULTADOS_GRID!$Y:$Y,"&lt;0"))=0,"",SUMIF(RESULTADOS_GRID!$B:$B,$A69,RESULTADOS_GRID!$Y:$Y)/(COUNTIFS(RESULTADOS_GRID!$B:$B,$A69,RESULTADOS_GRID!$Y:$Y,"&gt;=0")+COUNTIFS(RESULTADOS_GRID!$B:$B,$A69,RESULTADOS_GRID!$Y:$Y,"&lt;0"))))</x:f>
      </x:c>
      <x:c r="K69" s="15">
        <x:f>IF($A69="","",IF((COUNTIFS(RESULTADOS_GRID!$B:$B,$A69,RESULTADOS_GRID!$Z:$Z,"&gt;=0")+COUNTIFS(RESULTADOS_GRID!$B:$B,$A69,RESULTADOS_GRID!$Z:$Z,"&lt;0"))=0,"",SUMIF(RESULTADOS_GRID!$B:$B,$A69,RESULTADOS_GRID!$Z:$Z)/(COUNTIFS(RESULTADOS_GRID!$B:$B,$A69,RESULTADOS_GRID!$Z:$Z,"&gt;=0")+COUNTIFS(RESULTADOS_GRID!$B:$B,$A69,RESULTADOS_GRID!$Z:$Z,"&lt;0"))))</x:f>
      </x:c>
      <x:c r="L69" s="12">
        <x:f>IF($A69="","",IF((COUNTIFS(RESULTADOS_GRID!$B:$B,$A69,RESULTADOS_GRID!$AA:$AA,"&gt;=0")+COUNTIFS(RESULTADOS_GRID!$B:$B,$A69,RESULTADOS_GRID!$AA:$AA,"&lt;0"))=0,"",SUMIF(RESULTADOS_GRID!$B:$B,$A69,RESULTADOS_GRID!$AA:$AA)/(COUNTIFS(RESULTADOS_GRID!$B:$B,$A69,RESULTADOS_GRID!$AA:$AA,"&gt;=0")+COUNTIFS(RESULTADOS_GRID!$B:$B,$A69,RESULTADOS_GRID!$AA:$AA,"&lt;0"))))</x:f>
      </x:c>
      <x:c r="M69" s="12">
        <x:f>IF($A69="","",IF((COUNTIFS(RESULTADOS_GRID!$B:$B,$A69,RESULTADOS_GRID!$AB:$AB,"&gt;=0")+COUNTIFS(RESULTADOS_GRID!$B:$B,$A69,RESULTADOS_GRID!$AB:$AB,"&lt;0"))=0,"",SUMIF(RESULTADOS_GRID!$B:$B,$A69,RESULTADOS_GRID!$AB:$AB)/(COUNTIFS(RESULTADOS_GRID!$B:$B,$A69,RESULTADOS_GRID!$AB:$AB,"&gt;=0")+COUNTIFS(RESULTADOS_GRID!$B:$B,$A69,RESULTADOS_GRID!$AB:$AB,"&lt;0"))))</x:f>
      </x:c>
      <x:c r="N69" s="11" t="n"/>
      <x:c r="O69" s="17">
        <x:f>IF($I69="","",COUNTIFS($I$2:$I$101,"&lt;"&amp;$I69)+1)</x:f>
      </x:c>
      <x:c r="P69" s="11" t="n"/>
    </x:row>
    <x:row r="70">
      <x:c r="A70" s="11" t="inlineStr">
        <x:is>
          <x:t xml:space="preserve"/>
        </x:is>
      </x:c>
      <x:c r="B70" s="17">
        <x:f>IF($A70="","",IFERROR(INDEX(RESULTADOS_GRID!$C:$C,MATCH($A70,RESULTADOS_GRID!$B:$B,0)),""))</x:f>
      </x:c>
      <x:c r="C70" s="17">
        <x:f>IF($A70="","",IFERROR(INDEX(RESULTADOS_GRID!$E:$E,MATCH($A70,RESULTADOS_GRID!$B:$B,0)),""))</x:f>
      </x:c>
      <x:c r="D70" s="17">
        <x:f>IF($A70="","",IFERROR(INDEX(RESULTADOS_GRID!$D:$D,MATCH($A70,RESULTADOS_GRID!$B:$B,0)),""))</x:f>
      </x:c>
      <x:c r="E70" s="17">
        <x:f>IF($A70="","",COUNTIF(RESULTADOS_GRID!$B:$B,$A70))</x:f>
      </x:c>
      <x:c r="F70" s="15">
        <x:f>IF($A70="","",SUMIF(RESULTADOS_GRID!$B:$B,$A70,RESULTADOS_GRID!$X:$X))</x:f>
      </x:c>
      <x:c r="G70" s="14" t="n"/>
      <x:c r="H70" s="18">
        <x:f>CONFIG_REFERENCIA!$E$7</x:f>
        <x:v>0.05</x:v>
      </x:c>
      <x:c r="I70" s="15">
        <x:f>IF($A70="","",$F70+N($G70)*$H70)</x:f>
      </x:c>
      <x:c r="J70" s="15">
        <x:f>IF($A70="","",IF((COUNTIFS(RESULTADOS_GRID!$B:$B,$A70,RESULTADOS_GRID!$Y:$Y,"&gt;=0")+COUNTIFS(RESULTADOS_GRID!$B:$B,$A70,RESULTADOS_GRID!$Y:$Y,"&lt;0"))=0,"",SUMIF(RESULTADOS_GRID!$B:$B,$A70,RESULTADOS_GRID!$Y:$Y)/(COUNTIFS(RESULTADOS_GRID!$B:$B,$A70,RESULTADOS_GRID!$Y:$Y,"&gt;=0")+COUNTIFS(RESULTADOS_GRID!$B:$B,$A70,RESULTADOS_GRID!$Y:$Y,"&lt;0"))))</x:f>
      </x:c>
      <x:c r="K70" s="15">
        <x:f>IF($A70="","",IF((COUNTIFS(RESULTADOS_GRID!$B:$B,$A70,RESULTADOS_GRID!$Z:$Z,"&gt;=0")+COUNTIFS(RESULTADOS_GRID!$B:$B,$A70,RESULTADOS_GRID!$Z:$Z,"&lt;0"))=0,"",SUMIF(RESULTADOS_GRID!$B:$B,$A70,RESULTADOS_GRID!$Z:$Z)/(COUNTIFS(RESULTADOS_GRID!$B:$B,$A70,RESULTADOS_GRID!$Z:$Z,"&gt;=0")+COUNTIFS(RESULTADOS_GRID!$B:$B,$A70,RESULTADOS_GRID!$Z:$Z,"&lt;0"))))</x:f>
      </x:c>
      <x:c r="L70" s="12">
        <x:f>IF($A70="","",IF((COUNTIFS(RESULTADOS_GRID!$B:$B,$A70,RESULTADOS_GRID!$AA:$AA,"&gt;=0")+COUNTIFS(RESULTADOS_GRID!$B:$B,$A70,RESULTADOS_GRID!$AA:$AA,"&lt;0"))=0,"",SUMIF(RESULTADOS_GRID!$B:$B,$A70,RESULTADOS_GRID!$AA:$AA)/(COUNTIFS(RESULTADOS_GRID!$B:$B,$A70,RESULTADOS_GRID!$AA:$AA,"&gt;=0")+COUNTIFS(RESULTADOS_GRID!$B:$B,$A70,RESULTADOS_GRID!$AA:$AA,"&lt;0"))))</x:f>
      </x:c>
      <x:c r="M70" s="12">
        <x:f>IF($A70="","",IF((COUNTIFS(RESULTADOS_GRID!$B:$B,$A70,RESULTADOS_GRID!$AB:$AB,"&gt;=0")+COUNTIFS(RESULTADOS_GRID!$B:$B,$A70,RESULTADOS_GRID!$AB:$AB,"&lt;0"))=0,"",SUMIF(RESULTADOS_GRID!$B:$B,$A70,RESULTADOS_GRID!$AB:$AB)/(COUNTIFS(RESULTADOS_GRID!$B:$B,$A70,RESULTADOS_GRID!$AB:$AB,"&gt;=0")+COUNTIFS(RESULTADOS_GRID!$B:$B,$A70,RESULTADOS_GRID!$AB:$AB,"&lt;0"))))</x:f>
      </x:c>
      <x:c r="N70" s="11" t="n"/>
      <x:c r="O70" s="17">
        <x:f>IF($I70="","",COUNTIFS($I$2:$I$101,"&lt;"&amp;$I70)+1)</x:f>
      </x:c>
      <x:c r="P70" s="11" t="n"/>
    </x:row>
    <x:row r="71">
      <x:c r="A71" s="11" t="inlineStr">
        <x:is>
          <x:t xml:space="preserve"/>
        </x:is>
      </x:c>
      <x:c r="B71" s="17">
        <x:f>IF($A71="","",IFERROR(INDEX(RESULTADOS_GRID!$C:$C,MATCH($A71,RESULTADOS_GRID!$B:$B,0)),""))</x:f>
      </x:c>
      <x:c r="C71" s="17">
        <x:f>IF($A71="","",IFERROR(INDEX(RESULTADOS_GRID!$E:$E,MATCH($A71,RESULTADOS_GRID!$B:$B,0)),""))</x:f>
      </x:c>
      <x:c r="D71" s="17">
        <x:f>IF($A71="","",IFERROR(INDEX(RESULTADOS_GRID!$D:$D,MATCH($A71,RESULTADOS_GRID!$B:$B,0)),""))</x:f>
      </x:c>
      <x:c r="E71" s="17">
        <x:f>IF($A71="","",COUNTIF(RESULTADOS_GRID!$B:$B,$A71))</x:f>
      </x:c>
      <x:c r="F71" s="15">
        <x:f>IF($A71="","",SUMIF(RESULTADOS_GRID!$B:$B,$A71,RESULTADOS_GRID!$X:$X))</x:f>
      </x:c>
      <x:c r="G71" s="14" t="n"/>
      <x:c r="H71" s="18">
        <x:f>CONFIG_REFERENCIA!$E$7</x:f>
        <x:v>0.05</x:v>
      </x:c>
      <x:c r="I71" s="15">
        <x:f>IF($A71="","",$F71+N($G71)*$H71)</x:f>
      </x:c>
      <x:c r="J71" s="15">
        <x:f>IF($A71="","",IF((COUNTIFS(RESULTADOS_GRID!$B:$B,$A71,RESULTADOS_GRID!$Y:$Y,"&gt;=0")+COUNTIFS(RESULTADOS_GRID!$B:$B,$A71,RESULTADOS_GRID!$Y:$Y,"&lt;0"))=0,"",SUMIF(RESULTADOS_GRID!$B:$B,$A71,RESULTADOS_GRID!$Y:$Y)/(COUNTIFS(RESULTADOS_GRID!$B:$B,$A71,RESULTADOS_GRID!$Y:$Y,"&gt;=0")+COUNTIFS(RESULTADOS_GRID!$B:$B,$A71,RESULTADOS_GRID!$Y:$Y,"&lt;0"))))</x:f>
      </x:c>
      <x:c r="K71" s="15">
        <x:f>IF($A71="","",IF((COUNTIFS(RESULTADOS_GRID!$B:$B,$A71,RESULTADOS_GRID!$Z:$Z,"&gt;=0")+COUNTIFS(RESULTADOS_GRID!$B:$B,$A71,RESULTADOS_GRID!$Z:$Z,"&lt;0"))=0,"",SUMIF(RESULTADOS_GRID!$B:$B,$A71,RESULTADOS_GRID!$Z:$Z)/(COUNTIFS(RESULTADOS_GRID!$B:$B,$A71,RESULTADOS_GRID!$Z:$Z,"&gt;=0")+COUNTIFS(RESULTADOS_GRID!$B:$B,$A71,RESULTADOS_GRID!$Z:$Z,"&lt;0"))))</x:f>
      </x:c>
      <x:c r="L71" s="12">
        <x:f>IF($A71="","",IF((COUNTIFS(RESULTADOS_GRID!$B:$B,$A71,RESULTADOS_GRID!$AA:$AA,"&gt;=0")+COUNTIFS(RESULTADOS_GRID!$B:$B,$A71,RESULTADOS_GRID!$AA:$AA,"&lt;0"))=0,"",SUMIF(RESULTADOS_GRID!$B:$B,$A71,RESULTADOS_GRID!$AA:$AA)/(COUNTIFS(RESULTADOS_GRID!$B:$B,$A71,RESULTADOS_GRID!$AA:$AA,"&gt;=0")+COUNTIFS(RESULTADOS_GRID!$B:$B,$A71,RESULTADOS_GRID!$AA:$AA,"&lt;0"))))</x:f>
      </x:c>
      <x:c r="M71" s="12">
        <x:f>IF($A71="","",IF((COUNTIFS(RESULTADOS_GRID!$B:$B,$A71,RESULTADOS_GRID!$AB:$AB,"&gt;=0")+COUNTIFS(RESULTADOS_GRID!$B:$B,$A71,RESULTADOS_GRID!$AB:$AB,"&lt;0"))=0,"",SUMIF(RESULTADOS_GRID!$B:$B,$A71,RESULTADOS_GRID!$AB:$AB)/(COUNTIFS(RESULTADOS_GRID!$B:$B,$A71,RESULTADOS_GRID!$AB:$AB,"&gt;=0")+COUNTIFS(RESULTADOS_GRID!$B:$B,$A71,RESULTADOS_GRID!$AB:$AB,"&lt;0"))))</x:f>
      </x:c>
      <x:c r="N71" s="11" t="n"/>
      <x:c r="O71" s="17">
        <x:f>IF($I71="","",COUNTIFS($I$2:$I$101,"&lt;"&amp;$I71)+1)</x:f>
      </x:c>
      <x:c r="P71" s="11" t="n"/>
    </x:row>
    <x:row r="72">
      <x:c r="A72" s="11" t="inlineStr">
        <x:is>
          <x:t xml:space="preserve"/>
        </x:is>
      </x:c>
      <x:c r="B72" s="17">
        <x:f>IF($A72="","",IFERROR(INDEX(RESULTADOS_GRID!$C:$C,MATCH($A72,RESULTADOS_GRID!$B:$B,0)),""))</x:f>
      </x:c>
      <x:c r="C72" s="17">
        <x:f>IF($A72="","",IFERROR(INDEX(RESULTADOS_GRID!$E:$E,MATCH($A72,RESULTADOS_GRID!$B:$B,0)),""))</x:f>
      </x:c>
      <x:c r="D72" s="17">
        <x:f>IF($A72="","",IFERROR(INDEX(RESULTADOS_GRID!$D:$D,MATCH($A72,RESULTADOS_GRID!$B:$B,0)),""))</x:f>
      </x:c>
      <x:c r="E72" s="17">
        <x:f>IF($A72="","",COUNTIF(RESULTADOS_GRID!$B:$B,$A72))</x:f>
      </x:c>
      <x:c r="F72" s="15">
        <x:f>IF($A72="","",SUMIF(RESULTADOS_GRID!$B:$B,$A72,RESULTADOS_GRID!$X:$X))</x:f>
      </x:c>
      <x:c r="G72" s="14" t="n"/>
      <x:c r="H72" s="18">
        <x:f>CONFIG_REFERENCIA!$E$7</x:f>
        <x:v>0.05</x:v>
      </x:c>
      <x:c r="I72" s="15">
        <x:f>IF($A72="","",$F72+N($G72)*$H72)</x:f>
      </x:c>
      <x:c r="J72" s="15">
        <x:f>IF($A72="","",IF((COUNTIFS(RESULTADOS_GRID!$B:$B,$A72,RESULTADOS_GRID!$Y:$Y,"&gt;=0")+COUNTIFS(RESULTADOS_GRID!$B:$B,$A72,RESULTADOS_GRID!$Y:$Y,"&lt;0"))=0,"",SUMIF(RESULTADOS_GRID!$B:$B,$A72,RESULTADOS_GRID!$Y:$Y)/(COUNTIFS(RESULTADOS_GRID!$B:$B,$A72,RESULTADOS_GRID!$Y:$Y,"&gt;=0")+COUNTIFS(RESULTADOS_GRID!$B:$B,$A72,RESULTADOS_GRID!$Y:$Y,"&lt;0"))))</x:f>
      </x:c>
      <x:c r="K72" s="15">
        <x:f>IF($A72="","",IF((COUNTIFS(RESULTADOS_GRID!$B:$B,$A72,RESULTADOS_GRID!$Z:$Z,"&gt;=0")+COUNTIFS(RESULTADOS_GRID!$B:$B,$A72,RESULTADOS_GRID!$Z:$Z,"&lt;0"))=0,"",SUMIF(RESULTADOS_GRID!$B:$B,$A72,RESULTADOS_GRID!$Z:$Z)/(COUNTIFS(RESULTADOS_GRID!$B:$B,$A72,RESULTADOS_GRID!$Z:$Z,"&gt;=0")+COUNTIFS(RESULTADOS_GRID!$B:$B,$A72,RESULTADOS_GRID!$Z:$Z,"&lt;0"))))</x:f>
      </x:c>
      <x:c r="L72" s="12">
        <x:f>IF($A72="","",IF((COUNTIFS(RESULTADOS_GRID!$B:$B,$A72,RESULTADOS_GRID!$AA:$AA,"&gt;=0")+COUNTIFS(RESULTADOS_GRID!$B:$B,$A72,RESULTADOS_GRID!$AA:$AA,"&lt;0"))=0,"",SUMIF(RESULTADOS_GRID!$B:$B,$A72,RESULTADOS_GRID!$AA:$AA)/(COUNTIFS(RESULTADOS_GRID!$B:$B,$A72,RESULTADOS_GRID!$AA:$AA,"&gt;=0")+COUNTIFS(RESULTADOS_GRID!$B:$B,$A72,RESULTADOS_GRID!$AA:$AA,"&lt;0"))))</x:f>
      </x:c>
      <x:c r="M72" s="12">
        <x:f>IF($A72="","",IF((COUNTIFS(RESULTADOS_GRID!$B:$B,$A72,RESULTADOS_GRID!$AB:$AB,"&gt;=0")+COUNTIFS(RESULTADOS_GRID!$B:$B,$A72,RESULTADOS_GRID!$AB:$AB,"&lt;0"))=0,"",SUMIF(RESULTADOS_GRID!$B:$B,$A72,RESULTADOS_GRID!$AB:$AB)/(COUNTIFS(RESULTADOS_GRID!$B:$B,$A72,RESULTADOS_GRID!$AB:$AB,"&gt;=0")+COUNTIFS(RESULTADOS_GRID!$B:$B,$A72,RESULTADOS_GRID!$AB:$AB,"&lt;0"))))</x:f>
      </x:c>
      <x:c r="N72" s="11" t="n"/>
      <x:c r="O72" s="17">
        <x:f>IF($I72="","",COUNTIFS($I$2:$I$101,"&lt;"&amp;$I72)+1)</x:f>
      </x:c>
      <x:c r="P72" s="11" t="n"/>
    </x:row>
    <x:row r="73">
      <x:c r="A73" s="11" t="inlineStr">
        <x:is>
          <x:t xml:space="preserve"/>
        </x:is>
      </x:c>
      <x:c r="B73" s="17">
        <x:f>IF($A73="","",IFERROR(INDEX(RESULTADOS_GRID!$C:$C,MATCH($A73,RESULTADOS_GRID!$B:$B,0)),""))</x:f>
      </x:c>
      <x:c r="C73" s="17">
        <x:f>IF($A73="","",IFERROR(INDEX(RESULTADOS_GRID!$E:$E,MATCH($A73,RESULTADOS_GRID!$B:$B,0)),""))</x:f>
      </x:c>
      <x:c r="D73" s="17">
        <x:f>IF($A73="","",IFERROR(INDEX(RESULTADOS_GRID!$D:$D,MATCH($A73,RESULTADOS_GRID!$B:$B,0)),""))</x:f>
      </x:c>
      <x:c r="E73" s="17">
        <x:f>IF($A73="","",COUNTIF(RESULTADOS_GRID!$B:$B,$A73))</x:f>
      </x:c>
      <x:c r="F73" s="15">
        <x:f>IF($A73="","",SUMIF(RESULTADOS_GRID!$B:$B,$A73,RESULTADOS_GRID!$X:$X))</x:f>
      </x:c>
      <x:c r="G73" s="14" t="n"/>
      <x:c r="H73" s="18">
        <x:f>CONFIG_REFERENCIA!$E$7</x:f>
        <x:v>0.05</x:v>
      </x:c>
      <x:c r="I73" s="15">
        <x:f>IF($A73="","",$F73+N($G73)*$H73)</x:f>
      </x:c>
      <x:c r="J73" s="15">
        <x:f>IF($A73="","",IF((COUNTIFS(RESULTADOS_GRID!$B:$B,$A73,RESULTADOS_GRID!$Y:$Y,"&gt;=0")+COUNTIFS(RESULTADOS_GRID!$B:$B,$A73,RESULTADOS_GRID!$Y:$Y,"&lt;0"))=0,"",SUMIF(RESULTADOS_GRID!$B:$B,$A73,RESULTADOS_GRID!$Y:$Y)/(COUNTIFS(RESULTADOS_GRID!$B:$B,$A73,RESULTADOS_GRID!$Y:$Y,"&gt;=0")+COUNTIFS(RESULTADOS_GRID!$B:$B,$A73,RESULTADOS_GRID!$Y:$Y,"&lt;0"))))</x:f>
      </x:c>
      <x:c r="K73" s="15">
        <x:f>IF($A73="","",IF((COUNTIFS(RESULTADOS_GRID!$B:$B,$A73,RESULTADOS_GRID!$Z:$Z,"&gt;=0")+COUNTIFS(RESULTADOS_GRID!$B:$B,$A73,RESULTADOS_GRID!$Z:$Z,"&lt;0"))=0,"",SUMIF(RESULTADOS_GRID!$B:$B,$A73,RESULTADOS_GRID!$Z:$Z)/(COUNTIFS(RESULTADOS_GRID!$B:$B,$A73,RESULTADOS_GRID!$Z:$Z,"&gt;=0")+COUNTIFS(RESULTADOS_GRID!$B:$B,$A73,RESULTADOS_GRID!$Z:$Z,"&lt;0"))))</x:f>
      </x:c>
      <x:c r="L73" s="12">
        <x:f>IF($A73="","",IF((COUNTIFS(RESULTADOS_GRID!$B:$B,$A73,RESULTADOS_GRID!$AA:$AA,"&gt;=0")+COUNTIFS(RESULTADOS_GRID!$B:$B,$A73,RESULTADOS_GRID!$AA:$AA,"&lt;0"))=0,"",SUMIF(RESULTADOS_GRID!$B:$B,$A73,RESULTADOS_GRID!$AA:$AA)/(COUNTIFS(RESULTADOS_GRID!$B:$B,$A73,RESULTADOS_GRID!$AA:$AA,"&gt;=0")+COUNTIFS(RESULTADOS_GRID!$B:$B,$A73,RESULTADOS_GRID!$AA:$AA,"&lt;0"))))</x:f>
      </x:c>
      <x:c r="M73" s="12">
        <x:f>IF($A73="","",IF((COUNTIFS(RESULTADOS_GRID!$B:$B,$A73,RESULTADOS_GRID!$AB:$AB,"&gt;=0")+COUNTIFS(RESULTADOS_GRID!$B:$B,$A73,RESULTADOS_GRID!$AB:$AB,"&lt;0"))=0,"",SUMIF(RESULTADOS_GRID!$B:$B,$A73,RESULTADOS_GRID!$AB:$AB)/(COUNTIFS(RESULTADOS_GRID!$B:$B,$A73,RESULTADOS_GRID!$AB:$AB,"&gt;=0")+COUNTIFS(RESULTADOS_GRID!$B:$B,$A73,RESULTADOS_GRID!$AB:$AB,"&lt;0"))))</x:f>
      </x:c>
      <x:c r="N73" s="11" t="n"/>
      <x:c r="O73" s="17">
        <x:f>IF($I73="","",COUNTIFS($I$2:$I$101,"&lt;"&amp;$I73)+1)</x:f>
      </x:c>
      <x:c r="P73" s="11" t="n"/>
    </x:row>
    <x:row r="74">
      <x:c r="A74" s="11" t="inlineStr">
        <x:is>
          <x:t xml:space="preserve"/>
        </x:is>
      </x:c>
      <x:c r="B74" s="17">
        <x:f>IF($A74="","",IFERROR(INDEX(RESULTADOS_GRID!$C:$C,MATCH($A74,RESULTADOS_GRID!$B:$B,0)),""))</x:f>
      </x:c>
      <x:c r="C74" s="17">
        <x:f>IF($A74="","",IFERROR(INDEX(RESULTADOS_GRID!$E:$E,MATCH($A74,RESULTADOS_GRID!$B:$B,0)),""))</x:f>
      </x:c>
      <x:c r="D74" s="17">
        <x:f>IF($A74="","",IFERROR(INDEX(RESULTADOS_GRID!$D:$D,MATCH($A74,RESULTADOS_GRID!$B:$B,0)),""))</x:f>
      </x:c>
      <x:c r="E74" s="17">
        <x:f>IF($A74="","",COUNTIF(RESULTADOS_GRID!$B:$B,$A74))</x:f>
      </x:c>
      <x:c r="F74" s="15">
        <x:f>IF($A74="","",SUMIF(RESULTADOS_GRID!$B:$B,$A74,RESULTADOS_GRID!$X:$X))</x:f>
      </x:c>
      <x:c r="G74" s="14" t="n"/>
      <x:c r="H74" s="18">
        <x:f>CONFIG_REFERENCIA!$E$7</x:f>
        <x:v>0.05</x:v>
      </x:c>
      <x:c r="I74" s="15">
        <x:f>IF($A74="","",$F74+N($G74)*$H74)</x:f>
      </x:c>
      <x:c r="J74" s="15">
        <x:f>IF($A74="","",IF((COUNTIFS(RESULTADOS_GRID!$B:$B,$A74,RESULTADOS_GRID!$Y:$Y,"&gt;=0")+COUNTIFS(RESULTADOS_GRID!$B:$B,$A74,RESULTADOS_GRID!$Y:$Y,"&lt;0"))=0,"",SUMIF(RESULTADOS_GRID!$B:$B,$A74,RESULTADOS_GRID!$Y:$Y)/(COUNTIFS(RESULTADOS_GRID!$B:$B,$A74,RESULTADOS_GRID!$Y:$Y,"&gt;=0")+COUNTIFS(RESULTADOS_GRID!$B:$B,$A74,RESULTADOS_GRID!$Y:$Y,"&lt;0"))))</x:f>
      </x:c>
      <x:c r="K74" s="15">
        <x:f>IF($A74="","",IF((COUNTIFS(RESULTADOS_GRID!$B:$B,$A74,RESULTADOS_GRID!$Z:$Z,"&gt;=0")+COUNTIFS(RESULTADOS_GRID!$B:$B,$A74,RESULTADOS_GRID!$Z:$Z,"&lt;0"))=0,"",SUMIF(RESULTADOS_GRID!$B:$B,$A74,RESULTADOS_GRID!$Z:$Z)/(COUNTIFS(RESULTADOS_GRID!$B:$B,$A74,RESULTADOS_GRID!$Z:$Z,"&gt;=0")+COUNTIFS(RESULTADOS_GRID!$B:$B,$A74,RESULTADOS_GRID!$Z:$Z,"&lt;0"))))</x:f>
      </x:c>
      <x:c r="L74" s="12">
        <x:f>IF($A74="","",IF((COUNTIFS(RESULTADOS_GRID!$B:$B,$A74,RESULTADOS_GRID!$AA:$AA,"&gt;=0")+COUNTIFS(RESULTADOS_GRID!$B:$B,$A74,RESULTADOS_GRID!$AA:$AA,"&lt;0"))=0,"",SUMIF(RESULTADOS_GRID!$B:$B,$A74,RESULTADOS_GRID!$AA:$AA)/(COUNTIFS(RESULTADOS_GRID!$B:$B,$A74,RESULTADOS_GRID!$AA:$AA,"&gt;=0")+COUNTIFS(RESULTADOS_GRID!$B:$B,$A74,RESULTADOS_GRID!$AA:$AA,"&lt;0"))))</x:f>
      </x:c>
      <x:c r="M74" s="12">
        <x:f>IF($A74="","",IF((COUNTIFS(RESULTADOS_GRID!$B:$B,$A74,RESULTADOS_GRID!$AB:$AB,"&gt;=0")+COUNTIFS(RESULTADOS_GRID!$B:$B,$A74,RESULTADOS_GRID!$AB:$AB,"&lt;0"))=0,"",SUMIF(RESULTADOS_GRID!$B:$B,$A74,RESULTADOS_GRID!$AB:$AB)/(COUNTIFS(RESULTADOS_GRID!$B:$B,$A74,RESULTADOS_GRID!$AB:$AB,"&gt;=0")+COUNTIFS(RESULTADOS_GRID!$B:$B,$A74,RESULTADOS_GRID!$AB:$AB,"&lt;0"))))</x:f>
      </x:c>
      <x:c r="N74" s="11" t="n"/>
      <x:c r="O74" s="17">
        <x:f>IF($I74="","",COUNTIFS($I$2:$I$101,"&lt;"&amp;$I74)+1)</x:f>
      </x:c>
      <x:c r="P74" s="11" t="n"/>
    </x:row>
    <x:row r="75">
      <x:c r="A75" s="11" t="inlineStr">
        <x:is>
          <x:t xml:space="preserve"/>
        </x:is>
      </x:c>
      <x:c r="B75" s="17">
        <x:f>IF($A75="","",IFERROR(INDEX(RESULTADOS_GRID!$C:$C,MATCH($A75,RESULTADOS_GRID!$B:$B,0)),""))</x:f>
      </x:c>
      <x:c r="C75" s="17">
        <x:f>IF($A75="","",IFERROR(INDEX(RESULTADOS_GRID!$E:$E,MATCH($A75,RESULTADOS_GRID!$B:$B,0)),""))</x:f>
      </x:c>
      <x:c r="D75" s="17">
        <x:f>IF($A75="","",IFERROR(INDEX(RESULTADOS_GRID!$D:$D,MATCH($A75,RESULTADOS_GRID!$B:$B,0)),""))</x:f>
      </x:c>
      <x:c r="E75" s="17">
        <x:f>IF($A75="","",COUNTIF(RESULTADOS_GRID!$B:$B,$A75))</x:f>
      </x:c>
      <x:c r="F75" s="15">
        <x:f>IF($A75="","",SUMIF(RESULTADOS_GRID!$B:$B,$A75,RESULTADOS_GRID!$X:$X))</x:f>
      </x:c>
      <x:c r="G75" s="14" t="n"/>
      <x:c r="H75" s="18">
        <x:f>CONFIG_REFERENCIA!$E$7</x:f>
        <x:v>0.05</x:v>
      </x:c>
      <x:c r="I75" s="15">
        <x:f>IF($A75="","",$F75+N($G75)*$H75)</x:f>
      </x:c>
      <x:c r="J75" s="15">
        <x:f>IF($A75="","",IF((COUNTIFS(RESULTADOS_GRID!$B:$B,$A75,RESULTADOS_GRID!$Y:$Y,"&gt;=0")+COUNTIFS(RESULTADOS_GRID!$B:$B,$A75,RESULTADOS_GRID!$Y:$Y,"&lt;0"))=0,"",SUMIF(RESULTADOS_GRID!$B:$B,$A75,RESULTADOS_GRID!$Y:$Y)/(COUNTIFS(RESULTADOS_GRID!$B:$B,$A75,RESULTADOS_GRID!$Y:$Y,"&gt;=0")+COUNTIFS(RESULTADOS_GRID!$B:$B,$A75,RESULTADOS_GRID!$Y:$Y,"&lt;0"))))</x:f>
      </x:c>
      <x:c r="K75" s="15">
        <x:f>IF($A75="","",IF((COUNTIFS(RESULTADOS_GRID!$B:$B,$A75,RESULTADOS_GRID!$Z:$Z,"&gt;=0")+COUNTIFS(RESULTADOS_GRID!$B:$B,$A75,RESULTADOS_GRID!$Z:$Z,"&lt;0"))=0,"",SUMIF(RESULTADOS_GRID!$B:$B,$A75,RESULTADOS_GRID!$Z:$Z)/(COUNTIFS(RESULTADOS_GRID!$B:$B,$A75,RESULTADOS_GRID!$Z:$Z,"&gt;=0")+COUNTIFS(RESULTADOS_GRID!$B:$B,$A75,RESULTADOS_GRID!$Z:$Z,"&lt;0"))))</x:f>
      </x:c>
      <x:c r="L75" s="12">
        <x:f>IF($A75="","",IF((COUNTIFS(RESULTADOS_GRID!$B:$B,$A75,RESULTADOS_GRID!$AA:$AA,"&gt;=0")+COUNTIFS(RESULTADOS_GRID!$B:$B,$A75,RESULTADOS_GRID!$AA:$AA,"&lt;0"))=0,"",SUMIF(RESULTADOS_GRID!$B:$B,$A75,RESULTADOS_GRID!$AA:$AA)/(COUNTIFS(RESULTADOS_GRID!$B:$B,$A75,RESULTADOS_GRID!$AA:$AA,"&gt;=0")+COUNTIFS(RESULTADOS_GRID!$B:$B,$A75,RESULTADOS_GRID!$AA:$AA,"&lt;0"))))</x:f>
      </x:c>
      <x:c r="M75" s="12">
        <x:f>IF($A75="","",IF((COUNTIFS(RESULTADOS_GRID!$B:$B,$A75,RESULTADOS_GRID!$AB:$AB,"&gt;=0")+COUNTIFS(RESULTADOS_GRID!$B:$B,$A75,RESULTADOS_GRID!$AB:$AB,"&lt;0"))=0,"",SUMIF(RESULTADOS_GRID!$B:$B,$A75,RESULTADOS_GRID!$AB:$AB)/(COUNTIFS(RESULTADOS_GRID!$B:$B,$A75,RESULTADOS_GRID!$AB:$AB,"&gt;=0")+COUNTIFS(RESULTADOS_GRID!$B:$B,$A75,RESULTADOS_GRID!$AB:$AB,"&lt;0"))))</x:f>
      </x:c>
      <x:c r="N75" s="11" t="n"/>
      <x:c r="O75" s="17">
        <x:f>IF($I75="","",COUNTIFS($I$2:$I$101,"&lt;"&amp;$I75)+1)</x:f>
      </x:c>
      <x:c r="P75" s="11" t="n"/>
    </x:row>
    <x:row r="76">
      <x:c r="A76" s="11" t="inlineStr">
        <x:is>
          <x:t xml:space="preserve"/>
        </x:is>
      </x:c>
      <x:c r="B76" s="17">
        <x:f>IF($A76="","",IFERROR(INDEX(RESULTADOS_GRID!$C:$C,MATCH($A76,RESULTADOS_GRID!$B:$B,0)),""))</x:f>
      </x:c>
      <x:c r="C76" s="17">
        <x:f>IF($A76="","",IFERROR(INDEX(RESULTADOS_GRID!$E:$E,MATCH($A76,RESULTADOS_GRID!$B:$B,0)),""))</x:f>
      </x:c>
      <x:c r="D76" s="17">
        <x:f>IF($A76="","",IFERROR(INDEX(RESULTADOS_GRID!$D:$D,MATCH($A76,RESULTADOS_GRID!$B:$B,0)),""))</x:f>
      </x:c>
      <x:c r="E76" s="17">
        <x:f>IF($A76="","",COUNTIF(RESULTADOS_GRID!$B:$B,$A76))</x:f>
      </x:c>
      <x:c r="F76" s="15">
        <x:f>IF($A76="","",SUMIF(RESULTADOS_GRID!$B:$B,$A76,RESULTADOS_GRID!$X:$X))</x:f>
      </x:c>
      <x:c r="G76" s="14" t="n"/>
      <x:c r="H76" s="18">
        <x:f>CONFIG_REFERENCIA!$E$7</x:f>
        <x:v>0.05</x:v>
      </x:c>
      <x:c r="I76" s="15">
        <x:f>IF($A76="","",$F76+N($G76)*$H76)</x:f>
      </x:c>
      <x:c r="J76" s="15">
        <x:f>IF($A76="","",IF((COUNTIFS(RESULTADOS_GRID!$B:$B,$A76,RESULTADOS_GRID!$Y:$Y,"&gt;=0")+COUNTIFS(RESULTADOS_GRID!$B:$B,$A76,RESULTADOS_GRID!$Y:$Y,"&lt;0"))=0,"",SUMIF(RESULTADOS_GRID!$B:$B,$A76,RESULTADOS_GRID!$Y:$Y)/(COUNTIFS(RESULTADOS_GRID!$B:$B,$A76,RESULTADOS_GRID!$Y:$Y,"&gt;=0")+COUNTIFS(RESULTADOS_GRID!$B:$B,$A76,RESULTADOS_GRID!$Y:$Y,"&lt;0"))))</x:f>
      </x:c>
      <x:c r="K76" s="15">
        <x:f>IF($A76="","",IF((COUNTIFS(RESULTADOS_GRID!$B:$B,$A76,RESULTADOS_GRID!$Z:$Z,"&gt;=0")+COUNTIFS(RESULTADOS_GRID!$B:$B,$A76,RESULTADOS_GRID!$Z:$Z,"&lt;0"))=0,"",SUMIF(RESULTADOS_GRID!$B:$B,$A76,RESULTADOS_GRID!$Z:$Z)/(COUNTIFS(RESULTADOS_GRID!$B:$B,$A76,RESULTADOS_GRID!$Z:$Z,"&gt;=0")+COUNTIFS(RESULTADOS_GRID!$B:$B,$A76,RESULTADOS_GRID!$Z:$Z,"&lt;0"))))</x:f>
      </x:c>
      <x:c r="L76" s="12">
        <x:f>IF($A76="","",IF((COUNTIFS(RESULTADOS_GRID!$B:$B,$A76,RESULTADOS_GRID!$AA:$AA,"&gt;=0")+COUNTIFS(RESULTADOS_GRID!$B:$B,$A76,RESULTADOS_GRID!$AA:$AA,"&lt;0"))=0,"",SUMIF(RESULTADOS_GRID!$B:$B,$A76,RESULTADOS_GRID!$AA:$AA)/(COUNTIFS(RESULTADOS_GRID!$B:$B,$A76,RESULTADOS_GRID!$AA:$AA,"&gt;=0")+COUNTIFS(RESULTADOS_GRID!$B:$B,$A76,RESULTADOS_GRID!$AA:$AA,"&lt;0"))))</x:f>
      </x:c>
      <x:c r="M76" s="12">
        <x:f>IF($A76="","",IF((COUNTIFS(RESULTADOS_GRID!$B:$B,$A76,RESULTADOS_GRID!$AB:$AB,"&gt;=0")+COUNTIFS(RESULTADOS_GRID!$B:$B,$A76,RESULTADOS_GRID!$AB:$AB,"&lt;0"))=0,"",SUMIF(RESULTADOS_GRID!$B:$B,$A76,RESULTADOS_GRID!$AB:$AB)/(COUNTIFS(RESULTADOS_GRID!$B:$B,$A76,RESULTADOS_GRID!$AB:$AB,"&gt;=0")+COUNTIFS(RESULTADOS_GRID!$B:$B,$A76,RESULTADOS_GRID!$AB:$AB,"&lt;0"))))</x:f>
      </x:c>
      <x:c r="N76" s="11" t="n"/>
      <x:c r="O76" s="17">
        <x:f>IF($I76="","",COUNTIFS($I$2:$I$101,"&lt;"&amp;$I76)+1)</x:f>
      </x:c>
      <x:c r="P76" s="11" t="n"/>
    </x:row>
    <x:row r="77">
      <x:c r="A77" s="11" t="inlineStr">
        <x:is>
          <x:t xml:space="preserve"/>
        </x:is>
      </x:c>
      <x:c r="B77" s="17">
        <x:f>IF($A77="","",IFERROR(INDEX(RESULTADOS_GRID!$C:$C,MATCH($A77,RESULTADOS_GRID!$B:$B,0)),""))</x:f>
      </x:c>
      <x:c r="C77" s="17">
        <x:f>IF($A77="","",IFERROR(INDEX(RESULTADOS_GRID!$E:$E,MATCH($A77,RESULTADOS_GRID!$B:$B,0)),""))</x:f>
      </x:c>
      <x:c r="D77" s="17">
        <x:f>IF($A77="","",IFERROR(INDEX(RESULTADOS_GRID!$D:$D,MATCH($A77,RESULTADOS_GRID!$B:$B,0)),""))</x:f>
      </x:c>
      <x:c r="E77" s="17">
        <x:f>IF($A77="","",COUNTIF(RESULTADOS_GRID!$B:$B,$A77))</x:f>
      </x:c>
      <x:c r="F77" s="15">
        <x:f>IF($A77="","",SUMIF(RESULTADOS_GRID!$B:$B,$A77,RESULTADOS_GRID!$X:$X))</x:f>
      </x:c>
      <x:c r="G77" s="14" t="n"/>
      <x:c r="H77" s="18">
        <x:f>CONFIG_REFERENCIA!$E$7</x:f>
        <x:v>0.05</x:v>
      </x:c>
      <x:c r="I77" s="15">
        <x:f>IF($A77="","",$F77+N($G77)*$H77)</x:f>
      </x:c>
      <x:c r="J77" s="15">
        <x:f>IF($A77="","",IF((COUNTIFS(RESULTADOS_GRID!$B:$B,$A77,RESULTADOS_GRID!$Y:$Y,"&gt;=0")+COUNTIFS(RESULTADOS_GRID!$B:$B,$A77,RESULTADOS_GRID!$Y:$Y,"&lt;0"))=0,"",SUMIF(RESULTADOS_GRID!$B:$B,$A77,RESULTADOS_GRID!$Y:$Y)/(COUNTIFS(RESULTADOS_GRID!$B:$B,$A77,RESULTADOS_GRID!$Y:$Y,"&gt;=0")+COUNTIFS(RESULTADOS_GRID!$B:$B,$A77,RESULTADOS_GRID!$Y:$Y,"&lt;0"))))</x:f>
      </x:c>
      <x:c r="K77" s="15">
        <x:f>IF($A77="","",IF((COUNTIFS(RESULTADOS_GRID!$B:$B,$A77,RESULTADOS_GRID!$Z:$Z,"&gt;=0")+COUNTIFS(RESULTADOS_GRID!$B:$B,$A77,RESULTADOS_GRID!$Z:$Z,"&lt;0"))=0,"",SUMIF(RESULTADOS_GRID!$B:$B,$A77,RESULTADOS_GRID!$Z:$Z)/(COUNTIFS(RESULTADOS_GRID!$B:$B,$A77,RESULTADOS_GRID!$Z:$Z,"&gt;=0")+COUNTIFS(RESULTADOS_GRID!$B:$B,$A77,RESULTADOS_GRID!$Z:$Z,"&lt;0"))))</x:f>
      </x:c>
      <x:c r="L77" s="12">
        <x:f>IF($A77="","",IF((COUNTIFS(RESULTADOS_GRID!$B:$B,$A77,RESULTADOS_GRID!$AA:$AA,"&gt;=0")+COUNTIFS(RESULTADOS_GRID!$B:$B,$A77,RESULTADOS_GRID!$AA:$AA,"&lt;0"))=0,"",SUMIF(RESULTADOS_GRID!$B:$B,$A77,RESULTADOS_GRID!$AA:$AA)/(COUNTIFS(RESULTADOS_GRID!$B:$B,$A77,RESULTADOS_GRID!$AA:$AA,"&gt;=0")+COUNTIFS(RESULTADOS_GRID!$B:$B,$A77,RESULTADOS_GRID!$AA:$AA,"&lt;0"))))</x:f>
      </x:c>
      <x:c r="M77" s="12">
        <x:f>IF($A77="","",IF((COUNTIFS(RESULTADOS_GRID!$B:$B,$A77,RESULTADOS_GRID!$AB:$AB,"&gt;=0")+COUNTIFS(RESULTADOS_GRID!$B:$B,$A77,RESULTADOS_GRID!$AB:$AB,"&lt;0"))=0,"",SUMIF(RESULTADOS_GRID!$B:$B,$A77,RESULTADOS_GRID!$AB:$AB)/(COUNTIFS(RESULTADOS_GRID!$B:$B,$A77,RESULTADOS_GRID!$AB:$AB,"&gt;=0")+COUNTIFS(RESULTADOS_GRID!$B:$B,$A77,RESULTADOS_GRID!$AB:$AB,"&lt;0"))))</x:f>
      </x:c>
      <x:c r="N77" s="11" t="n"/>
      <x:c r="O77" s="17">
        <x:f>IF($I77="","",COUNTIFS($I$2:$I$101,"&lt;"&amp;$I77)+1)</x:f>
      </x:c>
      <x:c r="P77" s="11" t="n"/>
    </x:row>
    <x:row r="78">
      <x:c r="A78" s="11" t="inlineStr">
        <x:is>
          <x:t xml:space="preserve"/>
        </x:is>
      </x:c>
      <x:c r="B78" s="17">
        <x:f>IF($A78="","",IFERROR(INDEX(RESULTADOS_GRID!$C:$C,MATCH($A78,RESULTADOS_GRID!$B:$B,0)),""))</x:f>
      </x:c>
      <x:c r="C78" s="17">
        <x:f>IF($A78="","",IFERROR(INDEX(RESULTADOS_GRID!$E:$E,MATCH($A78,RESULTADOS_GRID!$B:$B,0)),""))</x:f>
      </x:c>
      <x:c r="D78" s="17">
        <x:f>IF($A78="","",IFERROR(INDEX(RESULTADOS_GRID!$D:$D,MATCH($A78,RESULTADOS_GRID!$B:$B,0)),""))</x:f>
      </x:c>
      <x:c r="E78" s="17">
        <x:f>IF($A78="","",COUNTIF(RESULTADOS_GRID!$B:$B,$A78))</x:f>
      </x:c>
      <x:c r="F78" s="15">
        <x:f>IF($A78="","",SUMIF(RESULTADOS_GRID!$B:$B,$A78,RESULTADOS_GRID!$X:$X))</x:f>
      </x:c>
      <x:c r="G78" s="14" t="n"/>
      <x:c r="H78" s="18">
        <x:f>CONFIG_REFERENCIA!$E$7</x:f>
        <x:v>0.05</x:v>
      </x:c>
      <x:c r="I78" s="15">
        <x:f>IF($A78="","",$F78+N($G78)*$H78)</x:f>
      </x:c>
      <x:c r="J78" s="15">
        <x:f>IF($A78="","",IF((COUNTIFS(RESULTADOS_GRID!$B:$B,$A78,RESULTADOS_GRID!$Y:$Y,"&gt;=0")+COUNTIFS(RESULTADOS_GRID!$B:$B,$A78,RESULTADOS_GRID!$Y:$Y,"&lt;0"))=0,"",SUMIF(RESULTADOS_GRID!$B:$B,$A78,RESULTADOS_GRID!$Y:$Y)/(COUNTIFS(RESULTADOS_GRID!$B:$B,$A78,RESULTADOS_GRID!$Y:$Y,"&gt;=0")+COUNTIFS(RESULTADOS_GRID!$B:$B,$A78,RESULTADOS_GRID!$Y:$Y,"&lt;0"))))</x:f>
      </x:c>
      <x:c r="K78" s="15">
        <x:f>IF($A78="","",IF((COUNTIFS(RESULTADOS_GRID!$B:$B,$A78,RESULTADOS_GRID!$Z:$Z,"&gt;=0")+COUNTIFS(RESULTADOS_GRID!$B:$B,$A78,RESULTADOS_GRID!$Z:$Z,"&lt;0"))=0,"",SUMIF(RESULTADOS_GRID!$B:$B,$A78,RESULTADOS_GRID!$Z:$Z)/(COUNTIFS(RESULTADOS_GRID!$B:$B,$A78,RESULTADOS_GRID!$Z:$Z,"&gt;=0")+COUNTIFS(RESULTADOS_GRID!$B:$B,$A78,RESULTADOS_GRID!$Z:$Z,"&lt;0"))))</x:f>
      </x:c>
      <x:c r="L78" s="12">
        <x:f>IF($A78="","",IF((COUNTIFS(RESULTADOS_GRID!$B:$B,$A78,RESULTADOS_GRID!$AA:$AA,"&gt;=0")+COUNTIFS(RESULTADOS_GRID!$B:$B,$A78,RESULTADOS_GRID!$AA:$AA,"&lt;0"))=0,"",SUMIF(RESULTADOS_GRID!$B:$B,$A78,RESULTADOS_GRID!$AA:$AA)/(COUNTIFS(RESULTADOS_GRID!$B:$B,$A78,RESULTADOS_GRID!$AA:$AA,"&gt;=0")+COUNTIFS(RESULTADOS_GRID!$B:$B,$A78,RESULTADOS_GRID!$AA:$AA,"&lt;0"))))</x:f>
      </x:c>
      <x:c r="M78" s="12">
        <x:f>IF($A78="","",IF((COUNTIFS(RESULTADOS_GRID!$B:$B,$A78,RESULTADOS_GRID!$AB:$AB,"&gt;=0")+COUNTIFS(RESULTADOS_GRID!$B:$B,$A78,RESULTADOS_GRID!$AB:$AB,"&lt;0"))=0,"",SUMIF(RESULTADOS_GRID!$B:$B,$A78,RESULTADOS_GRID!$AB:$AB)/(COUNTIFS(RESULTADOS_GRID!$B:$B,$A78,RESULTADOS_GRID!$AB:$AB,"&gt;=0")+COUNTIFS(RESULTADOS_GRID!$B:$B,$A78,RESULTADOS_GRID!$AB:$AB,"&lt;0"))))</x:f>
      </x:c>
      <x:c r="N78" s="11" t="n"/>
      <x:c r="O78" s="17">
        <x:f>IF($I78="","",COUNTIFS($I$2:$I$101,"&lt;"&amp;$I78)+1)</x:f>
      </x:c>
      <x:c r="P78" s="11" t="n"/>
    </x:row>
    <x:row r="79">
      <x:c r="A79" s="11" t="inlineStr">
        <x:is>
          <x:t xml:space="preserve"/>
        </x:is>
      </x:c>
      <x:c r="B79" s="17">
        <x:f>IF($A79="","",IFERROR(INDEX(RESULTADOS_GRID!$C:$C,MATCH($A79,RESULTADOS_GRID!$B:$B,0)),""))</x:f>
      </x:c>
      <x:c r="C79" s="17">
        <x:f>IF($A79="","",IFERROR(INDEX(RESULTADOS_GRID!$E:$E,MATCH($A79,RESULTADOS_GRID!$B:$B,0)),""))</x:f>
      </x:c>
      <x:c r="D79" s="17">
        <x:f>IF($A79="","",IFERROR(INDEX(RESULTADOS_GRID!$D:$D,MATCH($A79,RESULTADOS_GRID!$B:$B,0)),""))</x:f>
      </x:c>
      <x:c r="E79" s="17">
        <x:f>IF($A79="","",COUNTIF(RESULTADOS_GRID!$B:$B,$A79))</x:f>
      </x:c>
      <x:c r="F79" s="15">
        <x:f>IF($A79="","",SUMIF(RESULTADOS_GRID!$B:$B,$A79,RESULTADOS_GRID!$X:$X))</x:f>
      </x:c>
      <x:c r="G79" s="14" t="n"/>
      <x:c r="H79" s="18">
        <x:f>CONFIG_REFERENCIA!$E$7</x:f>
        <x:v>0.05</x:v>
      </x:c>
      <x:c r="I79" s="15">
        <x:f>IF($A79="","",$F79+N($G79)*$H79)</x:f>
      </x:c>
      <x:c r="J79" s="15">
        <x:f>IF($A79="","",IF((COUNTIFS(RESULTADOS_GRID!$B:$B,$A79,RESULTADOS_GRID!$Y:$Y,"&gt;=0")+COUNTIFS(RESULTADOS_GRID!$B:$B,$A79,RESULTADOS_GRID!$Y:$Y,"&lt;0"))=0,"",SUMIF(RESULTADOS_GRID!$B:$B,$A79,RESULTADOS_GRID!$Y:$Y)/(COUNTIFS(RESULTADOS_GRID!$B:$B,$A79,RESULTADOS_GRID!$Y:$Y,"&gt;=0")+COUNTIFS(RESULTADOS_GRID!$B:$B,$A79,RESULTADOS_GRID!$Y:$Y,"&lt;0"))))</x:f>
      </x:c>
      <x:c r="K79" s="15">
        <x:f>IF($A79="","",IF((COUNTIFS(RESULTADOS_GRID!$B:$B,$A79,RESULTADOS_GRID!$Z:$Z,"&gt;=0")+COUNTIFS(RESULTADOS_GRID!$B:$B,$A79,RESULTADOS_GRID!$Z:$Z,"&lt;0"))=0,"",SUMIF(RESULTADOS_GRID!$B:$B,$A79,RESULTADOS_GRID!$Z:$Z)/(COUNTIFS(RESULTADOS_GRID!$B:$B,$A79,RESULTADOS_GRID!$Z:$Z,"&gt;=0")+COUNTIFS(RESULTADOS_GRID!$B:$B,$A79,RESULTADOS_GRID!$Z:$Z,"&lt;0"))))</x:f>
      </x:c>
      <x:c r="L79" s="12">
        <x:f>IF($A79="","",IF((COUNTIFS(RESULTADOS_GRID!$B:$B,$A79,RESULTADOS_GRID!$AA:$AA,"&gt;=0")+COUNTIFS(RESULTADOS_GRID!$B:$B,$A79,RESULTADOS_GRID!$AA:$AA,"&lt;0"))=0,"",SUMIF(RESULTADOS_GRID!$B:$B,$A79,RESULTADOS_GRID!$AA:$AA)/(COUNTIFS(RESULTADOS_GRID!$B:$B,$A79,RESULTADOS_GRID!$AA:$AA,"&gt;=0")+COUNTIFS(RESULTADOS_GRID!$B:$B,$A79,RESULTADOS_GRID!$AA:$AA,"&lt;0"))))</x:f>
      </x:c>
      <x:c r="M79" s="12">
        <x:f>IF($A79="","",IF((COUNTIFS(RESULTADOS_GRID!$B:$B,$A79,RESULTADOS_GRID!$AB:$AB,"&gt;=0")+COUNTIFS(RESULTADOS_GRID!$B:$B,$A79,RESULTADOS_GRID!$AB:$AB,"&lt;0"))=0,"",SUMIF(RESULTADOS_GRID!$B:$B,$A79,RESULTADOS_GRID!$AB:$AB)/(COUNTIFS(RESULTADOS_GRID!$B:$B,$A79,RESULTADOS_GRID!$AB:$AB,"&gt;=0")+COUNTIFS(RESULTADOS_GRID!$B:$B,$A79,RESULTADOS_GRID!$AB:$AB,"&lt;0"))))</x:f>
      </x:c>
      <x:c r="N79" s="11" t="n"/>
      <x:c r="O79" s="17">
        <x:f>IF($I79="","",COUNTIFS($I$2:$I$101,"&lt;"&amp;$I79)+1)</x:f>
      </x:c>
      <x:c r="P79" s="11" t="n"/>
    </x:row>
    <x:row r="80">
      <x:c r="A80" s="11" t="inlineStr">
        <x:is>
          <x:t xml:space="preserve"/>
        </x:is>
      </x:c>
      <x:c r="B80" s="17">
        <x:f>IF($A80="","",IFERROR(INDEX(RESULTADOS_GRID!$C:$C,MATCH($A80,RESULTADOS_GRID!$B:$B,0)),""))</x:f>
      </x:c>
      <x:c r="C80" s="17">
        <x:f>IF($A80="","",IFERROR(INDEX(RESULTADOS_GRID!$E:$E,MATCH($A80,RESULTADOS_GRID!$B:$B,0)),""))</x:f>
      </x:c>
      <x:c r="D80" s="17">
        <x:f>IF($A80="","",IFERROR(INDEX(RESULTADOS_GRID!$D:$D,MATCH($A80,RESULTADOS_GRID!$B:$B,0)),""))</x:f>
      </x:c>
      <x:c r="E80" s="17">
        <x:f>IF($A80="","",COUNTIF(RESULTADOS_GRID!$B:$B,$A80))</x:f>
      </x:c>
      <x:c r="F80" s="15">
        <x:f>IF($A80="","",SUMIF(RESULTADOS_GRID!$B:$B,$A80,RESULTADOS_GRID!$X:$X))</x:f>
      </x:c>
      <x:c r="G80" s="14" t="n"/>
      <x:c r="H80" s="18">
        <x:f>CONFIG_REFERENCIA!$E$7</x:f>
        <x:v>0.05</x:v>
      </x:c>
      <x:c r="I80" s="15">
        <x:f>IF($A80="","",$F80+N($G80)*$H80)</x:f>
      </x:c>
      <x:c r="J80" s="15">
        <x:f>IF($A80="","",IF((COUNTIFS(RESULTADOS_GRID!$B:$B,$A80,RESULTADOS_GRID!$Y:$Y,"&gt;=0")+COUNTIFS(RESULTADOS_GRID!$B:$B,$A80,RESULTADOS_GRID!$Y:$Y,"&lt;0"))=0,"",SUMIF(RESULTADOS_GRID!$B:$B,$A80,RESULTADOS_GRID!$Y:$Y)/(COUNTIFS(RESULTADOS_GRID!$B:$B,$A80,RESULTADOS_GRID!$Y:$Y,"&gt;=0")+COUNTIFS(RESULTADOS_GRID!$B:$B,$A80,RESULTADOS_GRID!$Y:$Y,"&lt;0"))))</x:f>
      </x:c>
      <x:c r="K80" s="15">
        <x:f>IF($A80="","",IF((COUNTIFS(RESULTADOS_GRID!$B:$B,$A80,RESULTADOS_GRID!$Z:$Z,"&gt;=0")+COUNTIFS(RESULTADOS_GRID!$B:$B,$A80,RESULTADOS_GRID!$Z:$Z,"&lt;0"))=0,"",SUMIF(RESULTADOS_GRID!$B:$B,$A80,RESULTADOS_GRID!$Z:$Z)/(COUNTIFS(RESULTADOS_GRID!$B:$B,$A80,RESULTADOS_GRID!$Z:$Z,"&gt;=0")+COUNTIFS(RESULTADOS_GRID!$B:$B,$A80,RESULTADOS_GRID!$Z:$Z,"&lt;0"))))</x:f>
      </x:c>
      <x:c r="L80" s="12">
        <x:f>IF($A80="","",IF((COUNTIFS(RESULTADOS_GRID!$B:$B,$A80,RESULTADOS_GRID!$AA:$AA,"&gt;=0")+COUNTIFS(RESULTADOS_GRID!$B:$B,$A80,RESULTADOS_GRID!$AA:$AA,"&lt;0"))=0,"",SUMIF(RESULTADOS_GRID!$B:$B,$A80,RESULTADOS_GRID!$AA:$AA)/(COUNTIFS(RESULTADOS_GRID!$B:$B,$A80,RESULTADOS_GRID!$AA:$AA,"&gt;=0")+COUNTIFS(RESULTADOS_GRID!$B:$B,$A80,RESULTADOS_GRID!$AA:$AA,"&lt;0"))))</x:f>
      </x:c>
      <x:c r="M80" s="12">
        <x:f>IF($A80="","",IF((COUNTIFS(RESULTADOS_GRID!$B:$B,$A80,RESULTADOS_GRID!$AB:$AB,"&gt;=0")+COUNTIFS(RESULTADOS_GRID!$B:$B,$A80,RESULTADOS_GRID!$AB:$AB,"&lt;0"))=0,"",SUMIF(RESULTADOS_GRID!$B:$B,$A80,RESULTADOS_GRID!$AB:$AB)/(COUNTIFS(RESULTADOS_GRID!$B:$B,$A80,RESULTADOS_GRID!$AB:$AB,"&gt;=0")+COUNTIFS(RESULTADOS_GRID!$B:$B,$A80,RESULTADOS_GRID!$AB:$AB,"&lt;0"))))</x:f>
      </x:c>
      <x:c r="N80" s="11" t="n"/>
      <x:c r="O80" s="17">
        <x:f>IF($I80="","",COUNTIFS($I$2:$I$101,"&lt;"&amp;$I80)+1)</x:f>
      </x:c>
      <x:c r="P80" s="11" t="n"/>
    </x:row>
    <x:row r="81">
      <x:c r="A81" s="11" t="inlineStr">
        <x:is>
          <x:t xml:space="preserve"/>
        </x:is>
      </x:c>
      <x:c r="B81" s="17">
        <x:f>IF($A81="","",IFERROR(INDEX(RESULTADOS_GRID!$C:$C,MATCH($A81,RESULTADOS_GRID!$B:$B,0)),""))</x:f>
      </x:c>
      <x:c r="C81" s="17">
        <x:f>IF($A81="","",IFERROR(INDEX(RESULTADOS_GRID!$E:$E,MATCH($A81,RESULTADOS_GRID!$B:$B,0)),""))</x:f>
      </x:c>
      <x:c r="D81" s="17">
        <x:f>IF($A81="","",IFERROR(INDEX(RESULTADOS_GRID!$D:$D,MATCH($A81,RESULTADOS_GRID!$B:$B,0)),""))</x:f>
      </x:c>
      <x:c r="E81" s="17">
        <x:f>IF($A81="","",COUNTIF(RESULTADOS_GRID!$B:$B,$A81))</x:f>
      </x:c>
      <x:c r="F81" s="15">
        <x:f>IF($A81="","",SUMIF(RESULTADOS_GRID!$B:$B,$A81,RESULTADOS_GRID!$X:$X))</x:f>
      </x:c>
      <x:c r="G81" s="14" t="n"/>
      <x:c r="H81" s="18">
        <x:f>CONFIG_REFERENCIA!$E$7</x:f>
        <x:v>0.05</x:v>
      </x:c>
      <x:c r="I81" s="15">
        <x:f>IF($A81="","",$F81+N($G81)*$H81)</x:f>
      </x:c>
      <x:c r="J81" s="15">
        <x:f>IF($A81="","",IF((COUNTIFS(RESULTADOS_GRID!$B:$B,$A81,RESULTADOS_GRID!$Y:$Y,"&gt;=0")+COUNTIFS(RESULTADOS_GRID!$B:$B,$A81,RESULTADOS_GRID!$Y:$Y,"&lt;0"))=0,"",SUMIF(RESULTADOS_GRID!$B:$B,$A81,RESULTADOS_GRID!$Y:$Y)/(COUNTIFS(RESULTADOS_GRID!$B:$B,$A81,RESULTADOS_GRID!$Y:$Y,"&gt;=0")+COUNTIFS(RESULTADOS_GRID!$B:$B,$A81,RESULTADOS_GRID!$Y:$Y,"&lt;0"))))</x:f>
      </x:c>
      <x:c r="K81" s="15">
        <x:f>IF($A81="","",IF((COUNTIFS(RESULTADOS_GRID!$B:$B,$A81,RESULTADOS_GRID!$Z:$Z,"&gt;=0")+COUNTIFS(RESULTADOS_GRID!$B:$B,$A81,RESULTADOS_GRID!$Z:$Z,"&lt;0"))=0,"",SUMIF(RESULTADOS_GRID!$B:$B,$A81,RESULTADOS_GRID!$Z:$Z)/(COUNTIFS(RESULTADOS_GRID!$B:$B,$A81,RESULTADOS_GRID!$Z:$Z,"&gt;=0")+COUNTIFS(RESULTADOS_GRID!$B:$B,$A81,RESULTADOS_GRID!$Z:$Z,"&lt;0"))))</x:f>
      </x:c>
      <x:c r="L81" s="12">
        <x:f>IF($A81="","",IF((COUNTIFS(RESULTADOS_GRID!$B:$B,$A81,RESULTADOS_GRID!$AA:$AA,"&gt;=0")+COUNTIFS(RESULTADOS_GRID!$B:$B,$A81,RESULTADOS_GRID!$AA:$AA,"&lt;0"))=0,"",SUMIF(RESULTADOS_GRID!$B:$B,$A81,RESULTADOS_GRID!$AA:$AA)/(COUNTIFS(RESULTADOS_GRID!$B:$B,$A81,RESULTADOS_GRID!$AA:$AA,"&gt;=0")+COUNTIFS(RESULTADOS_GRID!$B:$B,$A81,RESULTADOS_GRID!$AA:$AA,"&lt;0"))))</x:f>
      </x:c>
      <x:c r="M81" s="12">
        <x:f>IF($A81="","",IF((COUNTIFS(RESULTADOS_GRID!$B:$B,$A81,RESULTADOS_GRID!$AB:$AB,"&gt;=0")+COUNTIFS(RESULTADOS_GRID!$B:$B,$A81,RESULTADOS_GRID!$AB:$AB,"&lt;0"))=0,"",SUMIF(RESULTADOS_GRID!$B:$B,$A81,RESULTADOS_GRID!$AB:$AB)/(COUNTIFS(RESULTADOS_GRID!$B:$B,$A81,RESULTADOS_GRID!$AB:$AB,"&gt;=0")+COUNTIFS(RESULTADOS_GRID!$B:$B,$A81,RESULTADOS_GRID!$AB:$AB,"&lt;0"))))</x:f>
      </x:c>
      <x:c r="N81" s="11" t="n"/>
      <x:c r="O81" s="17">
        <x:f>IF($I81="","",COUNTIFS($I$2:$I$101,"&lt;"&amp;$I81)+1)</x:f>
      </x:c>
      <x:c r="P81" s="11" t="n"/>
    </x:row>
    <x:row r="82">
      <x:c r="A82" s="11" t="inlineStr">
        <x:is>
          <x:t xml:space="preserve"/>
        </x:is>
      </x:c>
      <x:c r="B82" s="17">
        <x:f>IF($A82="","",IFERROR(INDEX(RESULTADOS_GRID!$C:$C,MATCH($A82,RESULTADOS_GRID!$B:$B,0)),""))</x:f>
      </x:c>
      <x:c r="C82" s="17">
        <x:f>IF($A82="","",IFERROR(INDEX(RESULTADOS_GRID!$E:$E,MATCH($A82,RESULTADOS_GRID!$B:$B,0)),""))</x:f>
      </x:c>
      <x:c r="D82" s="17">
        <x:f>IF($A82="","",IFERROR(INDEX(RESULTADOS_GRID!$D:$D,MATCH($A82,RESULTADOS_GRID!$B:$B,0)),""))</x:f>
      </x:c>
      <x:c r="E82" s="17">
        <x:f>IF($A82="","",COUNTIF(RESULTADOS_GRID!$B:$B,$A82))</x:f>
      </x:c>
      <x:c r="F82" s="15">
        <x:f>IF($A82="","",SUMIF(RESULTADOS_GRID!$B:$B,$A82,RESULTADOS_GRID!$X:$X))</x:f>
      </x:c>
      <x:c r="G82" s="14" t="n"/>
      <x:c r="H82" s="18">
        <x:f>CONFIG_REFERENCIA!$E$7</x:f>
        <x:v>0.05</x:v>
      </x:c>
      <x:c r="I82" s="15">
        <x:f>IF($A82="","",$F82+N($G82)*$H82)</x:f>
      </x:c>
      <x:c r="J82" s="15">
        <x:f>IF($A82="","",IF((COUNTIFS(RESULTADOS_GRID!$B:$B,$A82,RESULTADOS_GRID!$Y:$Y,"&gt;=0")+COUNTIFS(RESULTADOS_GRID!$B:$B,$A82,RESULTADOS_GRID!$Y:$Y,"&lt;0"))=0,"",SUMIF(RESULTADOS_GRID!$B:$B,$A82,RESULTADOS_GRID!$Y:$Y)/(COUNTIFS(RESULTADOS_GRID!$B:$B,$A82,RESULTADOS_GRID!$Y:$Y,"&gt;=0")+COUNTIFS(RESULTADOS_GRID!$B:$B,$A82,RESULTADOS_GRID!$Y:$Y,"&lt;0"))))</x:f>
      </x:c>
      <x:c r="K82" s="15">
        <x:f>IF($A82="","",IF((COUNTIFS(RESULTADOS_GRID!$B:$B,$A82,RESULTADOS_GRID!$Z:$Z,"&gt;=0")+COUNTIFS(RESULTADOS_GRID!$B:$B,$A82,RESULTADOS_GRID!$Z:$Z,"&lt;0"))=0,"",SUMIF(RESULTADOS_GRID!$B:$B,$A82,RESULTADOS_GRID!$Z:$Z)/(COUNTIFS(RESULTADOS_GRID!$B:$B,$A82,RESULTADOS_GRID!$Z:$Z,"&gt;=0")+COUNTIFS(RESULTADOS_GRID!$B:$B,$A82,RESULTADOS_GRID!$Z:$Z,"&lt;0"))))</x:f>
      </x:c>
      <x:c r="L82" s="12">
        <x:f>IF($A82="","",IF((COUNTIFS(RESULTADOS_GRID!$B:$B,$A82,RESULTADOS_GRID!$AA:$AA,"&gt;=0")+COUNTIFS(RESULTADOS_GRID!$B:$B,$A82,RESULTADOS_GRID!$AA:$AA,"&lt;0"))=0,"",SUMIF(RESULTADOS_GRID!$B:$B,$A82,RESULTADOS_GRID!$AA:$AA)/(COUNTIFS(RESULTADOS_GRID!$B:$B,$A82,RESULTADOS_GRID!$AA:$AA,"&gt;=0")+COUNTIFS(RESULTADOS_GRID!$B:$B,$A82,RESULTADOS_GRID!$AA:$AA,"&lt;0"))))</x:f>
      </x:c>
      <x:c r="M82" s="12">
        <x:f>IF($A82="","",IF((COUNTIFS(RESULTADOS_GRID!$B:$B,$A82,RESULTADOS_GRID!$AB:$AB,"&gt;=0")+COUNTIFS(RESULTADOS_GRID!$B:$B,$A82,RESULTADOS_GRID!$AB:$AB,"&lt;0"))=0,"",SUMIF(RESULTADOS_GRID!$B:$B,$A82,RESULTADOS_GRID!$AB:$AB)/(COUNTIFS(RESULTADOS_GRID!$B:$B,$A82,RESULTADOS_GRID!$AB:$AB,"&gt;=0")+COUNTIFS(RESULTADOS_GRID!$B:$B,$A82,RESULTADOS_GRID!$AB:$AB,"&lt;0"))))</x:f>
      </x:c>
      <x:c r="N82" s="11" t="n"/>
      <x:c r="O82" s="17">
        <x:f>IF($I82="","",COUNTIFS($I$2:$I$101,"&lt;"&amp;$I82)+1)</x:f>
      </x:c>
      <x:c r="P82" s="11" t="n"/>
    </x:row>
    <x:row r="83">
      <x:c r="A83" s="11" t="inlineStr">
        <x:is>
          <x:t xml:space="preserve"/>
        </x:is>
      </x:c>
      <x:c r="B83" s="17">
        <x:f>IF($A83="","",IFERROR(INDEX(RESULTADOS_GRID!$C:$C,MATCH($A83,RESULTADOS_GRID!$B:$B,0)),""))</x:f>
      </x:c>
      <x:c r="C83" s="17">
        <x:f>IF($A83="","",IFERROR(INDEX(RESULTADOS_GRID!$E:$E,MATCH($A83,RESULTADOS_GRID!$B:$B,0)),""))</x:f>
      </x:c>
      <x:c r="D83" s="17">
        <x:f>IF($A83="","",IFERROR(INDEX(RESULTADOS_GRID!$D:$D,MATCH($A83,RESULTADOS_GRID!$B:$B,0)),""))</x:f>
      </x:c>
      <x:c r="E83" s="17">
        <x:f>IF($A83="","",COUNTIF(RESULTADOS_GRID!$B:$B,$A83))</x:f>
      </x:c>
      <x:c r="F83" s="15">
        <x:f>IF($A83="","",SUMIF(RESULTADOS_GRID!$B:$B,$A83,RESULTADOS_GRID!$X:$X))</x:f>
      </x:c>
      <x:c r="G83" s="14" t="n"/>
      <x:c r="H83" s="18">
        <x:f>CONFIG_REFERENCIA!$E$7</x:f>
        <x:v>0.05</x:v>
      </x:c>
      <x:c r="I83" s="15">
        <x:f>IF($A83="","",$F83+N($G83)*$H83)</x:f>
      </x:c>
      <x:c r="J83" s="15">
        <x:f>IF($A83="","",IF((COUNTIFS(RESULTADOS_GRID!$B:$B,$A83,RESULTADOS_GRID!$Y:$Y,"&gt;=0")+COUNTIFS(RESULTADOS_GRID!$B:$B,$A83,RESULTADOS_GRID!$Y:$Y,"&lt;0"))=0,"",SUMIF(RESULTADOS_GRID!$B:$B,$A83,RESULTADOS_GRID!$Y:$Y)/(COUNTIFS(RESULTADOS_GRID!$B:$B,$A83,RESULTADOS_GRID!$Y:$Y,"&gt;=0")+COUNTIFS(RESULTADOS_GRID!$B:$B,$A83,RESULTADOS_GRID!$Y:$Y,"&lt;0"))))</x:f>
      </x:c>
      <x:c r="K83" s="15">
        <x:f>IF($A83="","",IF((COUNTIFS(RESULTADOS_GRID!$B:$B,$A83,RESULTADOS_GRID!$Z:$Z,"&gt;=0")+COUNTIFS(RESULTADOS_GRID!$B:$B,$A83,RESULTADOS_GRID!$Z:$Z,"&lt;0"))=0,"",SUMIF(RESULTADOS_GRID!$B:$B,$A83,RESULTADOS_GRID!$Z:$Z)/(COUNTIFS(RESULTADOS_GRID!$B:$B,$A83,RESULTADOS_GRID!$Z:$Z,"&gt;=0")+COUNTIFS(RESULTADOS_GRID!$B:$B,$A83,RESULTADOS_GRID!$Z:$Z,"&lt;0"))))</x:f>
      </x:c>
      <x:c r="L83" s="12">
        <x:f>IF($A83="","",IF((COUNTIFS(RESULTADOS_GRID!$B:$B,$A83,RESULTADOS_GRID!$AA:$AA,"&gt;=0")+COUNTIFS(RESULTADOS_GRID!$B:$B,$A83,RESULTADOS_GRID!$AA:$AA,"&lt;0"))=0,"",SUMIF(RESULTADOS_GRID!$B:$B,$A83,RESULTADOS_GRID!$AA:$AA)/(COUNTIFS(RESULTADOS_GRID!$B:$B,$A83,RESULTADOS_GRID!$AA:$AA,"&gt;=0")+COUNTIFS(RESULTADOS_GRID!$B:$B,$A83,RESULTADOS_GRID!$AA:$AA,"&lt;0"))))</x:f>
      </x:c>
      <x:c r="M83" s="12">
        <x:f>IF($A83="","",IF((COUNTIFS(RESULTADOS_GRID!$B:$B,$A83,RESULTADOS_GRID!$AB:$AB,"&gt;=0")+COUNTIFS(RESULTADOS_GRID!$B:$B,$A83,RESULTADOS_GRID!$AB:$AB,"&lt;0"))=0,"",SUMIF(RESULTADOS_GRID!$B:$B,$A83,RESULTADOS_GRID!$AB:$AB)/(COUNTIFS(RESULTADOS_GRID!$B:$B,$A83,RESULTADOS_GRID!$AB:$AB,"&gt;=0")+COUNTIFS(RESULTADOS_GRID!$B:$B,$A83,RESULTADOS_GRID!$AB:$AB,"&lt;0"))))</x:f>
      </x:c>
      <x:c r="N83" s="11" t="n"/>
      <x:c r="O83" s="17">
        <x:f>IF($I83="","",COUNTIFS($I$2:$I$101,"&lt;"&amp;$I83)+1)</x:f>
      </x:c>
      <x:c r="P83" s="11" t="n"/>
    </x:row>
    <x:row r="84">
      <x:c r="A84" s="11" t="inlineStr">
        <x:is>
          <x:t xml:space="preserve"/>
        </x:is>
      </x:c>
      <x:c r="B84" s="17">
        <x:f>IF($A84="","",IFERROR(INDEX(RESULTADOS_GRID!$C:$C,MATCH($A84,RESULTADOS_GRID!$B:$B,0)),""))</x:f>
      </x:c>
      <x:c r="C84" s="17">
        <x:f>IF($A84="","",IFERROR(INDEX(RESULTADOS_GRID!$E:$E,MATCH($A84,RESULTADOS_GRID!$B:$B,0)),""))</x:f>
      </x:c>
      <x:c r="D84" s="17">
        <x:f>IF($A84="","",IFERROR(INDEX(RESULTADOS_GRID!$D:$D,MATCH($A84,RESULTADOS_GRID!$B:$B,0)),""))</x:f>
      </x:c>
      <x:c r="E84" s="17">
        <x:f>IF($A84="","",COUNTIF(RESULTADOS_GRID!$B:$B,$A84))</x:f>
      </x:c>
      <x:c r="F84" s="15">
        <x:f>IF($A84="","",SUMIF(RESULTADOS_GRID!$B:$B,$A84,RESULTADOS_GRID!$X:$X))</x:f>
      </x:c>
      <x:c r="G84" s="14" t="n"/>
      <x:c r="H84" s="18">
        <x:f>CONFIG_REFERENCIA!$E$7</x:f>
        <x:v>0.05</x:v>
      </x:c>
      <x:c r="I84" s="15">
        <x:f>IF($A84="","",$F84+N($G84)*$H84)</x:f>
      </x:c>
      <x:c r="J84" s="15">
        <x:f>IF($A84="","",IF((COUNTIFS(RESULTADOS_GRID!$B:$B,$A84,RESULTADOS_GRID!$Y:$Y,"&gt;=0")+COUNTIFS(RESULTADOS_GRID!$B:$B,$A84,RESULTADOS_GRID!$Y:$Y,"&lt;0"))=0,"",SUMIF(RESULTADOS_GRID!$B:$B,$A84,RESULTADOS_GRID!$Y:$Y)/(COUNTIFS(RESULTADOS_GRID!$B:$B,$A84,RESULTADOS_GRID!$Y:$Y,"&gt;=0")+COUNTIFS(RESULTADOS_GRID!$B:$B,$A84,RESULTADOS_GRID!$Y:$Y,"&lt;0"))))</x:f>
      </x:c>
      <x:c r="K84" s="15">
        <x:f>IF($A84="","",IF((COUNTIFS(RESULTADOS_GRID!$B:$B,$A84,RESULTADOS_GRID!$Z:$Z,"&gt;=0")+COUNTIFS(RESULTADOS_GRID!$B:$B,$A84,RESULTADOS_GRID!$Z:$Z,"&lt;0"))=0,"",SUMIF(RESULTADOS_GRID!$B:$B,$A84,RESULTADOS_GRID!$Z:$Z)/(COUNTIFS(RESULTADOS_GRID!$B:$B,$A84,RESULTADOS_GRID!$Z:$Z,"&gt;=0")+COUNTIFS(RESULTADOS_GRID!$B:$B,$A84,RESULTADOS_GRID!$Z:$Z,"&lt;0"))))</x:f>
      </x:c>
      <x:c r="L84" s="12">
        <x:f>IF($A84="","",IF((COUNTIFS(RESULTADOS_GRID!$B:$B,$A84,RESULTADOS_GRID!$AA:$AA,"&gt;=0")+COUNTIFS(RESULTADOS_GRID!$B:$B,$A84,RESULTADOS_GRID!$AA:$AA,"&lt;0"))=0,"",SUMIF(RESULTADOS_GRID!$B:$B,$A84,RESULTADOS_GRID!$AA:$AA)/(COUNTIFS(RESULTADOS_GRID!$B:$B,$A84,RESULTADOS_GRID!$AA:$AA,"&gt;=0")+COUNTIFS(RESULTADOS_GRID!$B:$B,$A84,RESULTADOS_GRID!$AA:$AA,"&lt;0"))))</x:f>
      </x:c>
      <x:c r="M84" s="12">
        <x:f>IF($A84="","",IF((COUNTIFS(RESULTADOS_GRID!$B:$B,$A84,RESULTADOS_GRID!$AB:$AB,"&gt;=0")+COUNTIFS(RESULTADOS_GRID!$B:$B,$A84,RESULTADOS_GRID!$AB:$AB,"&lt;0"))=0,"",SUMIF(RESULTADOS_GRID!$B:$B,$A84,RESULTADOS_GRID!$AB:$AB)/(COUNTIFS(RESULTADOS_GRID!$B:$B,$A84,RESULTADOS_GRID!$AB:$AB,"&gt;=0")+COUNTIFS(RESULTADOS_GRID!$B:$B,$A84,RESULTADOS_GRID!$AB:$AB,"&lt;0"))))</x:f>
      </x:c>
      <x:c r="N84" s="11" t="n"/>
      <x:c r="O84" s="17">
        <x:f>IF($I84="","",COUNTIFS($I$2:$I$101,"&lt;"&amp;$I84)+1)</x:f>
      </x:c>
      <x:c r="P84" s="11" t="n"/>
    </x:row>
    <x:row r="85">
      <x:c r="A85" s="11" t="inlineStr">
        <x:is>
          <x:t xml:space="preserve"/>
        </x:is>
      </x:c>
      <x:c r="B85" s="17">
        <x:f>IF($A85="","",IFERROR(INDEX(RESULTADOS_GRID!$C:$C,MATCH($A85,RESULTADOS_GRID!$B:$B,0)),""))</x:f>
      </x:c>
      <x:c r="C85" s="17">
        <x:f>IF($A85="","",IFERROR(INDEX(RESULTADOS_GRID!$E:$E,MATCH($A85,RESULTADOS_GRID!$B:$B,0)),""))</x:f>
      </x:c>
      <x:c r="D85" s="17">
        <x:f>IF($A85="","",IFERROR(INDEX(RESULTADOS_GRID!$D:$D,MATCH($A85,RESULTADOS_GRID!$B:$B,0)),""))</x:f>
      </x:c>
      <x:c r="E85" s="17">
        <x:f>IF($A85="","",COUNTIF(RESULTADOS_GRID!$B:$B,$A85))</x:f>
      </x:c>
      <x:c r="F85" s="15">
        <x:f>IF($A85="","",SUMIF(RESULTADOS_GRID!$B:$B,$A85,RESULTADOS_GRID!$X:$X))</x:f>
      </x:c>
      <x:c r="G85" s="14" t="n"/>
      <x:c r="H85" s="18">
        <x:f>CONFIG_REFERENCIA!$E$7</x:f>
        <x:v>0.05</x:v>
      </x:c>
      <x:c r="I85" s="15">
        <x:f>IF($A85="","",$F85+N($G85)*$H85)</x:f>
      </x:c>
      <x:c r="J85" s="15">
        <x:f>IF($A85="","",IF((COUNTIFS(RESULTADOS_GRID!$B:$B,$A85,RESULTADOS_GRID!$Y:$Y,"&gt;=0")+COUNTIFS(RESULTADOS_GRID!$B:$B,$A85,RESULTADOS_GRID!$Y:$Y,"&lt;0"))=0,"",SUMIF(RESULTADOS_GRID!$B:$B,$A85,RESULTADOS_GRID!$Y:$Y)/(COUNTIFS(RESULTADOS_GRID!$B:$B,$A85,RESULTADOS_GRID!$Y:$Y,"&gt;=0")+COUNTIFS(RESULTADOS_GRID!$B:$B,$A85,RESULTADOS_GRID!$Y:$Y,"&lt;0"))))</x:f>
      </x:c>
      <x:c r="K85" s="15">
        <x:f>IF($A85="","",IF((COUNTIFS(RESULTADOS_GRID!$B:$B,$A85,RESULTADOS_GRID!$Z:$Z,"&gt;=0")+COUNTIFS(RESULTADOS_GRID!$B:$B,$A85,RESULTADOS_GRID!$Z:$Z,"&lt;0"))=0,"",SUMIF(RESULTADOS_GRID!$B:$B,$A85,RESULTADOS_GRID!$Z:$Z)/(COUNTIFS(RESULTADOS_GRID!$B:$B,$A85,RESULTADOS_GRID!$Z:$Z,"&gt;=0")+COUNTIFS(RESULTADOS_GRID!$B:$B,$A85,RESULTADOS_GRID!$Z:$Z,"&lt;0"))))</x:f>
      </x:c>
      <x:c r="L85" s="12">
        <x:f>IF($A85="","",IF((COUNTIFS(RESULTADOS_GRID!$B:$B,$A85,RESULTADOS_GRID!$AA:$AA,"&gt;=0")+COUNTIFS(RESULTADOS_GRID!$B:$B,$A85,RESULTADOS_GRID!$AA:$AA,"&lt;0"))=0,"",SUMIF(RESULTADOS_GRID!$B:$B,$A85,RESULTADOS_GRID!$AA:$AA)/(COUNTIFS(RESULTADOS_GRID!$B:$B,$A85,RESULTADOS_GRID!$AA:$AA,"&gt;=0")+COUNTIFS(RESULTADOS_GRID!$B:$B,$A85,RESULTADOS_GRID!$AA:$AA,"&lt;0"))))</x:f>
      </x:c>
      <x:c r="M85" s="12">
        <x:f>IF($A85="","",IF((COUNTIFS(RESULTADOS_GRID!$B:$B,$A85,RESULTADOS_GRID!$AB:$AB,"&gt;=0")+COUNTIFS(RESULTADOS_GRID!$B:$B,$A85,RESULTADOS_GRID!$AB:$AB,"&lt;0"))=0,"",SUMIF(RESULTADOS_GRID!$B:$B,$A85,RESULTADOS_GRID!$AB:$AB)/(COUNTIFS(RESULTADOS_GRID!$B:$B,$A85,RESULTADOS_GRID!$AB:$AB,"&gt;=0")+COUNTIFS(RESULTADOS_GRID!$B:$B,$A85,RESULTADOS_GRID!$AB:$AB,"&lt;0"))))</x:f>
      </x:c>
      <x:c r="N85" s="11" t="n"/>
      <x:c r="O85" s="17">
        <x:f>IF($I85="","",COUNTIFS($I$2:$I$101,"&lt;"&amp;$I85)+1)</x:f>
      </x:c>
      <x:c r="P85" s="11" t="n"/>
    </x:row>
    <x:row r="86">
      <x:c r="A86" s="11" t="inlineStr">
        <x:is>
          <x:t xml:space="preserve"/>
        </x:is>
      </x:c>
      <x:c r="B86" s="17">
        <x:f>IF($A86="","",IFERROR(INDEX(RESULTADOS_GRID!$C:$C,MATCH($A86,RESULTADOS_GRID!$B:$B,0)),""))</x:f>
      </x:c>
      <x:c r="C86" s="17">
        <x:f>IF($A86="","",IFERROR(INDEX(RESULTADOS_GRID!$E:$E,MATCH($A86,RESULTADOS_GRID!$B:$B,0)),""))</x:f>
      </x:c>
      <x:c r="D86" s="17">
        <x:f>IF($A86="","",IFERROR(INDEX(RESULTADOS_GRID!$D:$D,MATCH($A86,RESULTADOS_GRID!$B:$B,0)),""))</x:f>
      </x:c>
      <x:c r="E86" s="17">
        <x:f>IF($A86="","",COUNTIF(RESULTADOS_GRID!$B:$B,$A86))</x:f>
      </x:c>
      <x:c r="F86" s="15">
        <x:f>IF($A86="","",SUMIF(RESULTADOS_GRID!$B:$B,$A86,RESULTADOS_GRID!$X:$X))</x:f>
      </x:c>
      <x:c r="G86" s="14" t="n"/>
      <x:c r="H86" s="18">
        <x:f>CONFIG_REFERENCIA!$E$7</x:f>
        <x:v>0.05</x:v>
      </x:c>
      <x:c r="I86" s="15">
        <x:f>IF($A86="","",$F86+N($G86)*$H86)</x:f>
      </x:c>
      <x:c r="J86" s="15">
        <x:f>IF($A86="","",IF((COUNTIFS(RESULTADOS_GRID!$B:$B,$A86,RESULTADOS_GRID!$Y:$Y,"&gt;=0")+COUNTIFS(RESULTADOS_GRID!$B:$B,$A86,RESULTADOS_GRID!$Y:$Y,"&lt;0"))=0,"",SUMIF(RESULTADOS_GRID!$B:$B,$A86,RESULTADOS_GRID!$Y:$Y)/(COUNTIFS(RESULTADOS_GRID!$B:$B,$A86,RESULTADOS_GRID!$Y:$Y,"&gt;=0")+COUNTIFS(RESULTADOS_GRID!$B:$B,$A86,RESULTADOS_GRID!$Y:$Y,"&lt;0"))))</x:f>
      </x:c>
      <x:c r="K86" s="15">
        <x:f>IF($A86="","",IF((COUNTIFS(RESULTADOS_GRID!$B:$B,$A86,RESULTADOS_GRID!$Z:$Z,"&gt;=0")+COUNTIFS(RESULTADOS_GRID!$B:$B,$A86,RESULTADOS_GRID!$Z:$Z,"&lt;0"))=0,"",SUMIF(RESULTADOS_GRID!$B:$B,$A86,RESULTADOS_GRID!$Z:$Z)/(COUNTIFS(RESULTADOS_GRID!$B:$B,$A86,RESULTADOS_GRID!$Z:$Z,"&gt;=0")+COUNTIFS(RESULTADOS_GRID!$B:$B,$A86,RESULTADOS_GRID!$Z:$Z,"&lt;0"))))</x:f>
      </x:c>
      <x:c r="L86" s="12">
        <x:f>IF($A86="","",IF((COUNTIFS(RESULTADOS_GRID!$B:$B,$A86,RESULTADOS_GRID!$AA:$AA,"&gt;=0")+COUNTIFS(RESULTADOS_GRID!$B:$B,$A86,RESULTADOS_GRID!$AA:$AA,"&lt;0"))=0,"",SUMIF(RESULTADOS_GRID!$B:$B,$A86,RESULTADOS_GRID!$AA:$AA)/(COUNTIFS(RESULTADOS_GRID!$B:$B,$A86,RESULTADOS_GRID!$AA:$AA,"&gt;=0")+COUNTIFS(RESULTADOS_GRID!$B:$B,$A86,RESULTADOS_GRID!$AA:$AA,"&lt;0"))))</x:f>
      </x:c>
      <x:c r="M86" s="12">
        <x:f>IF($A86="","",IF((COUNTIFS(RESULTADOS_GRID!$B:$B,$A86,RESULTADOS_GRID!$AB:$AB,"&gt;=0")+COUNTIFS(RESULTADOS_GRID!$B:$B,$A86,RESULTADOS_GRID!$AB:$AB,"&lt;0"))=0,"",SUMIF(RESULTADOS_GRID!$B:$B,$A86,RESULTADOS_GRID!$AB:$AB)/(COUNTIFS(RESULTADOS_GRID!$B:$B,$A86,RESULTADOS_GRID!$AB:$AB,"&gt;=0")+COUNTIFS(RESULTADOS_GRID!$B:$B,$A86,RESULTADOS_GRID!$AB:$AB,"&lt;0"))))</x:f>
      </x:c>
      <x:c r="N86" s="11" t="n"/>
      <x:c r="O86" s="17">
        <x:f>IF($I86="","",COUNTIFS($I$2:$I$101,"&lt;"&amp;$I86)+1)</x:f>
      </x:c>
      <x:c r="P86" s="11" t="n"/>
    </x:row>
    <x:row r="87">
      <x:c r="A87" s="11" t="inlineStr">
        <x:is>
          <x:t xml:space="preserve"/>
        </x:is>
      </x:c>
      <x:c r="B87" s="17">
        <x:f>IF($A87="","",IFERROR(INDEX(RESULTADOS_GRID!$C:$C,MATCH($A87,RESULTADOS_GRID!$B:$B,0)),""))</x:f>
      </x:c>
      <x:c r="C87" s="17">
        <x:f>IF($A87="","",IFERROR(INDEX(RESULTADOS_GRID!$E:$E,MATCH($A87,RESULTADOS_GRID!$B:$B,0)),""))</x:f>
      </x:c>
      <x:c r="D87" s="17">
        <x:f>IF($A87="","",IFERROR(INDEX(RESULTADOS_GRID!$D:$D,MATCH($A87,RESULTADOS_GRID!$B:$B,0)),""))</x:f>
      </x:c>
      <x:c r="E87" s="17">
        <x:f>IF($A87="","",COUNTIF(RESULTADOS_GRID!$B:$B,$A87))</x:f>
      </x:c>
      <x:c r="F87" s="15">
        <x:f>IF($A87="","",SUMIF(RESULTADOS_GRID!$B:$B,$A87,RESULTADOS_GRID!$X:$X))</x:f>
      </x:c>
      <x:c r="G87" s="14" t="n"/>
      <x:c r="H87" s="18">
        <x:f>CONFIG_REFERENCIA!$E$7</x:f>
        <x:v>0.05</x:v>
      </x:c>
      <x:c r="I87" s="15">
        <x:f>IF($A87="","",$F87+N($G87)*$H87)</x:f>
      </x:c>
      <x:c r="J87" s="15">
        <x:f>IF($A87="","",IF((COUNTIFS(RESULTADOS_GRID!$B:$B,$A87,RESULTADOS_GRID!$Y:$Y,"&gt;=0")+COUNTIFS(RESULTADOS_GRID!$B:$B,$A87,RESULTADOS_GRID!$Y:$Y,"&lt;0"))=0,"",SUMIF(RESULTADOS_GRID!$B:$B,$A87,RESULTADOS_GRID!$Y:$Y)/(COUNTIFS(RESULTADOS_GRID!$B:$B,$A87,RESULTADOS_GRID!$Y:$Y,"&gt;=0")+COUNTIFS(RESULTADOS_GRID!$B:$B,$A87,RESULTADOS_GRID!$Y:$Y,"&lt;0"))))</x:f>
      </x:c>
      <x:c r="K87" s="15">
        <x:f>IF($A87="","",IF((COUNTIFS(RESULTADOS_GRID!$B:$B,$A87,RESULTADOS_GRID!$Z:$Z,"&gt;=0")+COUNTIFS(RESULTADOS_GRID!$B:$B,$A87,RESULTADOS_GRID!$Z:$Z,"&lt;0"))=0,"",SUMIF(RESULTADOS_GRID!$B:$B,$A87,RESULTADOS_GRID!$Z:$Z)/(COUNTIFS(RESULTADOS_GRID!$B:$B,$A87,RESULTADOS_GRID!$Z:$Z,"&gt;=0")+COUNTIFS(RESULTADOS_GRID!$B:$B,$A87,RESULTADOS_GRID!$Z:$Z,"&lt;0"))))</x:f>
      </x:c>
      <x:c r="L87" s="12">
        <x:f>IF($A87="","",IF((COUNTIFS(RESULTADOS_GRID!$B:$B,$A87,RESULTADOS_GRID!$AA:$AA,"&gt;=0")+COUNTIFS(RESULTADOS_GRID!$B:$B,$A87,RESULTADOS_GRID!$AA:$AA,"&lt;0"))=0,"",SUMIF(RESULTADOS_GRID!$B:$B,$A87,RESULTADOS_GRID!$AA:$AA)/(COUNTIFS(RESULTADOS_GRID!$B:$B,$A87,RESULTADOS_GRID!$AA:$AA,"&gt;=0")+COUNTIFS(RESULTADOS_GRID!$B:$B,$A87,RESULTADOS_GRID!$AA:$AA,"&lt;0"))))</x:f>
      </x:c>
      <x:c r="M87" s="12">
        <x:f>IF($A87="","",IF((COUNTIFS(RESULTADOS_GRID!$B:$B,$A87,RESULTADOS_GRID!$AB:$AB,"&gt;=0")+COUNTIFS(RESULTADOS_GRID!$B:$B,$A87,RESULTADOS_GRID!$AB:$AB,"&lt;0"))=0,"",SUMIF(RESULTADOS_GRID!$B:$B,$A87,RESULTADOS_GRID!$AB:$AB)/(COUNTIFS(RESULTADOS_GRID!$B:$B,$A87,RESULTADOS_GRID!$AB:$AB,"&gt;=0")+COUNTIFS(RESULTADOS_GRID!$B:$B,$A87,RESULTADOS_GRID!$AB:$AB,"&lt;0"))))</x:f>
      </x:c>
      <x:c r="N87" s="11" t="n"/>
      <x:c r="O87" s="17">
        <x:f>IF($I87="","",COUNTIFS($I$2:$I$101,"&lt;"&amp;$I87)+1)</x:f>
      </x:c>
      <x:c r="P87" s="11" t="n"/>
    </x:row>
    <x:row r="88">
      <x:c r="A88" s="11" t="inlineStr">
        <x:is>
          <x:t xml:space="preserve"/>
        </x:is>
      </x:c>
      <x:c r="B88" s="17">
        <x:f>IF($A88="","",IFERROR(INDEX(RESULTADOS_GRID!$C:$C,MATCH($A88,RESULTADOS_GRID!$B:$B,0)),""))</x:f>
      </x:c>
      <x:c r="C88" s="17">
        <x:f>IF($A88="","",IFERROR(INDEX(RESULTADOS_GRID!$E:$E,MATCH($A88,RESULTADOS_GRID!$B:$B,0)),""))</x:f>
      </x:c>
      <x:c r="D88" s="17">
        <x:f>IF($A88="","",IFERROR(INDEX(RESULTADOS_GRID!$D:$D,MATCH($A88,RESULTADOS_GRID!$B:$B,0)),""))</x:f>
      </x:c>
      <x:c r="E88" s="17">
        <x:f>IF($A88="","",COUNTIF(RESULTADOS_GRID!$B:$B,$A88))</x:f>
      </x:c>
      <x:c r="F88" s="15">
        <x:f>IF($A88="","",SUMIF(RESULTADOS_GRID!$B:$B,$A88,RESULTADOS_GRID!$X:$X))</x:f>
      </x:c>
      <x:c r="G88" s="14" t="n"/>
      <x:c r="H88" s="18">
        <x:f>CONFIG_REFERENCIA!$E$7</x:f>
        <x:v>0.05</x:v>
      </x:c>
      <x:c r="I88" s="15">
        <x:f>IF($A88="","",$F88+N($G88)*$H88)</x:f>
      </x:c>
      <x:c r="J88" s="15">
        <x:f>IF($A88="","",IF((COUNTIFS(RESULTADOS_GRID!$B:$B,$A88,RESULTADOS_GRID!$Y:$Y,"&gt;=0")+COUNTIFS(RESULTADOS_GRID!$B:$B,$A88,RESULTADOS_GRID!$Y:$Y,"&lt;0"))=0,"",SUMIF(RESULTADOS_GRID!$B:$B,$A88,RESULTADOS_GRID!$Y:$Y)/(COUNTIFS(RESULTADOS_GRID!$B:$B,$A88,RESULTADOS_GRID!$Y:$Y,"&gt;=0")+COUNTIFS(RESULTADOS_GRID!$B:$B,$A88,RESULTADOS_GRID!$Y:$Y,"&lt;0"))))</x:f>
      </x:c>
      <x:c r="K88" s="15">
        <x:f>IF($A88="","",IF((COUNTIFS(RESULTADOS_GRID!$B:$B,$A88,RESULTADOS_GRID!$Z:$Z,"&gt;=0")+COUNTIFS(RESULTADOS_GRID!$B:$B,$A88,RESULTADOS_GRID!$Z:$Z,"&lt;0"))=0,"",SUMIF(RESULTADOS_GRID!$B:$B,$A88,RESULTADOS_GRID!$Z:$Z)/(COUNTIFS(RESULTADOS_GRID!$B:$B,$A88,RESULTADOS_GRID!$Z:$Z,"&gt;=0")+COUNTIFS(RESULTADOS_GRID!$B:$B,$A88,RESULTADOS_GRID!$Z:$Z,"&lt;0"))))</x:f>
      </x:c>
      <x:c r="L88" s="12">
        <x:f>IF($A88="","",IF((COUNTIFS(RESULTADOS_GRID!$B:$B,$A88,RESULTADOS_GRID!$AA:$AA,"&gt;=0")+COUNTIFS(RESULTADOS_GRID!$B:$B,$A88,RESULTADOS_GRID!$AA:$AA,"&lt;0"))=0,"",SUMIF(RESULTADOS_GRID!$B:$B,$A88,RESULTADOS_GRID!$AA:$AA)/(COUNTIFS(RESULTADOS_GRID!$B:$B,$A88,RESULTADOS_GRID!$AA:$AA,"&gt;=0")+COUNTIFS(RESULTADOS_GRID!$B:$B,$A88,RESULTADOS_GRID!$AA:$AA,"&lt;0"))))</x:f>
      </x:c>
      <x:c r="M88" s="12">
        <x:f>IF($A88="","",IF((COUNTIFS(RESULTADOS_GRID!$B:$B,$A88,RESULTADOS_GRID!$AB:$AB,"&gt;=0")+COUNTIFS(RESULTADOS_GRID!$B:$B,$A88,RESULTADOS_GRID!$AB:$AB,"&lt;0"))=0,"",SUMIF(RESULTADOS_GRID!$B:$B,$A88,RESULTADOS_GRID!$AB:$AB)/(COUNTIFS(RESULTADOS_GRID!$B:$B,$A88,RESULTADOS_GRID!$AB:$AB,"&gt;=0")+COUNTIFS(RESULTADOS_GRID!$B:$B,$A88,RESULTADOS_GRID!$AB:$AB,"&lt;0"))))</x:f>
      </x:c>
      <x:c r="N88" s="11" t="n"/>
      <x:c r="O88" s="17">
        <x:f>IF($I88="","",COUNTIFS($I$2:$I$101,"&lt;"&amp;$I88)+1)</x:f>
      </x:c>
      <x:c r="P88" s="11" t="n"/>
    </x:row>
    <x:row r="89">
      <x:c r="A89" s="11" t="inlineStr">
        <x:is>
          <x:t xml:space="preserve"/>
        </x:is>
      </x:c>
      <x:c r="B89" s="17">
        <x:f>IF($A89="","",IFERROR(INDEX(RESULTADOS_GRID!$C:$C,MATCH($A89,RESULTADOS_GRID!$B:$B,0)),""))</x:f>
      </x:c>
      <x:c r="C89" s="17">
        <x:f>IF($A89="","",IFERROR(INDEX(RESULTADOS_GRID!$E:$E,MATCH($A89,RESULTADOS_GRID!$B:$B,0)),""))</x:f>
      </x:c>
      <x:c r="D89" s="17">
        <x:f>IF($A89="","",IFERROR(INDEX(RESULTADOS_GRID!$D:$D,MATCH($A89,RESULTADOS_GRID!$B:$B,0)),""))</x:f>
      </x:c>
      <x:c r="E89" s="17">
        <x:f>IF($A89="","",COUNTIF(RESULTADOS_GRID!$B:$B,$A89))</x:f>
      </x:c>
      <x:c r="F89" s="15">
        <x:f>IF($A89="","",SUMIF(RESULTADOS_GRID!$B:$B,$A89,RESULTADOS_GRID!$X:$X))</x:f>
      </x:c>
      <x:c r="G89" s="14" t="n"/>
      <x:c r="H89" s="18">
        <x:f>CONFIG_REFERENCIA!$E$7</x:f>
        <x:v>0.05</x:v>
      </x:c>
      <x:c r="I89" s="15">
        <x:f>IF($A89="","",$F89+N($G89)*$H89)</x:f>
      </x:c>
      <x:c r="J89" s="15">
        <x:f>IF($A89="","",IF((COUNTIFS(RESULTADOS_GRID!$B:$B,$A89,RESULTADOS_GRID!$Y:$Y,"&gt;=0")+COUNTIFS(RESULTADOS_GRID!$B:$B,$A89,RESULTADOS_GRID!$Y:$Y,"&lt;0"))=0,"",SUMIF(RESULTADOS_GRID!$B:$B,$A89,RESULTADOS_GRID!$Y:$Y)/(COUNTIFS(RESULTADOS_GRID!$B:$B,$A89,RESULTADOS_GRID!$Y:$Y,"&gt;=0")+COUNTIFS(RESULTADOS_GRID!$B:$B,$A89,RESULTADOS_GRID!$Y:$Y,"&lt;0"))))</x:f>
      </x:c>
      <x:c r="K89" s="15">
        <x:f>IF($A89="","",IF((COUNTIFS(RESULTADOS_GRID!$B:$B,$A89,RESULTADOS_GRID!$Z:$Z,"&gt;=0")+COUNTIFS(RESULTADOS_GRID!$B:$B,$A89,RESULTADOS_GRID!$Z:$Z,"&lt;0"))=0,"",SUMIF(RESULTADOS_GRID!$B:$B,$A89,RESULTADOS_GRID!$Z:$Z)/(COUNTIFS(RESULTADOS_GRID!$B:$B,$A89,RESULTADOS_GRID!$Z:$Z,"&gt;=0")+COUNTIFS(RESULTADOS_GRID!$B:$B,$A89,RESULTADOS_GRID!$Z:$Z,"&lt;0"))))</x:f>
      </x:c>
      <x:c r="L89" s="12">
        <x:f>IF($A89="","",IF((COUNTIFS(RESULTADOS_GRID!$B:$B,$A89,RESULTADOS_GRID!$AA:$AA,"&gt;=0")+COUNTIFS(RESULTADOS_GRID!$B:$B,$A89,RESULTADOS_GRID!$AA:$AA,"&lt;0"))=0,"",SUMIF(RESULTADOS_GRID!$B:$B,$A89,RESULTADOS_GRID!$AA:$AA)/(COUNTIFS(RESULTADOS_GRID!$B:$B,$A89,RESULTADOS_GRID!$AA:$AA,"&gt;=0")+COUNTIFS(RESULTADOS_GRID!$B:$B,$A89,RESULTADOS_GRID!$AA:$AA,"&lt;0"))))</x:f>
      </x:c>
      <x:c r="M89" s="12">
        <x:f>IF($A89="","",IF((COUNTIFS(RESULTADOS_GRID!$B:$B,$A89,RESULTADOS_GRID!$AB:$AB,"&gt;=0")+COUNTIFS(RESULTADOS_GRID!$B:$B,$A89,RESULTADOS_GRID!$AB:$AB,"&lt;0"))=0,"",SUMIF(RESULTADOS_GRID!$B:$B,$A89,RESULTADOS_GRID!$AB:$AB)/(COUNTIFS(RESULTADOS_GRID!$B:$B,$A89,RESULTADOS_GRID!$AB:$AB,"&gt;=0")+COUNTIFS(RESULTADOS_GRID!$B:$B,$A89,RESULTADOS_GRID!$AB:$AB,"&lt;0"))))</x:f>
      </x:c>
      <x:c r="N89" s="11" t="n"/>
      <x:c r="O89" s="17">
        <x:f>IF($I89="","",COUNTIFS($I$2:$I$101,"&lt;"&amp;$I89)+1)</x:f>
      </x:c>
      <x:c r="P89" s="11" t="n"/>
    </x:row>
    <x:row r="90">
      <x:c r="A90" s="11" t="inlineStr">
        <x:is>
          <x:t xml:space="preserve"/>
        </x:is>
      </x:c>
      <x:c r="B90" s="17">
        <x:f>IF($A90="","",IFERROR(INDEX(RESULTADOS_GRID!$C:$C,MATCH($A90,RESULTADOS_GRID!$B:$B,0)),""))</x:f>
      </x:c>
      <x:c r="C90" s="17">
        <x:f>IF($A90="","",IFERROR(INDEX(RESULTADOS_GRID!$E:$E,MATCH($A90,RESULTADOS_GRID!$B:$B,0)),""))</x:f>
      </x:c>
      <x:c r="D90" s="17">
        <x:f>IF($A90="","",IFERROR(INDEX(RESULTADOS_GRID!$D:$D,MATCH($A90,RESULTADOS_GRID!$B:$B,0)),""))</x:f>
      </x:c>
      <x:c r="E90" s="17">
        <x:f>IF($A90="","",COUNTIF(RESULTADOS_GRID!$B:$B,$A90))</x:f>
      </x:c>
      <x:c r="F90" s="15">
        <x:f>IF($A90="","",SUMIF(RESULTADOS_GRID!$B:$B,$A90,RESULTADOS_GRID!$X:$X))</x:f>
      </x:c>
      <x:c r="G90" s="14" t="n"/>
      <x:c r="H90" s="18">
        <x:f>CONFIG_REFERENCIA!$E$7</x:f>
        <x:v>0.05</x:v>
      </x:c>
      <x:c r="I90" s="15">
        <x:f>IF($A90="","",$F90+N($G90)*$H90)</x:f>
      </x:c>
      <x:c r="J90" s="15">
        <x:f>IF($A90="","",IF((COUNTIFS(RESULTADOS_GRID!$B:$B,$A90,RESULTADOS_GRID!$Y:$Y,"&gt;=0")+COUNTIFS(RESULTADOS_GRID!$B:$B,$A90,RESULTADOS_GRID!$Y:$Y,"&lt;0"))=0,"",SUMIF(RESULTADOS_GRID!$B:$B,$A90,RESULTADOS_GRID!$Y:$Y)/(COUNTIFS(RESULTADOS_GRID!$B:$B,$A90,RESULTADOS_GRID!$Y:$Y,"&gt;=0")+COUNTIFS(RESULTADOS_GRID!$B:$B,$A90,RESULTADOS_GRID!$Y:$Y,"&lt;0"))))</x:f>
      </x:c>
      <x:c r="K90" s="15">
        <x:f>IF($A90="","",IF((COUNTIFS(RESULTADOS_GRID!$B:$B,$A90,RESULTADOS_GRID!$Z:$Z,"&gt;=0")+COUNTIFS(RESULTADOS_GRID!$B:$B,$A90,RESULTADOS_GRID!$Z:$Z,"&lt;0"))=0,"",SUMIF(RESULTADOS_GRID!$B:$B,$A90,RESULTADOS_GRID!$Z:$Z)/(COUNTIFS(RESULTADOS_GRID!$B:$B,$A90,RESULTADOS_GRID!$Z:$Z,"&gt;=0")+COUNTIFS(RESULTADOS_GRID!$B:$B,$A90,RESULTADOS_GRID!$Z:$Z,"&lt;0"))))</x:f>
      </x:c>
      <x:c r="L90" s="12">
        <x:f>IF($A90="","",IF((COUNTIFS(RESULTADOS_GRID!$B:$B,$A90,RESULTADOS_GRID!$AA:$AA,"&gt;=0")+COUNTIFS(RESULTADOS_GRID!$B:$B,$A90,RESULTADOS_GRID!$AA:$AA,"&lt;0"))=0,"",SUMIF(RESULTADOS_GRID!$B:$B,$A90,RESULTADOS_GRID!$AA:$AA)/(COUNTIFS(RESULTADOS_GRID!$B:$B,$A90,RESULTADOS_GRID!$AA:$AA,"&gt;=0")+COUNTIFS(RESULTADOS_GRID!$B:$B,$A90,RESULTADOS_GRID!$AA:$AA,"&lt;0"))))</x:f>
      </x:c>
      <x:c r="M90" s="12">
        <x:f>IF($A90="","",IF((COUNTIFS(RESULTADOS_GRID!$B:$B,$A90,RESULTADOS_GRID!$AB:$AB,"&gt;=0")+COUNTIFS(RESULTADOS_GRID!$B:$B,$A90,RESULTADOS_GRID!$AB:$AB,"&lt;0"))=0,"",SUMIF(RESULTADOS_GRID!$B:$B,$A90,RESULTADOS_GRID!$AB:$AB)/(COUNTIFS(RESULTADOS_GRID!$B:$B,$A90,RESULTADOS_GRID!$AB:$AB,"&gt;=0")+COUNTIFS(RESULTADOS_GRID!$B:$B,$A90,RESULTADOS_GRID!$AB:$AB,"&lt;0"))))</x:f>
      </x:c>
      <x:c r="N90" s="11" t="n"/>
      <x:c r="O90" s="17">
        <x:f>IF($I90="","",COUNTIFS($I$2:$I$101,"&lt;"&amp;$I90)+1)</x:f>
      </x:c>
      <x:c r="P90" s="11" t="n"/>
    </x:row>
    <x:row r="91">
      <x:c r="A91" s="11" t="inlineStr">
        <x:is>
          <x:t xml:space="preserve"/>
        </x:is>
      </x:c>
      <x:c r="B91" s="17">
        <x:f>IF($A91="","",IFERROR(INDEX(RESULTADOS_GRID!$C:$C,MATCH($A91,RESULTADOS_GRID!$B:$B,0)),""))</x:f>
      </x:c>
      <x:c r="C91" s="17">
        <x:f>IF($A91="","",IFERROR(INDEX(RESULTADOS_GRID!$E:$E,MATCH($A91,RESULTADOS_GRID!$B:$B,0)),""))</x:f>
      </x:c>
      <x:c r="D91" s="17">
        <x:f>IF($A91="","",IFERROR(INDEX(RESULTADOS_GRID!$D:$D,MATCH($A91,RESULTADOS_GRID!$B:$B,0)),""))</x:f>
      </x:c>
      <x:c r="E91" s="17">
        <x:f>IF($A91="","",COUNTIF(RESULTADOS_GRID!$B:$B,$A91))</x:f>
      </x:c>
      <x:c r="F91" s="15">
        <x:f>IF($A91="","",SUMIF(RESULTADOS_GRID!$B:$B,$A91,RESULTADOS_GRID!$X:$X))</x:f>
      </x:c>
      <x:c r="G91" s="14" t="n"/>
      <x:c r="H91" s="18">
        <x:f>CONFIG_REFERENCIA!$E$7</x:f>
        <x:v>0.05</x:v>
      </x:c>
      <x:c r="I91" s="15">
        <x:f>IF($A91="","",$F91+N($G91)*$H91)</x:f>
      </x:c>
      <x:c r="J91" s="15">
        <x:f>IF($A91="","",IF((COUNTIFS(RESULTADOS_GRID!$B:$B,$A91,RESULTADOS_GRID!$Y:$Y,"&gt;=0")+COUNTIFS(RESULTADOS_GRID!$B:$B,$A91,RESULTADOS_GRID!$Y:$Y,"&lt;0"))=0,"",SUMIF(RESULTADOS_GRID!$B:$B,$A91,RESULTADOS_GRID!$Y:$Y)/(COUNTIFS(RESULTADOS_GRID!$B:$B,$A91,RESULTADOS_GRID!$Y:$Y,"&gt;=0")+COUNTIFS(RESULTADOS_GRID!$B:$B,$A91,RESULTADOS_GRID!$Y:$Y,"&lt;0"))))</x:f>
      </x:c>
      <x:c r="K91" s="15">
        <x:f>IF($A91="","",IF((COUNTIFS(RESULTADOS_GRID!$B:$B,$A91,RESULTADOS_GRID!$Z:$Z,"&gt;=0")+COUNTIFS(RESULTADOS_GRID!$B:$B,$A91,RESULTADOS_GRID!$Z:$Z,"&lt;0"))=0,"",SUMIF(RESULTADOS_GRID!$B:$B,$A91,RESULTADOS_GRID!$Z:$Z)/(COUNTIFS(RESULTADOS_GRID!$B:$B,$A91,RESULTADOS_GRID!$Z:$Z,"&gt;=0")+COUNTIFS(RESULTADOS_GRID!$B:$B,$A91,RESULTADOS_GRID!$Z:$Z,"&lt;0"))))</x:f>
      </x:c>
      <x:c r="L91" s="12">
        <x:f>IF($A91="","",IF((COUNTIFS(RESULTADOS_GRID!$B:$B,$A91,RESULTADOS_GRID!$AA:$AA,"&gt;=0")+COUNTIFS(RESULTADOS_GRID!$B:$B,$A91,RESULTADOS_GRID!$AA:$AA,"&lt;0"))=0,"",SUMIF(RESULTADOS_GRID!$B:$B,$A91,RESULTADOS_GRID!$AA:$AA)/(COUNTIFS(RESULTADOS_GRID!$B:$B,$A91,RESULTADOS_GRID!$AA:$AA,"&gt;=0")+COUNTIFS(RESULTADOS_GRID!$B:$B,$A91,RESULTADOS_GRID!$AA:$AA,"&lt;0"))))</x:f>
      </x:c>
      <x:c r="M91" s="12">
        <x:f>IF($A91="","",IF((COUNTIFS(RESULTADOS_GRID!$B:$B,$A91,RESULTADOS_GRID!$AB:$AB,"&gt;=0")+COUNTIFS(RESULTADOS_GRID!$B:$B,$A91,RESULTADOS_GRID!$AB:$AB,"&lt;0"))=0,"",SUMIF(RESULTADOS_GRID!$B:$B,$A91,RESULTADOS_GRID!$AB:$AB)/(COUNTIFS(RESULTADOS_GRID!$B:$B,$A91,RESULTADOS_GRID!$AB:$AB,"&gt;=0")+COUNTIFS(RESULTADOS_GRID!$B:$B,$A91,RESULTADOS_GRID!$AB:$AB,"&lt;0"))))</x:f>
      </x:c>
      <x:c r="N91" s="11" t="n"/>
      <x:c r="O91" s="17">
        <x:f>IF($I91="","",COUNTIFS($I$2:$I$101,"&lt;"&amp;$I91)+1)</x:f>
      </x:c>
      <x:c r="P91" s="11" t="n"/>
    </x:row>
    <x:row r="92">
      <x:c r="A92" s="11" t="inlineStr">
        <x:is>
          <x:t xml:space="preserve"/>
        </x:is>
      </x:c>
      <x:c r="B92" s="17">
        <x:f>IF($A92="","",IFERROR(INDEX(RESULTADOS_GRID!$C:$C,MATCH($A92,RESULTADOS_GRID!$B:$B,0)),""))</x:f>
      </x:c>
      <x:c r="C92" s="17">
        <x:f>IF($A92="","",IFERROR(INDEX(RESULTADOS_GRID!$E:$E,MATCH($A92,RESULTADOS_GRID!$B:$B,0)),""))</x:f>
      </x:c>
      <x:c r="D92" s="17">
        <x:f>IF($A92="","",IFERROR(INDEX(RESULTADOS_GRID!$D:$D,MATCH($A92,RESULTADOS_GRID!$B:$B,0)),""))</x:f>
      </x:c>
      <x:c r="E92" s="17">
        <x:f>IF($A92="","",COUNTIF(RESULTADOS_GRID!$B:$B,$A92))</x:f>
      </x:c>
      <x:c r="F92" s="15">
        <x:f>IF($A92="","",SUMIF(RESULTADOS_GRID!$B:$B,$A92,RESULTADOS_GRID!$X:$X))</x:f>
      </x:c>
      <x:c r="G92" s="14" t="n"/>
      <x:c r="H92" s="18">
        <x:f>CONFIG_REFERENCIA!$E$7</x:f>
        <x:v>0.05</x:v>
      </x:c>
      <x:c r="I92" s="15">
        <x:f>IF($A92="","",$F92+N($G92)*$H92)</x:f>
      </x:c>
      <x:c r="J92" s="15">
        <x:f>IF($A92="","",IF((COUNTIFS(RESULTADOS_GRID!$B:$B,$A92,RESULTADOS_GRID!$Y:$Y,"&gt;=0")+COUNTIFS(RESULTADOS_GRID!$B:$B,$A92,RESULTADOS_GRID!$Y:$Y,"&lt;0"))=0,"",SUMIF(RESULTADOS_GRID!$B:$B,$A92,RESULTADOS_GRID!$Y:$Y)/(COUNTIFS(RESULTADOS_GRID!$B:$B,$A92,RESULTADOS_GRID!$Y:$Y,"&gt;=0")+COUNTIFS(RESULTADOS_GRID!$B:$B,$A92,RESULTADOS_GRID!$Y:$Y,"&lt;0"))))</x:f>
      </x:c>
      <x:c r="K92" s="15">
        <x:f>IF($A92="","",IF((COUNTIFS(RESULTADOS_GRID!$B:$B,$A92,RESULTADOS_GRID!$Z:$Z,"&gt;=0")+COUNTIFS(RESULTADOS_GRID!$B:$B,$A92,RESULTADOS_GRID!$Z:$Z,"&lt;0"))=0,"",SUMIF(RESULTADOS_GRID!$B:$B,$A92,RESULTADOS_GRID!$Z:$Z)/(COUNTIFS(RESULTADOS_GRID!$B:$B,$A92,RESULTADOS_GRID!$Z:$Z,"&gt;=0")+COUNTIFS(RESULTADOS_GRID!$B:$B,$A92,RESULTADOS_GRID!$Z:$Z,"&lt;0"))))</x:f>
      </x:c>
      <x:c r="L92" s="12">
        <x:f>IF($A92="","",IF((COUNTIFS(RESULTADOS_GRID!$B:$B,$A92,RESULTADOS_GRID!$AA:$AA,"&gt;=0")+COUNTIFS(RESULTADOS_GRID!$B:$B,$A92,RESULTADOS_GRID!$AA:$AA,"&lt;0"))=0,"",SUMIF(RESULTADOS_GRID!$B:$B,$A92,RESULTADOS_GRID!$AA:$AA)/(COUNTIFS(RESULTADOS_GRID!$B:$B,$A92,RESULTADOS_GRID!$AA:$AA,"&gt;=0")+COUNTIFS(RESULTADOS_GRID!$B:$B,$A92,RESULTADOS_GRID!$AA:$AA,"&lt;0"))))</x:f>
      </x:c>
      <x:c r="M92" s="12">
        <x:f>IF($A92="","",IF((COUNTIFS(RESULTADOS_GRID!$B:$B,$A92,RESULTADOS_GRID!$AB:$AB,"&gt;=0")+COUNTIFS(RESULTADOS_GRID!$B:$B,$A92,RESULTADOS_GRID!$AB:$AB,"&lt;0"))=0,"",SUMIF(RESULTADOS_GRID!$B:$B,$A92,RESULTADOS_GRID!$AB:$AB)/(COUNTIFS(RESULTADOS_GRID!$B:$B,$A92,RESULTADOS_GRID!$AB:$AB,"&gt;=0")+COUNTIFS(RESULTADOS_GRID!$B:$B,$A92,RESULTADOS_GRID!$AB:$AB,"&lt;0"))))</x:f>
      </x:c>
      <x:c r="N92" s="11" t="n"/>
      <x:c r="O92" s="17">
        <x:f>IF($I92="","",COUNTIFS($I$2:$I$101,"&lt;"&amp;$I92)+1)</x:f>
      </x:c>
      <x:c r="P92" s="11" t="n"/>
    </x:row>
    <x:row r="93">
      <x:c r="A93" s="11" t="inlineStr">
        <x:is>
          <x:t xml:space="preserve"/>
        </x:is>
      </x:c>
      <x:c r="B93" s="17">
        <x:f>IF($A93="","",IFERROR(INDEX(RESULTADOS_GRID!$C:$C,MATCH($A93,RESULTADOS_GRID!$B:$B,0)),""))</x:f>
      </x:c>
      <x:c r="C93" s="17">
        <x:f>IF($A93="","",IFERROR(INDEX(RESULTADOS_GRID!$E:$E,MATCH($A93,RESULTADOS_GRID!$B:$B,0)),""))</x:f>
      </x:c>
      <x:c r="D93" s="17">
        <x:f>IF($A93="","",IFERROR(INDEX(RESULTADOS_GRID!$D:$D,MATCH($A93,RESULTADOS_GRID!$B:$B,0)),""))</x:f>
      </x:c>
      <x:c r="E93" s="17">
        <x:f>IF($A93="","",COUNTIF(RESULTADOS_GRID!$B:$B,$A93))</x:f>
      </x:c>
      <x:c r="F93" s="15">
        <x:f>IF($A93="","",SUMIF(RESULTADOS_GRID!$B:$B,$A93,RESULTADOS_GRID!$X:$X))</x:f>
      </x:c>
      <x:c r="G93" s="14" t="n"/>
      <x:c r="H93" s="18">
        <x:f>CONFIG_REFERENCIA!$E$7</x:f>
        <x:v>0.05</x:v>
      </x:c>
      <x:c r="I93" s="15">
        <x:f>IF($A93="","",$F93+N($G93)*$H93)</x:f>
      </x:c>
      <x:c r="J93" s="15">
        <x:f>IF($A93="","",IF((COUNTIFS(RESULTADOS_GRID!$B:$B,$A93,RESULTADOS_GRID!$Y:$Y,"&gt;=0")+COUNTIFS(RESULTADOS_GRID!$B:$B,$A93,RESULTADOS_GRID!$Y:$Y,"&lt;0"))=0,"",SUMIF(RESULTADOS_GRID!$B:$B,$A93,RESULTADOS_GRID!$Y:$Y)/(COUNTIFS(RESULTADOS_GRID!$B:$B,$A93,RESULTADOS_GRID!$Y:$Y,"&gt;=0")+COUNTIFS(RESULTADOS_GRID!$B:$B,$A93,RESULTADOS_GRID!$Y:$Y,"&lt;0"))))</x:f>
      </x:c>
      <x:c r="K93" s="15">
        <x:f>IF($A93="","",IF((COUNTIFS(RESULTADOS_GRID!$B:$B,$A93,RESULTADOS_GRID!$Z:$Z,"&gt;=0")+COUNTIFS(RESULTADOS_GRID!$B:$B,$A93,RESULTADOS_GRID!$Z:$Z,"&lt;0"))=0,"",SUMIF(RESULTADOS_GRID!$B:$B,$A93,RESULTADOS_GRID!$Z:$Z)/(COUNTIFS(RESULTADOS_GRID!$B:$B,$A93,RESULTADOS_GRID!$Z:$Z,"&gt;=0")+COUNTIFS(RESULTADOS_GRID!$B:$B,$A93,RESULTADOS_GRID!$Z:$Z,"&lt;0"))))</x:f>
      </x:c>
      <x:c r="L93" s="12">
        <x:f>IF($A93="","",IF((COUNTIFS(RESULTADOS_GRID!$B:$B,$A93,RESULTADOS_GRID!$AA:$AA,"&gt;=0")+COUNTIFS(RESULTADOS_GRID!$B:$B,$A93,RESULTADOS_GRID!$AA:$AA,"&lt;0"))=0,"",SUMIF(RESULTADOS_GRID!$B:$B,$A93,RESULTADOS_GRID!$AA:$AA)/(COUNTIFS(RESULTADOS_GRID!$B:$B,$A93,RESULTADOS_GRID!$AA:$AA,"&gt;=0")+COUNTIFS(RESULTADOS_GRID!$B:$B,$A93,RESULTADOS_GRID!$AA:$AA,"&lt;0"))))</x:f>
      </x:c>
      <x:c r="M93" s="12">
        <x:f>IF($A93="","",IF((COUNTIFS(RESULTADOS_GRID!$B:$B,$A93,RESULTADOS_GRID!$AB:$AB,"&gt;=0")+COUNTIFS(RESULTADOS_GRID!$B:$B,$A93,RESULTADOS_GRID!$AB:$AB,"&lt;0"))=0,"",SUMIF(RESULTADOS_GRID!$B:$B,$A93,RESULTADOS_GRID!$AB:$AB)/(COUNTIFS(RESULTADOS_GRID!$B:$B,$A93,RESULTADOS_GRID!$AB:$AB,"&gt;=0")+COUNTIFS(RESULTADOS_GRID!$B:$B,$A93,RESULTADOS_GRID!$AB:$AB,"&lt;0"))))</x:f>
      </x:c>
      <x:c r="N93" s="11" t="n"/>
      <x:c r="O93" s="17">
        <x:f>IF($I93="","",COUNTIFS($I$2:$I$101,"&lt;"&amp;$I93)+1)</x:f>
      </x:c>
      <x:c r="P93" s="11" t="n"/>
    </x:row>
    <x:row r="94">
      <x:c r="A94" s="11" t="inlineStr">
        <x:is>
          <x:t xml:space="preserve"/>
        </x:is>
      </x:c>
      <x:c r="B94" s="17">
        <x:f>IF($A94="","",IFERROR(INDEX(RESULTADOS_GRID!$C:$C,MATCH($A94,RESULTADOS_GRID!$B:$B,0)),""))</x:f>
      </x:c>
      <x:c r="C94" s="17">
        <x:f>IF($A94="","",IFERROR(INDEX(RESULTADOS_GRID!$E:$E,MATCH($A94,RESULTADOS_GRID!$B:$B,0)),""))</x:f>
      </x:c>
      <x:c r="D94" s="17">
        <x:f>IF($A94="","",IFERROR(INDEX(RESULTADOS_GRID!$D:$D,MATCH($A94,RESULTADOS_GRID!$B:$B,0)),""))</x:f>
      </x:c>
      <x:c r="E94" s="17">
        <x:f>IF($A94="","",COUNTIF(RESULTADOS_GRID!$B:$B,$A94))</x:f>
      </x:c>
      <x:c r="F94" s="15">
        <x:f>IF($A94="","",SUMIF(RESULTADOS_GRID!$B:$B,$A94,RESULTADOS_GRID!$X:$X))</x:f>
      </x:c>
      <x:c r="G94" s="14" t="n"/>
      <x:c r="H94" s="18">
        <x:f>CONFIG_REFERENCIA!$E$7</x:f>
        <x:v>0.05</x:v>
      </x:c>
      <x:c r="I94" s="15">
        <x:f>IF($A94="","",$F94+N($G94)*$H94)</x:f>
      </x:c>
      <x:c r="J94" s="15">
        <x:f>IF($A94="","",IF((COUNTIFS(RESULTADOS_GRID!$B:$B,$A94,RESULTADOS_GRID!$Y:$Y,"&gt;=0")+COUNTIFS(RESULTADOS_GRID!$B:$B,$A94,RESULTADOS_GRID!$Y:$Y,"&lt;0"))=0,"",SUMIF(RESULTADOS_GRID!$B:$B,$A94,RESULTADOS_GRID!$Y:$Y)/(COUNTIFS(RESULTADOS_GRID!$B:$B,$A94,RESULTADOS_GRID!$Y:$Y,"&gt;=0")+COUNTIFS(RESULTADOS_GRID!$B:$B,$A94,RESULTADOS_GRID!$Y:$Y,"&lt;0"))))</x:f>
      </x:c>
      <x:c r="K94" s="15">
        <x:f>IF($A94="","",IF((COUNTIFS(RESULTADOS_GRID!$B:$B,$A94,RESULTADOS_GRID!$Z:$Z,"&gt;=0")+COUNTIFS(RESULTADOS_GRID!$B:$B,$A94,RESULTADOS_GRID!$Z:$Z,"&lt;0"))=0,"",SUMIF(RESULTADOS_GRID!$B:$B,$A94,RESULTADOS_GRID!$Z:$Z)/(COUNTIFS(RESULTADOS_GRID!$B:$B,$A94,RESULTADOS_GRID!$Z:$Z,"&gt;=0")+COUNTIFS(RESULTADOS_GRID!$B:$B,$A94,RESULTADOS_GRID!$Z:$Z,"&lt;0"))))</x:f>
      </x:c>
      <x:c r="L94" s="12">
        <x:f>IF($A94="","",IF((COUNTIFS(RESULTADOS_GRID!$B:$B,$A94,RESULTADOS_GRID!$AA:$AA,"&gt;=0")+COUNTIFS(RESULTADOS_GRID!$B:$B,$A94,RESULTADOS_GRID!$AA:$AA,"&lt;0"))=0,"",SUMIF(RESULTADOS_GRID!$B:$B,$A94,RESULTADOS_GRID!$AA:$AA)/(COUNTIFS(RESULTADOS_GRID!$B:$B,$A94,RESULTADOS_GRID!$AA:$AA,"&gt;=0")+COUNTIFS(RESULTADOS_GRID!$B:$B,$A94,RESULTADOS_GRID!$AA:$AA,"&lt;0"))))</x:f>
      </x:c>
      <x:c r="M94" s="12">
        <x:f>IF($A94="","",IF((COUNTIFS(RESULTADOS_GRID!$B:$B,$A94,RESULTADOS_GRID!$AB:$AB,"&gt;=0")+COUNTIFS(RESULTADOS_GRID!$B:$B,$A94,RESULTADOS_GRID!$AB:$AB,"&lt;0"))=0,"",SUMIF(RESULTADOS_GRID!$B:$B,$A94,RESULTADOS_GRID!$AB:$AB)/(COUNTIFS(RESULTADOS_GRID!$B:$B,$A94,RESULTADOS_GRID!$AB:$AB,"&gt;=0")+COUNTIFS(RESULTADOS_GRID!$B:$B,$A94,RESULTADOS_GRID!$AB:$AB,"&lt;0"))))</x:f>
      </x:c>
      <x:c r="N94" s="11" t="n"/>
      <x:c r="O94" s="17">
        <x:f>IF($I94="","",COUNTIFS($I$2:$I$101,"&lt;"&amp;$I94)+1)</x:f>
      </x:c>
      <x:c r="P94" s="11" t="n"/>
    </x:row>
    <x:row r="95">
      <x:c r="A95" s="11" t="inlineStr">
        <x:is>
          <x:t xml:space="preserve"/>
        </x:is>
      </x:c>
      <x:c r="B95" s="17">
        <x:f>IF($A95="","",IFERROR(INDEX(RESULTADOS_GRID!$C:$C,MATCH($A95,RESULTADOS_GRID!$B:$B,0)),""))</x:f>
      </x:c>
      <x:c r="C95" s="17">
        <x:f>IF($A95="","",IFERROR(INDEX(RESULTADOS_GRID!$E:$E,MATCH($A95,RESULTADOS_GRID!$B:$B,0)),""))</x:f>
      </x:c>
      <x:c r="D95" s="17">
        <x:f>IF($A95="","",IFERROR(INDEX(RESULTADOS_GRID!$D:$D,MATCH($A95,RESULTADOS_GRID!$B:$B,0)),""))</x:f>
      </x:c>
      <x:c r="E95" s="17">
        <x:f>IF($A95="","",COUNTIF(RESULTADOS_GRID!$B:$B,$A95))</x:f>
      </x:c>
      <x:c r="F95" s="15">
        <x:f>IF($A95="","",SUMIF(RESULTADOS_GRID!$B:$B,$A95,RESULTADOS_GRID!$X:$X))</x:f>
      </x:c>
      <x:c r="G95" s="14" t="n"/>
      <x:c r="H95" s="18">
        <x:f>CONFIG_REFERENCIA!$E$7</x:f>
        <x:v>0.05</x:v>
      </x:c>
      <x:c r="I95" s="15">
        <x:f>IF($A95="","",$F95+N($G95)*$H95)</x:f>
      </x:c>
      <x:c r="J95" s="15">
        <x:f>IF($A95="","",IF((COUNTIFS(RESULTADOS_GRID!$B:$B,$A95,RESULTADOS_GRID!$Y:$Y,"&gt;=0")+COUNTIFS(RESULTADOS_GRID!$B:$B,$A95,RESULTADOS_GRID!$Y:$Y,"&lt;0"))=0,"",SUMIF(RESULTADOS_GRID!$B:$B,$A95,RESULTADOS_GRID!$Y:$Y)/(COUNTIFS(RESULTADOS_GRID!$B:$B,$A95,RESULTADOS_GRID!$Y:$Y,"&gt;=0")+COUNTIFS(RESULTADOS_GRID!$B:$B,$A95,RESULTADOS_GRID!$Y:$Y,"&lt;0"))))</x:f>
      </x:c>
      <x:c r="K95" s="15">
        <x:f>IF($A95="","",IF((COUNTIFS(RESULTADOS_GRID!$B:$B,$A95,RESULTADOS_GRID!$Z:$Z,"&gt;=0")+COUNTIFS(RESULTADOS_GRID!$B:$B,$A95,RESULTADOS_GRID!$Z:$Z,"&lt;0"))=0,"",SUMIF(RESULTADOS_GRID!$B:$B,$A95,RESULTADOS_GRID!$Z:$Z)/(COUNTIFS(RESULTADOS_GRID!$B:$B,$A95,RESULTADOS_GRID!$Z:$Z,"&gt;=0")+COUNTIFS(RESULTADOS_GRID!$B:$B,$A95,RESULTADOS_GRID!$Z:$Z,"&lt;0"))))</x:f>
      </x:c>
      <x:c r="L95" s="12">
        <x:f>IF($A95="","",IF((COUNTIFS(RESULTADOS_GRID!$B:$B,$A95,RESULTADOS_GRID!$AA:$AA,"&gt;=0")+COUNTIFS(RESULTADOS_GRID!$B:$B,$A95,RESULTADOS_GRID!$AA:$AA,"&lt;0"))=0,"",SUMIF(RESULTADOS_GRID!$B:$B,$A95,RESULTADOS_GRID!$AA:$AA)/(COUNTIFS(RESULTADOS_GRID!$B:$B,$A95,RESULTADOS_GRID!$AA:$AA,"&gt;=0")+COUNTIFS(RESULTADOS_GRID!$B:$B,$A95,RESULTADOS_GRID!$AA:$AA,"&lt;0"))))</x:f>
      </x:c>
      <x:c r="M95" s="12">
        <x:f>IF($A95="","",IF((COUNTIFS(RESULTADOS_GRID!$B:$B,$A95,RESULTADOS_GRID!$AB:$AB,"&gt;=0")+COUNTIFS(RESULTADOS_GRID!$B:$B,$A95,RESULTADOS_GRID!$AB:$AB,"&lt;0"))=0,"",SUMIF(RESULTADOS_GRID!$B:$B,$A95,RESULTADOS_GRID!$AB:$AB)/(COUNTIFS(RESULTADOS_GRID!$B:$B,$A95,RESULTADOS_GRID!$AB:$AB,"&gt;=0")+COUNTIFS(RESULTADOS_GRID!$B:$B,$A95,RESULTADOS_GRID!$AB:$AB,"&lt;0"))))</x:f>
      </x:c>
      <x:c r="N95" s="11" t="n"/>
      <x:c r="O95" s="17">
        <x:f>IF($I95="","",COUNTIFS($I$2:$I$101,"&lt;"&amp;$I95)+1)</x:f>
      </x:c>
      <x:c r="P95" s="11" t="n"/>
    </x:row>
    <x:row r="96">
      <x:c r="A96" s="11" t="inlineStr">
        <x:is>
          <x:t xml:space="preserve"/>
        </x:is>
      </x:c>
      <x:c r="B96" s="17">
        <x:f>IF($A96="","",IFERROR(INDEX(RESULTADOS_GRID!$C:$C,MATCH($A96,RESULTADOS_GRID!$B:$B,0)),""))</x:f>
      </x:c>
      <x:c r="C96" s="17">
        <x:f>IF($A96="","",IFERROR(INDEX(RESULTADOS_GRID!$E:$E,MATCH($A96,RESULTADOS_GRID!$B:$B,0)),""))</x:f>
      </x:c>
      <x:c r="D96" s="17">
        <x:f>IF($A96="","",IFERROR(INDEX(RESULTADOS_GRID!$D:$D,MATCH($A96,RESULTADOS_GRID!$B:$B,0)),""))</x:f>
      </x:c>
      <x:c r="E96" s="17">
        <x:f>IF($A96="","",COUNTIF(RESULTADOS_GRID!$B:$B,$A96))</x:f>
      </x:c>
      <x:c r="F96" s="15">
        <x:f>IF($A96="","",SUMIF(RESULTADOS_GRID!$B:$B,$A96,RESULTADOS_GRID!$X:$X))</x:f>
      </x:c>
      <x:c r="G96" s="14" t="n"/>
      <x:c r="H96" s="18">
        <x:f>CONFIG_REFERENCIA!$E$7</x:f>
        <x:v>0.05</x:v>
      </x:c>
      <x:c r="I96" s="15">
        <x:f>IF($A96="","",$F96+N($G96)*$H96)</x:f>
      </x:c>
      <x:c r="J96" s="15">
        <x:f>IF($A96="","",IF((COUNTIFS(RESULTADOS_GRID!$B:$B,$A96,RESULTADOS_GRID!$Y:$Y,"&gt;=0")+COUNTIFS(RESULTADOS_GRID!$B:$B,$A96,RESULTADOS_GRID!$Y:$Y,"&lt;0"))=0,"",SUMIF(RESULTADOS_GRID!$B:$B,$A96,RESULTADOS_GRID!$Y:$Y)/(COUNTIFS(RESULTADOS_GRID!$B:$B,$A96,RESULTADOS_GRID!$Y:$Y,"&gt;=0")+COUNTIFS(RESULTADOS_GRID!$B:$B,$A96,RESULTADOS_GRID!$Y:$Y,"&lt;0"))))</x:f>
      </x:c>
      <x:c r="K96" s="15">
        <x:f>IF($A96="","",IF((COUNTIFS(RESULTADOS_GRID!$B:$B,$A96,RESULTADOS_GRID!$Z:$Z,"&gt;=0")+COUNTIFS(RESULTADOS_GRID!$B:$B,$A96,RESULTADOS_GRID!$Z:$Z,"&lt;0"))=0,"",SUMIF(RESULTADOS_GRID!$B:$B,$A96,RESULTADOS_GRID!$Z:$Z)/(COUNTIFS(RESULTADOS_GRID!$B:$B,$A96,RESULTADOS_GRID!$Z:$Z,"&gt;=0")+COUNTIFS(RESULTADOS_GRID!$B:$B,$A96,RESULTADOS_GRID!$Z:$Z,"&lt;0"))))</x:f>
      </x:c>
      <x:c r="L96" s="12">
        <x:f>IF($A96="","",IF((COUNTIFS(RESULTADOS_GRID!$B:$B,$A96,RESULTADOS_GRID!$AA:$AA,"&gt;=0")+COUNTIFS(RESULTADOS_GRID!$B:$B,$A96,RESULTADOS_GRID!$AA:$AA,"&lt;0"))=0,"",SUMIF(RESULTADOS_GRID!$B:$B,$A96,RESULTADOS_GRID!$AA:$AA)/(COUNTIFS(RESULTADOS_GRID!$B:$B,$A96,RESULTADOS_GRID!$AA:$AA,"&gt;=0")+COUNTIFS(RESULTADOS_GRID!$B:$B,$A96,RESULTADOS_GRID!$AA:$AA,"&lt;0"))))</x:f>
      </x:c>
      <x:c r="M96" s="12">
        <x:f>IF($A96="","",IF((COUNTIFS(RESULTADOS_GRID!$B:$B,$A96,RESULTADOS_GRID!$AB:$AB,"&gt;=0")+COUNTIFS(RESULTADOS_GRID!$B:$B,$A96,RESULTADOS_GRID!$AB:$AB,"&lt;0"))=0,"",SUMIF(RESULTADOS_GRID!$B:$B,$A96,RESULTADOS_GRID!$AB:$AB)/(COUNTIFS(RESULTADOS_GRID!$B:$B,$A96,RESULTADOS_GRID!$AB:$AB,"&gt;=0")+COUNTIFS(RESULTADOS_GRID!$B:$B,$A96,RESULTADOS_GRID!$AB:$AB,"&lt;0"))))</x:f>
      </x:c>
      <x:c r="N96" s="11" t="n"/>
      <x:c r="O96" s="17">
        <x:f>IF($I96="","",COUNTIFS($I$2:$I$101,"&lt;"&amp;$I96)+1)</x:f>
      </x:c>
      <x:c r="P96" s="11" t="n"/>
    </x:row>
    <x:row r="97">
      <x:c r="A97" s="11" t="inlineStr">
        <x:is>
          <x:t xml:space="preserve"/>
        </x:is>
      </x:c>
      <x:c r="B97" s="17">
        <x:f>IF($A97="","",IFERROR(INDEX(RESULTADOS_GRID!$C:$C,MATCH($A97,RESULTADOS_GRID!$B:$B,0)),""))</x:f>
      </x:c>
      <x:c r="C97" s="17">
        <x:f>IF($A97="","",IFERROR(INDEX(RESULTADOS_GRID!$E:$E,MATCH($A97,RESULTADOS_GRID!$B:$B,0)),""))</x:f>
      </x:c>
      <x:c r="D97" s="17">
        <x:f>IF($A97="","",IFERROR(INDEX(RESULTADOS_GRID!$D:$D,MATCH($A97,RESULTADOS_GRID!$B:$B,0)),""))</x:f>
      </x:c>
      <x:c r="E97" s="17">
        <x:f>IF($A97="","",COUNTIF(RESULTADOS_GRID!$B:$B,$A97))</x:f>
      </x:c>
      <x:c r="F97" s="15">
        <x:f>IF($A97="","",SUMIF(RESULTADOS_GRID!$B:$B,$A97,RESULTADOS_GRID!$X:$X))</x:f>
      </x:c>
      <x:c r="G97" s="14" t="n"/>
      <x:c r="H97" s="18">
        <x:f>CONFIG_REFERENCIA!$E$7</x:f>
        <x:v>0.05</x:v>
      </x:c>
      <x:c r="I97" s="15">
        <x:f>IF($A97="","",$F97+N($G97)*$H97)</x:f>
      </x:c>
      <x:c r="J97" s="15">
        <x:f>IF($A97="","",IF((COUNTIFS(RESULTADOS_GRID!$B:$B,$A97,RESULTADOS_GRID!$Y:$Y,"&gt;=0")+COUNTIFS(RESULTADOS_GRID!$B:$B,$A97,RESULTADOS_GRID!$Y:$Y,"&lt;0"))=0,"",SUMIF(RESULTADOS_GRID!$B:$B,$A97,RESULTADOS_GRID!$Y:$Y)/(COUNTIFS(RESULTADOS_GRID!$B:$B,$A97,RESULTADOS_GRID!$Y:$Y,"&gt;=0")+COUNTIFS(RESULTADOS_GRID!$B:$B,$A97,RESULTADOS_GRID!$Y:$Y,"&lt;0"))))</x:f>
      </x:c>
      <x:c r="K97" s="15">
        <x:f>IF($A97="","",IF((COUNTIFS(RESULTADOS_GRID!$B:$B,$A97,RESULTADOS_GRID!$Z:$Z,"&gt;=0")+COUNTIFS(RESULTADOS_GRID!$B:$B,$A97,RESULTADOS_GRID!$Z:$Z,"&lt;0"))=0,"",SUMIF(RESULTADOS_GRID!$B:$B,$A97,RESULTADOS_GRID!$Z:$Z)/(COUNTIFS(RESULTADOS_GRID!$B:$B,$A97,RESULTADOS_GRID!$Z:$Z,"&gt;=0")+COUNTIFS(RESULTADOS_GRID!$B:$B,$A97,RESULTADOS_GRID!$Z:$Z,"&lt;0"))))</x:f>
      </x:c>
      <x:c r="L97" s="12">
        <x:f>IF($A97="","",IF((COUNTIFS(RESULTADOS_GRID!$B:$B,$A97,RESULTADOS_GRID!$AA:$AA,"&gt;=0")+COUNTIFS(RESULTADOS_GRID!$B:$B,$A97,RESULTADOS_GRID!$AA:$AA,"&lt;0"))=0,"",SUMIF(RESULTADOS_GRID!$B:$B,$A97,RESULTADOS_GRID!$AA:$AA)/(COUNTIFS(RESULTADOS_GRID!$B:$B,$A97,RESULTADOS_GRID!$AA:$AA,"&gt;=0")+COUNTIFS(RESULTADOS_GRID!$B:$B,$A97,RESULTADOS_GRID!$AA:$AA,"&lt;0"))))</x:f>
      </x:c>
      <x:c r="M97" s="12">
        <x:f>IF($A97="","",IF((COUNTIFS(RESULTADOS_GRID!$B:$B,$A97,RESULTADOS_GRID!$AB:$AB,"&gt;=0")+COUNTIFS(RESULTADOS_GRID!$B:$B,$A97,RESULTADOS_GRID!$AB:$AB,"&lt;0"))=0,"",SUMIF(RESULTADOS_GRID!$B:$B,$A97,RESULTADOS_GRID!$AB:$AB)/(COUNTIFS(RESULTADOS_GRID!$B:$B,$A97,RESULTADOS_GRID!$AB:$AB,"&gt;=0")+COUNTIFS(RESULTADOS_GRID!$B:$B,$A97,RESULTADOS_GRID!$AB:$AB,"&lt;0"))))</x:f>
      </x:c>
      <x:c r="N97" s="11" t="n"/>
      <x:c r="O97" s="17">
        <x:f>IF($I97="","",COUNTIFS($I$2:$I$101,"&lt;"&amp;$I97)+1)</x:f>
      </x:c>
      <x:c r="P97" s="11" t="n"/>
    </x:row>
    <x:row r="98">
      <x:c r="A98" s="11" t="inlineStr">
        <x:is>
          <x:t xml:space="preserve"/>
        </x:is>
      </x:c>
      <x:c r="B98" s="17">
        <x:f>IF($A98="","",IFERROR(INDEX(RESULTADOS_GRID!$C:$C,MATCH($A98,RESULTADOS_GRID!$B:$B,0)),""))</x:f>
      </x:c>
      <x:c r="C98" s="17">
        <x:f>IF($A98="","",IFERROR(INDEX(RESULTADOS_GRID!$E:$E,MATCH($A98,RESULTADOS_GRID!$B:$B,0)),""))</x:f>
      </x:c>
      <x:c r="D98" s="17">
        <x:f>IF($A98="","",IFERROR(INDEX(RESULTADOS_GRID!$D:$D,MATCH($A98,RESULTADOS_GRID!$B:$B,0)),""))</x:f>
      </x:c>
      <x:c r="E98" s="17">
        <x:f>IF($A98="","",COUNTIF(RESULTADOS_GRID!$B:$B,$A98))</x:f>
      </x:c>
      <x:c r="F98" s="15">
        <x:f>IF($A98="","",SUMIF(RESULTADOS_GRID!$B:$B,$A98,RESULTADOS_GRID!$X:$X))</x:f>
      </x:c>
      <x:c r="G98" s="14" t="n"/>
      <x:c r="H98" s="18">
        <x:f>CONFIG_REFERENCIA!$E$7</x:f>
        <x:v>0.05</x:v>
      </x:c>
      <x:c r="I98" s="15">
        <x:f>IF($A98="","",$F98+N($G98)*$H98)</x:f>
      </x:c>
      <x:c r="J98" s="15">
        <x:f>IF($A98="","",IF((COUNTIFS(RESULTADOS_GRID!$B:$B,$A98,RESULTADOS_GRID!$Y:$Y,"&gt;=0")+COUNTIFS(RESULTADOS_GRID!$B:$B,$A98,RESULTADOS_GRID!$Y:$Y,"&lt;0"))=0,"",SUMIF(RESULTADOS_GRID!$B:$B,$A98,RESULTADOS_GRID!$Y:$Y)/(COUNTIFS(RESULTADOS_GRID!$B:$B,$A98,RESULTADOS_GRID!$Y:$Y,"&gt;=0")+COUNTIFS(RESULTADOS_GRID!$B:$B,$A98,RESULTADOS_GRID!$Y:$Y,"&lt;0"))))</x:f>
      </x:c>
      <x:c r="K98" s="15">
        <x:f>IF($A98="","",IF((COUNTIFS(RESULTADOS_GRID!$B:$B,$A98,RESULTADOS_GRID!$Z:$Z,"&gt;=0")+COUNTIFS(RESULTADOS_GRID!$B:$B,$A98,RESULTADOS_GRID!$Z:$Z,"&lt;0"))=0,"",SUMIF(RESULTADOS_GRID!$B:$B,$A98,RESULTADOS_GRID!$Z:$Z)/(COUNTIFS(RESULTADOS_GRID!$B:$B,$A98,RESULTADOS_GRID!$Z:$Z,"&gt;=0")+COUNTIFS(RESULTADOS_GRID!$B:$B,$A98,RESULTADOS_GRID!$Z:$Z,"&lt;0"))))</x:f>
      </x:c>
      <x:c r="L98" s="12">
        <x:f>IF($A98="","",IF((COUNTIFS(RESULTADOS_GRID!$B:$B,$A98,RESULTADOS_GRID!$AA:$AA,"&gt;=0")+COUNTIFS(RESULTADOS_GRID!$B:$B,$A98,RESULTADOS_GRID!$AA:$AA,"&lt;0"))=0,"",SUMIF(RESULTADOS_GRID!$B:$B,$A98,RESULTADOS_GRID!$AA:$AA)/(COUNTIFS(RESULTADOS_GRID!$B:$B,$A98,RESULTADOS_GRID!$AA:$AA,"&gt;=0")+COUNTIFS(RESULTADOS_GRID!$B:$B,$A98,RESULTADOS_GRID!$AA:$AA,"&lt;0"))))</x:f>
      </x:c>
      <x:c r="M98" s="12">
        <x:f>IF($A98="","",IF((COUNTIFS(RESULTADOS_GRID!$B:$B,$A98,RESULTADOS_GRID!$AB:$AB,"&gt;=0")+COUNTIFS(RESULTADOS_GRID!$B:$B,$A98,RESULTADOS_GRID!$AB:$AB,"&lt;0"))=0,"",SUMIF(RESULTADOS_GRID!$B:$B,$A98,RESULTADOS_GRID!$AB:$AB)/(COUNTIFS(RESULTADOS_GRID!$B:$B,$A98,RESULTADOS_GRID!$AB:$AB,"&gt;=0")+COUNTIFS(RESULTADOS_GRID!$B:$B,$A98,RESULTADOS_GRID!$AB:$AB,"&lt;0"))))</x:f>
      </x:c>
      <x:c r="N98" s="11" t="n"/>
      <x:c r="O98" s="17">
        <x:f>IF($I98="","",COUNTIFS($I$2:$I$101,"&lt;"&amp;$I98)+1)</x:f>
      </x:c>
      <x:c r="P98" s="11" t="n"/>
    </x:row>
    <x:row r="99">
      <x:c r="A99" s="11" t="inlineStr">
        <x:is>
          <x:t xml:space="preserve"/>
        </x:is>
      </x:c>
      <x:c r="B99" s="17">
        <x:f>IF($A99="","",IFERROR(INDEX(RESULTADOS_GRID!$C:$C,MATCH($A99,RESULTADOS_GRID!$B:$B,0)),""))</x:f>
      </x:c>
      <x:c r="C99" s="17">
        <x:f>IF($A99="","",IFERROR(INDEX(RESULTADOS_GRID!$E:$E,MATCH($A99,RESULTADOS_GRID!$B:$B,0)),""))</x:f>
      </x:c>
      <x:c r="D99" s="17">
        <x:f>IF($A99="","",IFERROR(INDEX(RESULTADOS_GRID!$D:$D,MATCH($A99,RESULTADOS_GRID!$B:$B,0)),""))</x:f>
      </x:c>
      <x:c r="E99" s="17">
        <x:f>IF($A99="","",COUNTIF(RESULTADOS_GRID!$B:$B,$A99))</x:f>
      </x:c>
      <x:c r="F99" s="15">
        <x:f>IF($A99="","",SUMIF(RESULTADOS_GRID!$B:$B,$A99,RESULTADOS_GRID!$X:$X))</x:f>
      </x:c>
      <x:c r="G99" s="14" t="n"/>
      <x:c r="H99" s="18">
        <x:f>CONFIG_REFERENCIA!$E$7</x:f>
        <x:v>0.05</x:v>
      </x:c>
      <x:c r="I99" s="15">
        <x:f>IF($A99="","",$F99+N($G99)*$H99)</x:f>
      </x:c>
      <x:c r="J99" s="15">
        <x:f>IF($A99="","",IF((COUNTIFS(RESULTADOS_GRID!$B:$B,$A99,RESULTADOS_GRID!$Y:$Y,"&gt;=0")+COUNTIFS(RESULTADOS_GRID!$B:$B,$A99,RESULTADOS_GRID!$Y:$Y,"&lt;0"))=0,"",SUMIF(RESULTADOS_GRID!$B:$B,$A99,RESULTADOS_GRID!$Y:$Y)/(COUNTIFS(RESULTADOS_GRID!$B:$B,$A99,RESULTADOS_GRID!$Y:$Y,"&gt;=0")+COUNTIFS(RESULTADOS_GRID!$B:$B,$A99,RESULTADOS_GRID!$Y:$Y,"&lt;0"))))</x:f>
      </x:c>
      <x:c r="K99" s="15">
        <x:f>IF($A99="","",IF((COUNTIFS(RESULTADOS_GRID!$B:$B,$A99,RESULTADOS_GRID!$Z:$Z,"&gt;=0")+COUNTIFS(RESULTADOS_GRID!$B:$B,$A99,RESULTADOS_GRID!$Z:$Z,"&lt;0"))=0,"",SUMIF(RESULTADOS_GRID!$B:$B,$A99,RESULTADOS_GRID!$Z:$Z)/(COUNTIFS(RESULTADOS_GRID!$B:$B,$A99,RESULTADOS_GRID!$Z:$Z,"&gt;=0")+COUNTIFS(RESULTADOS_GRID!$B:$B,$A99,RESULTADOS_GRID!$Z:$Z,"&lt;0"))))</x:f>
      </x:c>
      <x:c r="L99" s="12">
        <x:f>IF($A99="","",IF((COUNTIFS(RESULTADOS_GRID!$B:$B,$A99,RESULTADOS_GRID!$AA:$AA,"&gt;=0")+COUNTIFS(RESULTADOS_GRID!$B:$B,$A99,RESULTADOS_GRID!$AA:$AA,"&lt;0"))=0,"",SUMIF(RESULTADOS_GRID!$B:$B,$A99,RESULTADOS_GRID!$AA:$AA)/(COUNTIFS(RESULTADOS_GRID!$B:$B,$A99,RESULTADOS_GRID!$AA:$AA,"&gt;=0")+COUNTIFS(RESULTADOS_GRID!$B:$B,$A99,RESULTADOS_GRID!$AA:$AA,"&lt;0"))))</x:f>
      </x:c>
      <x:c r="M99" s="12">
        <x:f>IF($A99="","",IF((COUNTIFS(RESULTADOS_GRID!$B:$B,$A99,RESULTADOS_GRID!$AB:$AB,"&gt;=0")+COUNTIFS(RESULTADOS_GRID!$B:$B,$A99,RESULTADOS_GRID!$AB:$AB,"&lt;0"))=0,"",SUMIF(RESULTADOS_GRID!$B:$B,$A99,RESULTADOS_GRID!$AB:$AB)/(COUNTIFS(RESULTADOS_GRID!$B:$B,$A99,RESULTADOS_GRID!$AB:$AB,"&gt;=0")+COUNTIFS(RESULTADOS_GRID!$B:$B,$A99,RESULTADOS_GRID!$AB:$AB,"&lt;0"))))</x:f>
      </x:c>
      <x:c r="N99" s="11" t="n"/>
      <x:c r="O99" s="17">
        <x:f>IF($I99="","",COUNTIFS($I$2:$I$101,"&lt;"&amp;$I99)+1)</x:f>
      </x:c>
      <x:c r="P99" s="11" t="n"/>
    </x:row>
    <x:row r="100">
      <x:c r="A100" s="11" t="inlineStr">
        <x:is>
          <x:t xml:space="preserve"/>
        </x:is>
      </x:c>
      <x:c r="B100" s="17">
        <x:f>IF($A100="","",IFERROR(INDEX(RESULTADOS_GRID!$C:$C,MATCH($A100,RESULTADOS_GRID!$B:$B,0)),""))</x:f>
      </x:c>
      <x:c r="C100" s="17">
        <x:f>IF($A100="","",IFERROR(INDEX(RESULTADOS_GRID!$E:$E,MATCH($A100,RESULTADOS_GRID!$B:$B,0)),""))</x:f>
      </x:c>
      <x:c r="D100" s="17">
        <x:f>IF($A100="","",IFERROR(INDEX(RESULTADOS_GRID!$D:$D,MATCH($A100,RESULTADOS_GRID!$B:$B,0)),""))</x:f>
      </x:c>
      <x:c r="E100" s="17">
        <x:f>IF($A100="","",COUNTIF(RESULTADOS_GRID!$B:$B,$A100))</x:f>
      </x:c>
      <x:c r="F100" s="15">
        <x:f>IF($A100="","",SUMIF(RESULTADOS_GRID!$B:$B,$A100,RESULTADOS_GRID!$X:$X))</x:f>
      </x:c>
      <x:c r="G100" s="14" t="n"/>
      <x:c r="H100" s="18">
        <x:f>CONFIG_REFERENCIA!$E$7</x:f>
        <x:v>0.05</x:v>
      </x:c>
      <x:c r="I100" s="15">
        <x:f>IF($A100="","",$F100+N($G100)*$H100)</x:f>
      </x:c>
      <x:c r="J100" s="15">
        <x:f>IF($A100="","",IF((COUNTIFS(RESULTADOS_GRID!$B:$B,$A100,RESULTADOS_GRID!$Y:$Y,"&gt;=0")+COUNTIFS(RESULTADOS_GRID!$B:$B,$A100,RESULTADOS_GRID!$Y:$Y,"&lt;0"))=0,"",SUMIF(RESULTADOS_GRID!$B:$B,$A100,RESULTADOS_GRID!$Y:$Y)/(COUNTIFS(RESULTADOS_GRID!$B:$B,$A100,RESULTADOS_GRID!$Y:$Y,"&gt;=0")+COUNTIFS(RESULTADOS_GRID!$B:$B,$A100,RESULTADOS_GRID!$Y:$Y,"&lt;0"))))</x:f>
      </x:c>
      <x:c r="K100" s="15">
        <x:f>IF($A100="","",IF((COUNTIFS(RESULTADOS_GRID!$B:$B,$A100,RESULTADOS_GRID!$Z:$Z,"&gt;=0")+COUNTIFS(RESULTADOS_GRID!$B:$B,$A100,RESULTADOS_GRID!$Z:$Z,"&lt;0"))=0,"",SUMIF(RESULTADOS_GRID!$B:$B,$A100,RESULTADOS_GRID!$Z:$Z)/(COUNTIFS(RESULTADOS_GRID!$B:$B,$A100,RESULTADOS_GRID!$Z:$Z,"&gt;=0")+COUNTIFS(RESULTADOS_GRID!$B:$B,$A100,RESULTADOS_GRID!$Z:$Z,"&lt;0"))))</x:f>
      </x:c>
      <x:c r="L100" s="12">
        <x:f>IF($A100="","",IF((COUNTIFS(RESULTADOS_GRID!$B:$B,$A100,RESULTADOS_GRID!$AA:$AA,"&gt;=0")+COUNTIFS(RESULTADOS_GRID!$B:$B,$A100,RESULTADOS_GRID!$AA:$AA,"&lt;0"))=0,"",SUMIF(RESULTADOS_GRID!$B:$B,$A100,RESULTADOS_GRID!$AA:$AA)/(COUNTIFS(RESULTADOS_GRID!$B:$B,$A100,RESULTADOS_GRID!$AA:$AA,"&gt;=0")+COUNTIFS(RESULTADOS_GRID!$B:$B,$A100,RESULTADOS_GRID!$AA:$AA,"&lt;0"))))</x:f>
      </x:c>
      <x:c r="M100" s="12">
        <x:f>IF($A100="","",IF((COUNTIFS(RESULTADOS_GRID!$B:$B,$A100,RESULTADOS_GRID!$AB:$AB,"&gt;=0")+COUNTIFS(RESULTADOS_GRID!$B:$B,$A100,RESULTADOS_GRID!$AB:$AB,"&lt;0"))=0,"",SUMIF(RESULTADOS_GRID!$B:$B,$A100,RESULTADOS_GRID!$AB:$AB)/(COUNTIFS(RESULTADOS_GRID!$B:$B,$A100,RESULTADOS_GRID!$AB:$AB,"&gt;=0")+COUNTIFS(RESULTADOS_GRID!$B:$B,$A100,RESULTADOS_GRID!$AB:$AB,"&lt;0"))))</x:f>
      </x:c>
      <x:c r="N100" s="11" t="n"/>
      <x:c r="O100" s="17">
        <x:f>IF($I100="","",COUNTIFS($I$2:$I$101,"&lt;"&amp;$I100)+1)</x:f>
      </x:c>
      <x:c r="P100" s="11" t="n"/>
    </x:row>
    <x:row r="101">
      <x:c r="A101" s="11" t="inlineStr">
        <x:is>
          <x:t xml:space="preserve"/>
        </x:is>
      </x:c>
      <x:c r="B101" s="17">
        <x:f>IF($A101="","",IFERROR(INDEX(RESULTADOS_GRID!$C:$C,MATCH($A101,RESULTADOS_GRID!$B:$B,0)),""))</x:f>
      </x:c>
      <x:c r="C101" s="17">
        <x:f>IF($A101="","",IFERROR(INDEX(RESULTADOS_GRID!$E:$E,MATCH($A101,RESULTADOS_GRID!$B:$B,0)),""))</x:f>
      </x:c>
      <x:c r="D101" s="17">
        <x:f>IF($A101="","",IFERROR(INDEX(RESULTADOS_GRID!$D:$D,MATCH($A101,RESULTADOS_GRID!$B:$B,0)),""))</x:f>
      </x:c>
      <x:c r="E101" s="17">
        <x:f>IF($A101="","",COUNTIF(RESULTADOS_GRID!$B:$B,$A101))</x:f>
      </x:c>
      <x:c r="F101" s="15">
        <x:f>IF($A101="","",SUMIF(RESULTADOS_GRID!$B:$B,$A101,RESULTADOS_GRID!$X:$X))</x:f>
      </x:c>
      <x:c r="G101" s="14" t="n"/>
      <x:c r="H101" s="18">
        <x:f>CONFIG_REFERENCIA!$E$7</x:f>
        <x:v>0.05</x:v>
      </x:c>
      <x:c r="I101" s="15">
        <x:f>IF($A101="","",$F101+N($G101)*$H101)</x:f>
      </x:c>
      <x:c r="J101" s="15">
        <x:f>IF($A101="","",IF((COUNTIFS(RESULTADOS_GRID!$B:$B,$A101,RESULTADOS_GRID!$Y:$Y,"&gt;=0")+COUNTIFS(RESULTADOS_GRID!$B:$B,$A101,RESULTADOS_GRID!$Y:$Y,"&lt;0"))=0,"",SUMIF(RESULTADOS_GRID!$B:$B,$A101,RESULTADOS_GRID!$Y:$Y)/(COUNTIFS(RESULTADOS_GRID!$B:$B,$A101,RESULTADOS_GRID!$Y:$Y,"&gt;=0")+COUNTIFS(RESULTADOS_GRID!$B:$B,$A101,RESULTADOS_GRID!$Y:$Y,"&lt;0"))))</x:f>
      </x:c>
      <x:c r="K101" s="15">
        <x:f>IF($A101="","",IF((COUNTIFS(RESULTADOS_GRID!$B:$B,$A101,RESULTADOS_GRID!$Z:$Z,"&gt;=0")+COUNTIFS(RESULTADOS_GRID!$B:$B,$A101,RESULTADOS_GRID!$Z:$Z,"&lt;0"))=0,"",SUMIF(RESULTADOS_GRID!$B:$B,$A101,RESULTADOS_GRID!$Z:$Z)/(COUNTIFS(RESULTADOS_GRID!$B:$B,$A101,RESULTADOS_GRID!$Z:$Z,"&gt;=0")+COUNTIFS(RESULTADOS_GRID!$B:$B,$A101,RESULTADOS_GRID!$Z:$Z,"&lt;0"))))</x:f>
      </x:c>
      <x:c r="L101" s="12">
        <x:f>IF($A101="","",IF((COUNTIFS(RESULTADOS_GRID!$B:$B,$A101,RESULTADOS_GRID!$AA:$AA,"&gt;=0")+COUNTIFS(RESULTADOS_GRID!$B:$B,$A101,RESULTADOS_GRID!$AA:$AA,"&lt;0"))=0,"",SUMIF(RESULTADOS_GRID!$B:$B,$A101,RESULTADOS_GRID!$AA:$AA)/(COUNTIFS(RESULTADOS_GRID!$B:$B,$A101,RESULTADOS_GRID!$AA:$AA,"&gt;=0")+COUNTIFS(RESULTADOS_GRID!$B:$B,$A101,RESULTADOS_GRID!$AA:$AA,"&lt;0"))))</x:f>
      </x:c>
      <x:c r="M101" s="12">
        <x:f>IF($A101="","",IF((COUNTIFS(RESULTADOS_GRID!$B:$B,$A101,RESULTADOS_GRID!$AB:$AB,"&gt;=0")+COUNTIFS(RESULTADOS_GRID!$B:$B,$A101,RESULTADOS_GRID!$AB:$AB,"&lt;0"))=0,"",SUMIF(RESULTADOS_GRID!$B:$B,$A101,RESULTADOS_GRID!$AB:$AB)/(COUNTIFS(RESULTADOS_GRID!$B:$B,$A101,RESULTADOS_GRID!$AB:$AB,"&gt;=0")+COUNTIFS(RESULTADOS_GRID!$B:$B,$A101,RESULTADOS_GRID!$AB:$AB,"&lt;0"))))</x:f>
      </x:c>
      <x:c r="N101" s="11" t="n"/>
      <x:c r="O101" s="17">
        <x:f>IF($I101="","",COUNTIFS($I$2:$I$101,"&lt;"&amp;$I101)+1)</x:f>
      </x:c>
      <x:c r="P101" s="11" t="n"/>
    </x:row>
  </x:sheetData>
  <x:conditionalFormatting sqref="E2:E101">
    <x:cfRule type="expression" dxfId="1" priority="1">
      <x:formula>AND($A2&lt;&gt;"",$E2&lt;&gt;4)</x:formula>
    </x:cfRule>
    <x:cfRule type="expression" dxfId="2" priority="3">
      <x:formula>AND($A2&lt;&gt;"",$E2=4)</x:formula>
    </x:cfRule>
  </x:conditionalFormatting>
  <x:conditionalFormatting sqref="I2:I101">
    <x:cfRule type="colorScale" priority="2">
      <x:colorScale>
        <x:cfvo type="percentile" val="10"/>
        <x:cfvo type="percentile" val="50"/>
        <x:cfvo type="percentile" val="90"/>
        <x:color rgb="0063BE7B"/>
        <x:color rgb="00FFEB84"/>
        <x:color rgb="00F8696B"/>
      </x:colorScale>
    </x:cfRule>
  </x:conditionalFormatting>
  <x:dataValidations count="1">
    <x:dataValidation type="list" allowBlank="1" showDropDown="0" showInputMessage="0" showErrorMessage="0" sqref="N2:N101">
      <x:formula1>"descartar,contender,finalista,ganador"</x:formula1>
    </x:dataValidation>
  </x:dataValidations>
  <x:pageMargins left="0.7" right="0.7" top="0.75" bottom="0.75" header="0.3" footer="0.3"/>
  <x:legacyDrawing xmlns:r="http://schemas.openxmlformats.org/officeDocument/2006/relationships" r:id="R2d60cc1848b545cd"/>
</x:worksheet>
</file>