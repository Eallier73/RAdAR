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_REFERENCIA" sheetId="2" state="visible" r:id="rId2"/>
    <sheet xmlns:r="http://schemas.openxmlformats.org/officeDocument/2006/relationships" name="CATALOGO_EXPERIMENTOS" sheetId="3" state="visible" r:id="rId3"/>
    <sheet xmlns:r="http://schemas.openxmlformats.org/officeDocument/2006/relationships" name="RESULTADOS_GRID" sheetId="4" state="visible" r:id="rId4"/>
    <sheet xmlns:r="http://schemas.openxmlformats.org/officeDocument/2006/relationships" name="RUN_SUMMARY" sheetId="5" state="visible" r:id="rId5"/>
    <sheet xmlns:r="http://schemas.openxmlformats.org/officeDocument/2006/relationships" name="RUN_ARTEFACTOS" sheetId="6" state="visible" r:id="rId6"/>
  </sheets>
  <definedNames/>
  <calcPr calcId="124519" calcMode="auto" fullCalcOnLoad="1" refMode="A1" iterate="0" iterateCount="100" iterateDelta="0.00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  <font>
      <name val="Calibri"/>
      <charset val="1"/>
      <family val="0"/>
      <b val="1"/>
      <color rgb="FF1F4E78"/>
      <sz val="16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000000"/>
      <sz val="11"/>
    </font>
    <font>
      <name val="Arial"/>
      <family val="2"/>
      <color rgb="FF000000"/>
      <sz val="10"/>
    </font>
    <font>
      <name val="Calibri"/>
      <charset val="1"/>
      <family val="0"/>
      <color rgb="FF666666"/>
      <sz val="10"/>
    </font>
    <font>
      <name val="Calibri"/>
      <charset val="1"/>
      <family val="0"/>
      <color rgb="FF7030A0"/>
      <sz val="10"/>
    </font>
    <font>
      <name val="Calibri"/>
      <charset val="1"/>
      <family val="0"/>
      <color rgb="FF0000FF"/>
      <sz val="10"/>
    </font>
    <font>
      <name val="Cambria"/>
      <charset val="1"/>
      <family val="0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ADCF8"/>
        <bgColor rgb="FFE7E6E6"/>
      </patternFill>
    </fill>
    <fill>
      <patternFill patternType="solid">
        <fgColor rgb="FFE7E6E6"/>
        <bgColor rgb="FFE2F0D9"/>
      </patternFill>
    </fill>
    <fill>
      <patternFill patternType="solid">
        <fgColor rgb="FFF5F5F5"/>
        <bgColor rgb="FFFFFFFF"/>
      </patternFill>
    </fill>
    <fill>
      <patternFill patternType="solid">
        <fgColor rgb="FFD9EAF7"/>
        <bgColor rgb="FFE7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4E7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/>
    </xf>
    <xf numFmtId="0" fontId="7" fillId="2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 wrapText="1"/>
    </xf>
    <xf numFmtId="0" fontId="8" fillId="3" borderId="0" applyAlignment="1" pivotButton="0" quotePrefix="0" xfId="2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7" fillId="2" borderId="1" applyAlignment="1" pivotButton="0" quotePrefix="0" xfId="20">
      <alignment horizontal="center" vertical="center" wrapText="1"/>
    </xf>
    <xf numFmtId="0" fontId="10" fillId="0" borderId="0" applyAlignment="1" pivotButton="0" quotePrefix="0" xfId="20">
      <alignment horizontal="general" vertical="bottom"/>
    </xf>
    <xf numFmtId="164" fontId="11" fillId="4" borderId="0" applyAlignment="1" pivotButton="0" quotePrefix="0" xfId="20">
      <alignment horizontal="general" vertical="bottom"/>
    </xf>
    <xf numFmtId="0" fontId="10" fillId="5" borderId="0" applyAlignment="1" pivotButton="0" quotePrefix="0" xfId="2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2" borderId="1" applyAlignment="1" pivotButton="0" quotePrefix="0" xfId="20">
      <alignment horizontal="center" vertical="center" wrapText="1"/>
    </xf>
    <xf numFmtId="0" fontId="6" fillId="5" borderId="0" applyAlignment="1" pivotButton="0" quotePrefix="0" xfId="20">
      <alignment horizontal="general" vertical="top" wrapText="1"/>
    </xf>
    <xf numFmtId="0" fontId="6" fillId="6" borderId="0" applyAlignment="1" pivotButton="0" quotePrefix="0" xfId="20">
      <alignment horizontal="general" vertical="top" wrapText="1"/>
    </xf>
    <xf numFmtId="0" fontId="12" fillId="7" borderId="0" applyAlignment="1" pivotButton="0" quotePrefix="0" xfId="20">
      <alignment horizontal="general" vertical="top" wrapText="1"/>
    </xf>
    <xf numFmtId="0" fontId="10" fillId="5" borderId="0" applyAlignment="1" pivotButton="0" quotePrefix="0" xfId="20">
      <alignment horizontal="general" vertical="top" wrapText="1"/>
    </xf>
    <xf numFmtId="164" fontId="6" fillId="6" borderId="0" applyAlignment="1" pivotButton="0" quotePrefix="0" xfId="20">
      <alignment horizontal="general" vertical="top" wrapText="1"/>
    </xf>
    <xf numFmtId="164" fontId="11" fillId="4" borderId="0" applyAlignment="1" pivotButton="0" quotePrefix="0" xfId="20">
      <alignment horizontal="general" vertical="top" wrapText="1"/>
    </xf>
    <xf numFmtId="165" fontId="12" fillId="7" borderId="0" applyAlignment="1" pivotButton="0" quotePrefix="0" xfId="20">
      <alignment horizontal="general" vertical="top" wrapText="1"/>
    </xf>
    <xf numFmtId="165" fontId="6" fillId="6" borderId="0" applyAlignment="1" pivotButton="0" quotePrefix="0" xfId="20">
      <alignment horizontal="general" vertical="top" wrapText="1"/>
    </xf>
    <xf numFmtId="164" fontId="12" fillId="7" borderId="0" applyAlignment="1" pivotButton="0" quotePrefix="0" xfId="20">
      <alignment horizontal="general" vertical="top" wrapText="1"/>
    </xf>
    <xf numFmtId="0" fontId="6" fillId="6" borderId="0" applyAlignment="1" pivotButton="0" quotePrefix="0" xfId="20">
      <alignment horizontal="general" vertical="top" wrapText="1"/>
    </xf>
    <xf numFmtId="164" fontId="11" fillId="6" borderId="0" applyAlignment="1" pivotButton="0" quotePrefix="0" xfId="20">
      <alignment horizontal="general" vertical="top" wrapText="1"/>
    </xf>
    <xf numFmtId="0" fontId="13" fillId="2" borderId="0" applyAlignment="1" pivotButton="0" quotePrefix="0" xfId="20">
      <alignment horizontal="general" vertical="bottom"/>
    </xf>
    <xf numFmtId="0" fontId="4" fillId="7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/>
    </xf>
    <xf numFmtId="0" fontId="7" fillId="2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 wrapText="1"/>
    </xf>
    <xf numFmtId="0" fontId="9" fillId="3" borderId="0" applyAlignment="1" pivotButton="0" quotePrefix="0" xfId="0">
      <alignment horizontal="general" vertical="bottom"/>
    </xf>
    <xf numFmtId="0" fontId="8" fillId="3" borderId="0" applyAlignment="1" pivotButton="0" quotePrefix="0" xfId="20">
      <alignment horizontal="general" vertical="bottom"/>
    </xf>
    <xf numFmtId="0" fontId="7" fillId="2" borderId="1" applyAlignment="1" pivotButton="0" quotePrefix="0" xfId="20">
      <alignment horizontal="center" vertical="center" wrapText="1"/>
    </xf>
    <xf numFmtId="0" fontId="10" fillId="0" borderId="0" applyAlignment="1" pivotButton="0" quotePrefix="0" xfId="20">
      <alignment horizontal="general" vertical="bottom"/>
    </xf>
    <xf numFmtId="164" fontId="11" fillId="4" borderId="0" applyAlignment="1" pivotButton="0" quotePrefix="0" xfId="20">
      <alignment horizontal="general" vertical="bottom"/>
    </xf>
    <xf numFmtId="0" fontId="10" fillId="5" borderId="0" applyAlignment="1" pivotButton="0" quotePrefix="0" xfId="2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2" borderId="1" applyAlignment="1" pivotButton="0" quotePrefix="0" xfId="20">
      <alignment horizontal="center" vertical="center" wrapText="1"/>
    </xf>
    <xf numFmtId="0" fontId="6" fillId="5" borderId="0" applyAlignment="1" pivotButton="0" quotePrefix="0" xfId="20">
      <alignment horizontal="general" vertical="top" wrapText="1"/>
    </xf>
    <xf numFmtId="0" fontId="6" fillId="6" borderId="0" applyAlignment="1" pivotButton="0" quotePrefix="0" xfId="20">
      <alignment horizontal="general" vertical="top" wrapText="1"/>
    </xf>
    <xf numFmtId="0" fontId="12" fillId="7" borderId="0" applyAlignment="1" pivotButton="0" quotePrefix="0" xfId="20">
      <alignment horizontal="general" vertical="top" wrapText="1"/>
    </xf>
    <xf numFmtId="0" fontId="10" fillId="5" borderId="0" applyAlignment="1" pivotButton="0" quotePrefix="0" xfId="20">
      <alignment horizontal="general" vertical="top" wrapText="1"/>
    </xf>
    <xf numFmtId="164" fontId="6" fillId="6" borderId="0" applyAlignment="1" pivotButton="0" quotePrefix="0" xfId="20">
      <alignment horizontal="general" vertical="top" wrapText="1"/>
    </xf>
    <xf numFmtId="164" fontId="11" fillId="4" borderId="0" applyAlignment="1" pivotButton="0" quotePrefix="0" xfId="20">
      <alignment horizontal="general" vertical="top" wrapText="1"/>
    </xf>
    <xf numFmtId="165" fontId="12" fillId="7" borderId="0" applyAlignment="1" pivotButton="0" quotePrefix="0" xfId="20">
      <alignment horizontal="general" vertical="top" wrapText="1"/>
    </xf>
    <xf numFmtId="165" fontId="6" fillId="6" borderId="0" applyAlignment="1" pivotButton="0" quotePrefix="0" xfId="20">
      <alignment horizontal="general" vertical="top" wrapText="1"/>
    </xf>
    <xf numFmtId="164" fontId="12" fillId="7" borderId="0" applyAlignment="1" pivotButton="0" quotePrefix="0" xfId="20">
      <alignment horizontal="general" vertical="top" wrapText="1"/>
    </xf>
    <xf numFmtId="0" fontId="12" fillId="7" borderId="0" applyAlignment="1" pivotButton="0" quotePrefix="0" xfId="20">
      <alignment horizontal="general" vertical="top" wrapText="1"/>
    </xf>
    <xf numFmtId="0" fontId="10" fillId="5" borderId="0" applyAlignment="1" pivotButton="0" quotePrefix="0" xfId="20">
      <alignment horizontal="general" vertical="top" wrapText="1"/>
    </xf>
    <xf numFmtId="164" fontId="6" fillId="6" borderId="0" applyAlignment="1" pivotButton="0" quotePrefix="0" xfId="20">
      <alignment horizontal="general" vertical="top" wrapText="1"/>
    </xf>
    <xf numFmtId="164" fontId="11" fillId="4" borderId="0" applyAlignment="1" pivotButton="0" quotePrefix="0" xfId="20">
      <alignment horizontal="general" vertical="top" wrapText="1"/>
    </xf>
    <xf numFmtId="165" fontId="12" fillId="7" borderId="0" applyAlignment="1" pivotButton="0" quotePrefix="0" xfId="20">
      <alignment horizontal="general" vertical="top" wrapText="1"/>
    </xf>
    <xf numFmtId="165" fontId="6" fillId="6" borderId="0" applyAlignment="1" pivotButton="0" quotePrefix="0" xfId="20">
      <alignment horizontal="general" vertical="top" wrapText="1"/>
    </xf>
    <xf numFmtId="164" fontId="12" fillId="7" borderId="0" applyAlignment="1" pivotButton="0" quotePrefix="0" xfId="20">
      <alignment horizontal="general" vertical="top" wrapText="1"/>
    </xf>
    <xf numFmtId="164" fontId="11" fillId="6" borderId="0" applyAlignment="1" pivotButton="0" quotePrefix="0" xfId="20">
      <alignment horizontal="general" vertical="top" wrapText="1"/>
    </xf>
    <xf numFmtId="0" fontId="6" fillId="6" borderId="0" applyAlignment="1" pivotButton="0" quotePrefix="0" xfId="20">
      <alignment horizontal="general" vertical="top" wrapText="1"/>
    </xf>
    <xf numFmtId="164" fontId="11" fillId="6" borderId="0" applyAlignment="1" pivotButton="0" quotePrefix="0" xfId="20">
      <alignment horizontal="general" vertical="top" wrapText="1"/>
    </xf>
    <xf numFmtId="0" fontId="13" fillId="2" borderId="0" applyAlignment="1" pivotButton="0" quotePrefix="0" xfId="20">
      <alignment horizontal="general" vertical="bottom"/>
    </xf>
    <xf numFmtId="0" fontId="4" fillId="7" borderId="0" applyAlignment="1" pivotButton="0" quotePrefix="0" xfId="20">
      <alignment horizontal="general" vertical="bottom"/>
    </xf>
    <xf numFmtId="0" fontId="4" fillId="7" borderId="0" applyAlignment="1" pivotButton="0" quotePrefix="0" xfId="2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FDE9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5F5F5"/>
      <rgbColor rgb="FFD9EAF7"/>
      <rgbColor rgb="FF660066"/>
      <rgbColor rgb="FFFF8080"/>
      <rgbColor rgb="FF0066CC"/>
      <rgbColor rgb="FFEADC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DE9D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S1" authorId="0" shapeId="0">
      <text>
        <t>Peso del horizonte traído desde CONFIG_REFERENCIA según Horizonte_sem</t>
      </text>
    </comment>
    <comment ref="X1" authorId="0" shapeId="0">
      <text>
        <t>Loss_h = w_h × (alpha×L_num + beta×L_trend + gamma×L_risk + delta×L_tol)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I1" authorId="0" shapeId="0">
      <text>
        <t>L_total_Radar = Σ Loss_h + eta × L_coh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110" customWidth="1" style="26" min="1" max="1"/>
  </cols>
  <sheetData>
    <row r="1" ht="25.5" customHeight="1" s="27">
      <c r="A1" s="28" t="inlineStr">
        <is>
          <t>Grid de experimentos del Radar</t>
        </is>
      </c>
    </row>
    <row r="2" ht="19.5" customHeight="1" s="27"/>
    <row r="3" ht="19.5" customHeight="1" s="27">
      <c r="A3" s="29" t="inlineStr">
        <is>
          <t>Basado en el esquema del archivo subido: Funcion_Perdida_Radar_y_Grid_Experimentos.docx</t>
        </is>
      </c>
    </row>
    <row r="4" ht="19.5" customHeight="1" s="27"/>
    <row r="5" ht="19.5" customHeight="1" s="27">
      <c r="A5" s="30" t="inlineStr">
        <is>
          <t>Cómo usar este archivo</t>
        </is>
      </c>
    </row>
    <row r="6" ht="19.5" customHeight="1" s="27">
      <c r="A6" s="31" t="inlineStr">
        <is>
          <t>1) En 'RESULTADOS_GRID', cada fila representa un resultado por horizonte (1, 2, 3 o 4 semanas) para un run.</t>
        </is>
      </c>
    </row>
    <row r="7" ht="19.5" customHeight="1" s="27">
      <c r="A7" s="31" t="inlineStr">
        <is>
          <t>2) Completa métricas de entrada: L_num, L_trend, L_risk, L_tol, MAE, RMSE, dirección accuracy y detección de caídas.</t>
        </is>
      </c>
    </row>
    <row r="8" ht="19.5" customHeight="1" s="27">
      <c r="A8" s="31" t="inlineStr">
        <is>
          <t>3) Los pesos alpha, beta, gamma, delta y w_h se traen automáticamente desde 'CONFIG_REFERENCIA'.</t>
        </is>
      </c>
    </row>
    <row r="9" ht="19.5" customHeight="1" s="27">
      <c r="A9" s="31" t="inlineStr">
        <is>
          <t>4) En 'RUN_SUMMARY' se consolida el score multi-horizonte por Run_ID y se calcula L_total_Radar = Σ Loss_h + eta × L_coh.</t>
        </is>
      </c>
    </row>
    <row r="10" ht="19.5" customHeight="1" s="27">
      <c r="A10" s="31" t="inlineStr">
        <is>
          <t>5) Usa 'CATALOGO_EXPERIMENTOS' como plantilla base (E1–E10) y duplica o añade runs según vayas probando variantes.</t>
        </is>
      </c>
    </row>
    <row r="11" ht="19.5" customHeight="1" s="27"/>
    <row r="12" ht="19.5" customHeight="1" s="27">
      <c r="A12" s="30" t="inlineStr">
        <is>
          <t>Notas</t>
        </is>
      </c>
    </row>
    <row r="13" ht="19.5" customHeight="1" s="27">
      <c r="A13" s="29" t="inlineStr">
        <is>
          <t>• Horizonte sugerido: 1, 2, 3 y 4 semanas.</t>
        </is>
      </c>
    </row>
    <row r="14" ht="19.5" customHeight="1" s="27">
      <c r="A14" s="29" t="inlineStr">
        <is>
          <t>• Pesos iniciales del documento: w1=30%, w2=25%, w3=30%, w4=15%; alpha=35%, beta=25%, gamma=25%, delta=10%, eta=5%.</t>
        </is>
      </c>
    </row>
    <row r="15" ht="19.5" customHeight="1" s="27">
      <c r="A15" s="29" t="inlineStr">
        <is>
          <t>• Puedes cambiar los pesos en 'CONFIG_REFERENCIA' y todas las fórmulas se actualizarán.</t>
        </is>
      </c>
    </row>
    <row r="16" ht="19.5" customHeight="1" s="27"/>
    <row r="17" ht="19.5" customHeight="1" s="27">
      <c r="A17" s="30" t="inlineStr">
        <is>
          <t>Convención visual</t>
        </is>
      </c>
    </row>
    <row r="18" ht="19.5" customHeight="1" s="27">
      <c r="A18" s="29" t="inlineStr">
        <is>
          <t>Azul = input editable</t>
        </is>
      </c>
    </row>
    <row r="19" ht="19.5" customHeight="1" s="27">
      <c r="A19" s="29" t="inlineStr">
        <is>
          <t>Negro = fórmula / cálculo</t>
        </is>
      </c>
    </row>
    <row r="20" ht="19.5" customHeight="1" s="27">
      <c r="A20" s="29" t="inlineStr">
        <is>
          <t>Gris = texto o catálogo base</t>
        </is>
      </c>
    </row>
    <row r="21" ht="19.5" customHeight="1" s="27">
      <c r="A21" s="29" t="inlineStr">
        <is>
          <t>Morado = control / lógica</t>
        </is>
      </c>
    </row>
    <row r="22" ht="19.5" customHeight="1" s="27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9" activeCellId="0" sqref="E9"/>
    </sheetView>
  </sheetViews>
  <sheetFormatPr baseColWidth="8" defaultColWidth="8.54296875" defaultRowHeight="15" zeroHeight="0" outlineLevelRow="0"/>
  <cols>
    <col width="14" customWidth="1" style="26" min="1" max="1"/>
    <col width="10" customWidth="1" style="26" min="2" max="2"/>
    <col width="14" customWidth="1" style="26" min="4" max="4"/>
    <col width="10" customWidth="1" style="26" min="5" max="5"/>
    <col width="18" customWidth="1" style="26" min="7" max="7"/>
    <col width="14" customWidth="1" style="26" min="8" max="8"/>
    <col width="18" customWidth="1" style="26" min="9" max="9"/>
    <col width="20" customWidth="1" style="26" min="10" max="10"/>
    <col width="18" customWidth="1" style="26" min="11" max="11"/>
    <col width="14" customWidth="1" style="26" min="12" max="13"/>
    <col width="95" customWidth="1" style="26" min="15" max="15"/>
  </cols>
  <sheetData>
    <row r="1" ht="19.5" customFormat="1" customHeight="1" s="32">
      <c r="A1" s="33" t="inlineStr">
        <is>
          <t>Pesos por horizonte</t>
        </is>
      </c>
      <c r="D1" s="33" t="inlineStr">
        <is>
          <t>Pesos internos de la pérdida</t>
        </is>
      </c>
      <c r="G1" s="33" t="inlineStr">
        <is>
          <t>Catálogos / listas</t>
        </is>
      </c>
      <c r="O1" s="33" t="inlineStr">
        <is>
          <t>Formula de referencia</t>
        </is>
      </c>
    </row>
    <row r="2" ht="19.5" customHeight="1" s="27">
      <c r="A2" s="34" t="inlineStr">
        <is>
          <t>Horizonte_sem</t>
        </is>
      </c>
      <c r="B2" s="34" t="inlineStr">
        <is>
          <t>Peso_w</t>
        </is>
      </c>
      <c r="C2" s="34" t="n"/>
      <c r="D2" s="34" t="inlineStr">
        <is>
          <t>Parametro</t>
        </is>
      </c>
      <c r="E2" s="34" t="inlineStr">
        <is>
          <t>Valor</t>
        </is>
      </c>
      <c r="G2" s="30" t="inlineStr">
        <is>
          <t>Familia</t>
        </is>
      </c>
      <c r="H2" s="30" t="inlineStr">
        <is>
          <t>Target</t>
        </is>
      </c>
      <c r="I2" s="30" t="inlineStr">
        <is>
          <t>Transformacion</t>
        </is>
      </c>
      <c r="J2" s="30" t="inlineStr">
        <is>
          <t>Seleccion_variables</t>
        </is>
      </c>
      <c r="K2" s="30" t="inlineStr">
        <is>
          <t>Validacion</t>
        </is>
      </c>
      <c r="L2" s="30" t="inlineStr">
        <is>
          <t>Estado</t>
        </is>
      </c>
      <c r="M2" s="30" t="inlineStr">
        <is>
          <t>Decision</t>
        </is>
      </c>
      <c r="O2" s="29" t="inlineStr">
        <is>
          <t>Loss_h = w_h × (alpha×L_num + beta×L_trend + gamma×L_risk + delta×L_tol)</t>
        </is>
      </c>
    </row>
    <row r="3" ht="19.5" customHeight="1" s="27">
      <c r="A3" s="35" t="n">
        <v>1</v>
      </c>
      <c r="B3" s="36" t="n">
        <v>0.3</v>
      </c>
      <c r="D3" s="35" t="inlineStr">
        <is>
          <t>alpha</t>
        </is>
      </c>
      <c r="E3" s="36" t="n">
        <v>0.35</v>
      </c>
      <c r="G3" s="37" t="inlineStr">
        <is>
          <t>lineal</t>
        </is>
      </c>
      <c r="H3" s="37" t="inlineStr">
        <is>
          <t>nivel</t>
        </is>
      </c>
      <c r="I3" s="37" t="inlineStr">
        <is>
          <t>original</t>
        </is>
      </c>
      <c r="J3" s="37" t="inlineStr">
        <is>
          <t>todas</t>
        </is>
      </c>
      <c r="K3" s="37" t="inlineStr">
        <is>
          <t>walk-forward</t>
        </is>
      </c>
      <c r="L3" s="37" t="inlineStr">
        <is>
          <t>pendiente</t>
        </is>
      </c>
      <c r="M3" s="37" t="inlineStr">
        <is>
          <t>descartar</t>
        </is>
      </c>
      <c r="O3" s="29" t="inlineStr">
        <is>
          <t>L_total_Radar = Σ Loss_h + eta × L_coh</t>
        </is>
      </c>
    </row>
    <row r="4" ht="19.5" customHeight="1" s="27">
      <c r="A4" s="35" t="n">
        <v>2</v>
      </c>
      <c r="B4" s="36" t="n">
        <v>0.25</v>
      </c>
      <c r="D4" s="35" t="inlineStr">
        <is>
          <t>beta</t>
        </is>
      </c>
      <c r="E4" s="36" t="n">
        <v>0.25</v>
      </c>
      <c r="G4" s="37" t="inlineStr">
        <is>
          <t>robusto</t>
        </is>
      </c>
      <c r="H4" s="37" t="inlineStr">
        <is>
          <t>delta</t>
        </is>
      </c>
      <c r="I4" s="37" t="inlineStr">
        <is>
          <t>estandarizada</t>
        </is>
      </c>
      <c r="J4" s="37" t="inlineStr">
        <is>
          <t>correlacion</t>
        </is>
      </c>
      <c r="K4" s="37" t="inlineStr">
        <is>
          <t>expanding_window</t>
        </is>
      </c>
      <c r="L4" s="37" t="inlineStr">
        <is>
          <t>correr</t>
        </is>
      </c>
      <c r="M4" s="37" t="inlineStr">
        <is>
          <t>contender</t>
        </is>
      </c>
    </row>
    <row r="5" ht="19.5" customHeight="1" s="27">
      <c r="A5" s="35" t="n">
        <v>3</v>
      </c>
      <c r="B5" s="36" t="n">
        <v>0.3</v>
      </c>
      <c r="D5" s="35" t="inlineStr">
        <is>
          <t>gamma</t>
        </is>
      </c>
      <c r="E5" s="36" t="n">
        <v>0.25</v>
      </c>
      <c r="G5" s="37" t="inlineStr">
        <is>
          <t>boosting</t>
        </is>
      </c>
      <c r="H5" s="37" t="inlineStr">
        <is>
          <t>ambos</t>
        </is>
      </c>
      <c r="I5" s="37" t="inlineStr">
        <is>
          <t>log</t>
        </is>
      </c>
      <c r="J5" s="37" t="inlineStr">
        <is>
          <t>lasso</t>
        </is>
      </c>
      <c r="K5" s="37" t="inlineStr">
        <is>
          <t>rolling_window</t>
        </is>
      </c>
      <c r="L5" s="37" t="inlineStr">
        <is>
          <t>corrido</t>
        </is>
      </c>
      <c r="M5" s="37" t="inlineStr">
        <is>
          <t>finalista</t>
        </is>
      </c>
    </row>
    <row r="6" ht="19.5" customHeight="1" s="27">
      <c r="A6" s="35" t="n">
        <v>4</v>
      </c>
      <c r="B6" s="36" t="n">
        <v>0.15</v>
      </c>
      <c r="D6" s="35" t="inlineStr">
        <is>
          <t>delta</t>
        </is>
      </c>
      <c r="E6" s="36" t="n">
        <v>0.1</v>
      </c>
      <c r="G6" s="37" t="inlineStr">
        <is>
          <t>temporal</t>
        </is>
      </c>
      <c r="I6" s="37" t="inlineStr">
        <is>
          <t>robusta</t>
        </is>
      </c>
      <c r="J6" s="37" t="inlineStr">
        <is>
          <t>importancia_arboles</t>
        </is>
      </c>
      <c r="L6" s="37" t="inlineStr">
        <is>
          <t>revisar</t>
        </is>
      </c>
      <c r="M6" s="37" t="inlineStr">
        <is>
          <t>ganador</t>
        </is>
      </c>
    </row>
    <row r="7" ht="19.5" customHeight="1" s="27">
      <c r="D7" s="35" t="inlineStr">
        <is>
          <t>eta</t>
        </is>
      </c>
      <c r="E7" s="36" t="n">
        <v>0.05</v>
      </c>
      <c r="G7" s="37" t="inlineStr">
        <is>
          <t>hibrido</t>
        </is>
      </c>
      <c r="I7" s="37" t="inlineStr">
        <is>
          <t>winsorizada</t>
        </is>
      </c>
    </row>
    <row r="8" ht="19.5" customHeight="1" s="27">
      <c r="G8" s="37" t="inlineStr">
        <is>
          <t>ensemble</t>
        </is>
      </c>
    </row>
    <row r="9" ht="19.5" customHeight="1" s="27"/>
    <row r="10" ht="19.5" customHeight="1" s="27"/>
    <row r="11" ht="19.5" customHeight="1" s="27"/>
    <row r="12" ht="19.5" customHeight="1" s="27"/>
    <row r="13" ht="19.5" customHeight="1" s="27"/>
    <row r="14" ht="19.5" customHeight="1" s="27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4" activeCellId="0" sqref="D14"/>
    </sheetView>
  </sheetViews>
  <sheetFormatPr baseColWidth="8" defaultColWidth="8.54296875" defaultRowHeight="15" zeroHeight="0" outlineLevelRow="0"/>
  <cols>
    <col width="14" customWidth="1" style="38" min="1" max="1"/>
    <col width="12" customWidth="1" style="38" min="2" max="2"/>
    <col width="28" customWidth="1" style="38" min="3" max="3"/>
    <col width="36" customWidth="1" style="38" min="4" max="4"/>
    <col width="28" customWidth="1" style="38" min="5" max="5"/>
    <col width="24" customWidth="1" style="38" min="6" max="6"/>
    <col width="34" customWidth="1" style="38" min="7" max="7"/>
    <col width="8.539999999999999" customWidth="1" style="38" min="8" max="16384"/>
  </cols>
  <sheetData>
    <row r="1" ht="15" customHeight="1" s="27">
      <c r="A1" s="39" t="inlineStr">
        <is>
          <t>Experiment_ID</t>
        </is>
      </c>
      <c r="B1" s="39" t="inlineStr">
        <is>
          <t>Familia</t>
        </is>
      </c>
      <c r="C1" s="39" t="inlineStr">
        <is>
          <t>Modelo_base</t>
        </is>
      </c>
      <c r="D1" s="39" t="inlineStr">
        <is>
          <t>Objetivo</t>
        </is>
      </c>
      <c r="E1" s="39" t="inlineStr">
        <is>
          <t>Variables_base</t>
        </is>
      </c>
      <c r="F1" s="39" t="inlineStr">
        <is>
          <t>Validacion_recomendada</t>
        </is>
      </c>
      <c r="G1" s="39" t="inlineStr">
        <is>
          <t>Notas</t>
        </is>
      </c>
    </row>
    <row r="2" ht="26.5" customHeight="1" s="27">
      <c r="A2" s="40" t="inlineStr">
        <is>
          <t>E1</t>
        </is>
      </c>
      <c r="B2" s="40" t="inlineStr">
        <is>
          <t>lineal</t>
        </is>
      </c>
      <c r="C2" s="40" t="inlineStr">
        <is>
          <t>Ridge / Elastic Net</t>
        </is>
      </c>
      <c r="D2" s="57" t="inlineStr">
        <is>
          <t>Baseline interpretable por horizonte</t>
        </is>
      </c>
      <c r="E2" s="57" t="inlineStr">
        <is>
          <t>Lags del IAD + variables tematicas</t>
        </is>
      </c>
      <c r="F2" s="40" t="inlineStr">
        <is>
          <t>walk-forward</t>
        </is>
      </c>
      <c r="G2" s="57" t="inlineStr">
        <is>
          <t>Buen baseline para señal real e interpretabilidad</t>
        </is>
      </c>
    </row>
    <row r="3" ht="15" customHeight="1" s="27">
      <c r="A3" s="40" t="inlineStr">
        <is>
          <t>E2</t>
        </is>
      </c>
      <c r="B3" s="40" t="inlineStr">
        <is>
          <t>robusto</t>
        </is>
      </c>
      <c r="C3" s="40" t="inlineStr">
        <is>
          <t>Huber Regressor</t>
        </is>
      </c>
      <c r="D3" s="57" t="inlineStr">
        <is>
          <t>Baseline robusto a ruido y outliers</t>
        </is>
      </c>
      <c r="E3" s="57" t="inlineStr">
        <is>
          <t>Lags del IAD + variables tematicas</t>
        </is>
      </c>
      <c r="F3" s="40" t="inlineStr">
        <is>
          <t>walk-forward</t>
        </is>
      </c>
      <c r="G3" s="57" t="inlineStr">
        <is>
          <t>Útil si hay ruido, shocks y colas</t>
        </is>
      </c>
    </row>
    <row r="4" ht="26.5" customHeight="1" s="27">
      <c r="A4" s="40" t="inlineStr">
        <is>
          <t>E3</t>
        </is>
      </c>
      <c r="B4" s="40" t="inlineStr">
        <is>
          <t>boosting</t>
        </is>
      </c>
      <c r="C4" s="40" t="inlineStr">
        <is>
          <t>Random Forest</t>
        </is>
      </c>
      <c r="D4" s="57" t="inlineStr">
        <is>
          <t>Explorar no linealidades básicas</t>
        </is>
      </c>
      <c r="E4" s="57" t="inlineStr">
        <is>
          <t>Variables temporales y tematicas</t>
        </is>
      </c>
      <c r="F4" s="40" t="inlineStr">
        <is>
          <t>walk-forward</t>
        </is>
      </c>
      <c r="G4" s="57" t="inlineStr">
        <is>
          <t>Puede captar interacciones sin mucho tuning</t>
        </is>
      </c>
    </row>
    <row r="5" ht="15" customHeight="1" s="27">
      <c r="A5" s="40" t="inlineStr">
        <is>
          <t>E4</t>
        </is>
      </c>
      <c r="B5" s="40" t="inlineStr">
        <is>
          <t>boosting</t>
        </is>
      </c>
      <c r="C5" s="40" t="inlineStr">
        <is>
          <t>XGBoost / LightGBM</t>
        </is>
      </c>
      <c r="D5" s="57" t="inlineStr">
        <is>
          <t>Candidato fuerte para tabular multi-factor</t>
        </is>
      </c>
      <c r="E5" s="57" t="inlineStr">
        <is>
          <t>Variables temporales y tematicas</t>
        </is>
      </c>
      <c r="F5" s="40" t="inlineStr">
        <is>
          <t>walk-forward</t>
        </is>
      </c>
      <c r="G5" s="57" t="inlineStr">
        <is>
          <t>Muy buen candidato para desempeño</t>
        </is>
      </c>
    </row>
    <row r="6" ht="15" customHeight="1" s="27">
      <c r="A6" s="40" t="inlineStr">
        <is>
          <t>E5</t>
        </is>
      </c>
      <c r="B6" s="40" t="inlineStr">
        <is>
          <t>boosting</t>
        </is>
      </c>
      <c r="C6" s="40" t="inlineStr">
        <is>
          <t>CatBoost</t>
        </is>
      </c>
      <c r="D6" s="57" t="inlineStr">
        <is>
          <t>Comparar boosting con regularización</t>
        </is>
      </c>
      <c r="E6" s="57" t="inlineStr">
        <is>
          <t>Variables mixtas</t>
        </is>
      </c>
      <c r="F6" s="40" t="inlineStr">
        <is>
          <t>walk-forward</t>
        </is>
      </c>
      <c r="G6" s="57" t="inlineStr">
        <is>
          <t>Suele funcionar bien con estructura tabular</t>
        </is>
      </c>
    </row>
    <row r="7" ht="15" customHeight="1" s="27">
      <c r="A7" s="40" t="inlineStr">
        <is>
          <t>E6</t>
        </is>
      </c>
      <c r="B7" s="40" t="inlineStr">
        <is>
          <t>temporal</t>
        </is>
      </c>
      <c r="C7" s="40" t="inlineStr">
        <is>
          <t>ARIMAX / SARIMAX</t>
        </is>
      </c>
      <c r="D7" s="57" t="inlineStr">
        <is>
          <t>Evaluar fuerza de la dinámica temporal</t>
        </is>
      </c>
      <c r="E7" s="57" t="inlineStr">
        <is>
          <t>Serie + regresores digitales</t>
        </is>
      </c>
      <c r="F7" s="40" t="inlineStr">
        <is>
          <t>walk-forward</t>
        </is>
      </c>
      <c r="G7" s="57" t="inlineStr">
        <is>
          <t>Capta bien tendencia/autocorrelación</t>
        </is>
      </c>
    </row>
    <row r="8" ht="15" customHeight="1" s="27">
      <c r="A8" s="40" t="inlineStr">
        <is>
          <t>E7</t>
        </is>
      </c>
      <c r="B8" s="40" t="inlineStr">
        <is>
          <t>temporal</t>
        </is>
      </c>
      <c r="C8" s="40" t="inlineStr">
        <is>
          <t>Prophet + regresores</t>
        </is>
      </c>
      <c r="D8" s="57" t="inlineStr">
        <is>
          <t>Alternativa temporal más flexible</t>
        </is>
      </c>
      <c r="E8" s="57" t="inlineStr">
        <is>
          <t>Serie + regresores</t>
        </is>
      </c>
      <c r="F8" s="40" t="inlineStr">
        <is>
          <t>walk-forward</t>
        </is>
      </c>
      <c r="G8" s="57" t="inlineStr">
        <is>
          <t>Útil como benchmark temporal flexible</t>
        </is>
      </c>
    </row>
    <row r="9" ht="15" customHeight="1" s="27">
      <c r="A9" s="40" t="inlineStr">
        <is>
          <t>E8</t>
        </is>
      </c>
      <c r="B9" s="40" t="inlineStr">
        <is>
          <t>hibrido</t>
        </is>
      </c>
      <c r="C9" s="40" t="inlineStr">
        <is>
          <t>Temporal + boosting residuales</t>
        </is>
      </c>
      <c r="D9" s="57" t="inlineStr">
        <is>
          <t>Captar tendencia base + shocks no lineales</t>
        </is>
      </c>
      <c r="E9" s="57" t="inlineStr">
        <is>
          <t>Temporal + tabular</t>
        </is>
      </c>
      <c r="F9" s="40" t="inlineStr">
        <is>
          <t>walk-forward</t>
        </is>
      </c>
      <c r="G9" s="57" t="inlineStr">
        <is>
          <t>Enfoque híbrido de alto potencial</t>
        </is>
      </c>
    </row>
    <row r="10" ht="26.5" customHeight="1" s="27">
      <c r="A10" s="40" t="inlineStr">
        <is>
          <t>E9</t>
        </is>
      </c>
      <c r="B10" s="40" t="inlineStr">
        <is>
          <t>hibrido</t>
        </is>
      </c>
      <c r="C10" s="40" t="inlineStr">
        <is>
          <t>Stacking lineal + boosting + temporal</t>
        </is>
      </c>
      <c r="D10" s="57" t="inlineStr">
        <is>
          <t>Combinar señales complementarias</t>
        </is>
      </c>
      <c r="E10" s="57" t="inlineStr">
        <is>
          <t>Modelos base complementarios</t>
        </is>
      </c>
      <c r="F10" s="40" t="inlineStr">
        <is>
          <t>walk-forward</t>
        </is>
      </c>
      <c r="G10" s="57" t="inlineStr">
        <is>
          <t>Conviene si hay ganadores distintos por horizonte</t>
        </is>
      </c>
    </row>
    <row r="11" ht="26.5" customHeight="1" s="27">
      <c r="A11" s="40" t="inlineStr">
        <is>
          <t>E10</t>
        </is>
      </c>
      <c r="B11" s="40" t="inlineStr">
        <is>
          <t>ensemble</t>
        </is>
      </c>
      <c r="C11" s="40" t="inlineStr">
        <is>
          <t>Mejor modelo por horizonte + ensemble final</t>
        </is>
      </c>
      <c r="D11" s="57" t="inlineStr">
        <is>
          <t>Maximizar desempeño operativo</t>
        </is>
      </c>
      <c r="E11" s="57" t="inlineStr">
        <is>
          <t>Ganadores por horizonte</t>
        </is>
      </c>
      <c r="F11" s="40" t="inlineStr">
        <is>
          <t>walk-forward</t>
        </is>
      </c>
      <c r="G11" s="57" t="inlineStr">
        <is>
          <t>Cierre natural del banco de modelos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K145"/>
  <sheetViews>
    <sheetView showFormulas="0" showGridLines="1" showRowColHeaders="1" showZeros="1" rightToLeft="0" tabSelected="1" showOutlineSymbols="1" defaultGridColor="1" view="normal" topLeftCell="D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12" customWidth="1" style="26" min="1" max="1"/>
    <col width="14" customWidth="1" style="26" min="2" max="2"/>
    <col width="13" customWidth="1" style="26" min="3" max="3"/>
    <col width="16" customWidth="1" style="26" min="4" max="4"/>
    <col width="28" customWidth="1" style="26" min="5" max="5"/>
    <col width="12" customWidth="1" style="26" min="6" max="7"/>
    <col width="24" customWidth="1" style="26" min="8" max="9"/>
    <col width="16" customWidth="1" style="26" min="10" max="10"/>
    <col width="20" customWidth="1" style="26" min="11" max="11"/>
    <col width="18" customWidth="1" style="26" min="12" max="13"/>
    <col width="24" customWidth="1" style="26" min="14" max="14"/>
    <col width="8" customWidth="1" style="26" min="15" max="19"/>
    <col width="10" customWidth="1" style="26" min="20" max="26"/>
    <col width="16" customWidth="1" style="26" min="27" max="28"/>
    <col width="12" customWidth="1" style="26" min="29" max="29"/>
    <col width="32" customWidth="1" style="26" min="30" max="30"/>
    <col width="24" customWidth="1" style="26" min="31" max="31"/>
    <col width="42" customWidth="1" style="26" min="32" max="32"/>
    <col width="40" customWidth="1" style="26" min="33" max="33"/>
    <col width="42" customWidth="1" style="26" min="34" max="34"/>
    <col width="38" customWidth="1" style="26" min="35" max="36"/>
    <col width="22" customWidth="1" style="26" min="37" max="37"/>
  </cols>
  <sheetData>
    <row r="1" ht="27.7" customFormat="1" customHeight="1" s="38">
      <c r="A1" s="39" t="inlineStr">
        <is>
          <t>Fecha</t>
        </is>
      </c>
      <c r="B1" s="39" t="inlineStr">
        <is>
          <t>Run_ID</t>
        </is>
      </c>
      <c r="C1" s="39" t="inlineStr">
        <is>
          <t>Experiment_ID</t>
        </is>
      </c>
      <c r="D1" s="39" t="inlineStr">
        <is>
          <t>Familia_modelo</t>
        </is>
      </c>
      <c r="E1" s="39" t="inlineStr">
        <is>
          <t>Modelo</t>
        </is>
      </c>
      <c r="F1" s="39" t="inlineStr">
        <is>
          <t>Horizonte_sem</t>
        </is>
      </c>
      <c r="G1" s="39" t="inlineStr">
        <is>
          <t>Target</t>
        </is>
      </c>
      <c r="H1" s="39" t="inlineStr">
        <is>
          <t>Variables_temporales</t>
        </is>
      </c>
      <c r="I1" s="39" t="inlineStr">
        <is>
          <t>Variables_tematicas</t>
        </is>
      </c>
      <c r="J1" s="39" t="inlineStr">
        <is>
          <t>Transformacion</t>
        </is>
      </c>
      <c r="K1" s="39" t="inlineStr">
        <is>
          <t>Seleccion_variables</t>
        </is>
      </c>
      <c r="L1" s="39" t="inlineStr">
        <is>
          <t>Validacion</t>
        </is>
      </c>
      <c r="M1" s="39" t="inlineStr">
        <is>
          <t>Dataset_Periodo</t>
        </is>
      </c>
      <c r="N1" s="39" t="inlineStr">
        <is>
          <t>Notas_config</t>
        </is>
      </c>
      <c r="O1" s="39" t="inlineStr">
        <is>
          <t>alpha</t>
        </is>
      </c>
      <c r="P1" s="39" t="inlineStr">
        <is>
          <t>beta</t>
        </is>
      </c>
      <c r="Q1" s="39" t="inlineStr">
        <is>
          <t>gamma</t>
        </is>
      </c>
      <c r="R1" s="39" t="inlineStr">
        <is>
          <t>delta</t>
        </is>
      </c>
      <c r="S1" s="39" t="inlineStr">
        <is>
          <t>w_h</t>
        </is>
      </c>
      <c r="T1" s="39" t="inlineStr">
        <is>
          <t>L_num</t>
        </is>
      </c>
      <c r="U1" s="39" t="inlineStr">
        <is>
          <t>L_trend</t>
        </is>
      </c>
      <c r="V1" s="39" t="inlineStr">
        <is>
          <t>L_risk</t>
        </is>
      </c>
      <c r="W1" s="39" t="inlineStr">
        <is>
          <t>L_tol</t>
        </is>
      </c>
      <c r="X1" s="39" t="inlineStr">
        <is>
          <t>Loss_h</t>
        </is>
      </c>
      <c r="Y1" s="39" t="inlineStr">
        <is>
          <t>MAE</t>
        </is>
      </c>
      <c r="Z1" s="39" t="inlineStr">
        <is>
          <t>RMSE</t>
        </is>
      </c>
      <c r="AA1" s="39" t="inlineStr">
        <is>
          <t>Direccion_accuracy</t>
        </is>
      </c>
      <c r="AB1" s="39" t="inlineStr">
        <is>
          <t>Deteccion_caidas</t>
        </is>
      </c>
      <c r="AC1" s="39" t="inlineStr">
        <is>
          <t>Estado</t>
        </is>
      </c>
      <c r="AD1" s="39" t="inlineStr">
        <is>
          <t>Comentarios</t>
        </is>
      </c>
      <c r="AE1" s="39" t="inlineStr">
        <is>
          <t>Script_nombre</t>
        </is>
      </c>
      <c r="AF1" s="39" t="inlineStr">
        <is>
          <t>Script_ruta</t>
        </is>
      </c>
      <c r="AG1" s="39" t="inlineStr">
        <is>
          <t>Run_dir</t>
        </is>
      </c>
      <c r="AH1" s="39" t="inlineStr">
        <is>
          <t>Snapshot_script</t>
        </is>
      </c>
      <c r="AI1" s="39" t="inlineStr">
        <is>
          <t>Parametros_ruta_json</t>
        </is>
      </c>
      <c r="AJ1" s="39" t="inlineStr">
        <is>
          <t>Resultados_ruta_json</t>
        </is>
      </c>
      <c r="AK1" s="39" t="inlineStr">
        <is>
          <t>Timestamp_run</t>
        </is>
      </c>
    </row>
    <row r="2" ht="15" customHeight="1" s="27">
      <c r="A2" s="49" t="n"/>
      <c r="B2" s="49" t="inlineStr">
        <is>
          <t>E1_v1</t>
        </is>
      </c>
      <c r="C2" s="50" t="inlineStr">
        <is>
          <t>E1</t>
        </is>
      </c>
      <c r="D2" s="50" t="inlineStr">
        <is>
          <t>lineal</t>
        </is>
      </c>
      <c r="E2" s="50" t="inlineStr">
        <is>
          <t>Ridge / Elastic Net</t>
        </is>
      </c>
      <c r="F2" s="50" t="n">
        <v>1</v>
      </c>
      <c r="G2" s="49" t="n"/>
      <c r="H2" s="50" t="inlineStr">
        <is>
          <t>lags IAD, MA, momentum</t>
        </is>
      </c>
      <c r="I2" s="50" t="inlineStr">
        <is>
          <t>indices tematicos / sentimiento</t>
        </is>
      </c>
      <c r="J2" s="50" t="inlineStr">
        <is>
          <t>original</t>
        </is>
      </c>
      <c r="K2" s="50" t="inlineStr">
        <is>
          <t>todas</t>
        </is>
      </c>
      <c r="L2" s="50" t="inlineStr">
        <is>
          <t>walk-forward</t>
        </is>
      </c>
      <c r="M2" s="49" t="n"/>
      <c r="N2" s="49" t="n"/>
      <c r="O2" s="51">
        <f>CONFIG_REFERENCIA!$E$3</f>
        <v/>
      </c>
      <c r="P2" s="51">
        <f>CONFIG_REFERENCIA!$E$4</f>
        <v/>
      </c>
      <c r="Q2" s="51">
        <f>CONFIG_REFERENCIA!$E$5</f>
        <v/>
      </c>
      <c r="R2" s="51">
        <f>CONFIG_REFERENCIA!$E$6</f>
        <v/>
      </c>
      <c r="S2" s="52">
        <f>IF($F2="","",INDEX(CONFIG_REFERENCIA!$B$3:$B$6,MATCH($F2,CONFIG_REFERENCIA!$A$3:$A$6,0)))</f>
        <v/>
      </c>
      <c r="T2" s="53" t="n"/>
      <c r="U2" s="53" t="n"/>
      <c r="V2" s="53" t="n"/>
      <c r="W2" s="53" t="n"/>
      <c r="X2" s="54">
        <f>IF(COUNTA($T2:$W2)&lt;4,"",$S2*($O2*$T2+$P2*$U2+$Q2*$V2+$R2*$W2))</f>
        <v/>
      </c>
      <c r="Y2" s="53" t="n"/>
      <c r="Z2" s="53" t="n"/>
      <c r="AA2" s="55" t="n"/>
      <c r="AB2" s="55" t="n"/>
      <c r="AC2" s="49" t="inlineStr">
        <is>
          <t>pendiente</t>
        </is>
      </c>
      <c r="AD2" s="49" t="n"/>
      <c r="AE2" s="49" t="n"/>
      <c r="AF2" s="49" t="n"/>
      <c r="AG2" s="49" t="n"/>
      <c r="AH2" s="49" t="n"/>
      <c r="AI2" s="49" t="n"/>
      <c r="AJ2" s="49" t="n"/>
      <c r="AK2" s="49" t="n"/>
    </row>
    <row r="3" ht="15" customHeight="1" s="27">
      <c r="A3" s="49" t="n"/>
      <c r="B3" s="49" t="inlineStr">
        <is>
          <t>E1_v1</t>
        </is>
      </c>
      <c r="C3" s="50" t="inlineStr">
        <is>
          <t>E1</t>
        </is>
      </c>
      <c r="D3" s="50" t="inlineStr">
        <is>
          <t>lineal</t>
        </is>
      </c>
      <c r="E3" s="50" t="inlineStr">
        <is>
          <t>Ridge / Elastic Net</t>
        </is>
      </c>
      <c r="F3" s="50" t="n">
        <v>2</v>
      </c>
      <c r="G3" s="49" t="n"/>
      <c r="H3" s="50" t="inlineStr">
        <is>
          <t>lags IAD, MA, momentum</t>
        </is>
      </c>
      <c r="I3" s="50" t="inlineStr">
        <is>
          <t>indices tematicos / sentimiento</t>
        </is>
      </c>
      <c r="J3" s="50" t="inlineStr">
        <is>
          <t>original</t>
        </is>
      </c>
      <c r="K3" s="50" t="inlineStr">
        <is>
          <t>todas</t>
        </is>
      </c>
      <c r="L3" s="50" t="inlineStr">
        <is>
          <t>walk-forward</t>
        </is>
      </c>
      <c r="M3" s="49" t="n"/>
      <c r="N3" s="49" t="n"/>
      <c r="O3" s="51">
        <f>CONFIG_REFERENCIA!$E$3</f>
        <v/>
      </c>
      <c r="P3" s="51">
        <f>CONFIG_REFERENCIA!$E$4</f>
        <v/>
      </c>
      <c r="Q3" s="51">
        <f>CONFIG_REFERENCIA!$E$5</f>
        <v/>
      </c>
      <c r="R3" s="51">
        <f>CONFIG_REFERENCIA!$E$6</f>
        <v/>
      </c>
      <c r="S3" s="52">
        <f>IF($F3="","",INDEX(CONFIG_REFERENCIA!$B$3:$B$6,MATCH($F3,CONFIG_REFERENCIA!$A$3:$A$6,0)))</f>
        <v/>
      </c>
      <c r="T3" s="53" t="n"/>
      <c r="U3" s="53" t="n"/>
      <c r="V3" s="53" t="n"/>
      <c r="W3" s="53" t="n"/>
      <c r="X3" s="54">
        <f>IF(COUNTA($T3:$W3)&lt;4,"",$S3*($O3*$T3+$P3*$U3+$Q3*$V3+$R3*$W3))</f>
        <v/>
      </c>
      <c r="Y3" s="53" t="n"/>
      <c r="Z3" s="53" t="n"/>
      <c r="AA3" s="55" t="n"/>
      <c r="AB3" s="55" t="n"/>
      <c r="AC3" s="49" t="inlineStr">
        <is>
          <t>pendiente</t>
        </is>
      </c>
      <c r="AD3" s="49" t="n"/>
      <c r="AE3" s="49" t="n"/>
      <c r="AF3" s="49" t="n"/>
      <c r="AG3" s="49" t="n"/>
      <c r="AH3" s="49" t="n"/>
      <c r="AI3" s="49" t="n"/>
      <c r="AJ3" s="49" t="n"/>
      <c r="AK3" s="49" t="n"/>
    </row>
    <row r="4" ht="15" customHeight="1" s="27">
      <c r="A4" s="49" t="n"/>
      <c r="B4" s="49" t="inlineStr">
        <is>
          <t>E1_v1</t>
        </is>
      </c>
      <c r="C4" s="50" t="inlineStr">
        <is>
          <t>E1</t>
        </is>
      </c>
      <c r="D4" s="50" t="inlineStr">
        <is>
          <t>lineal</t>
        </is>
      </c>
      <c r="E4" s="50" t="inlineStr">
        <is>
          <t>Ridge / Elastic Net</t>
        </is>
      </c>
      <c r="F4" s="50" t="n">
        <v>3</v>
      </c>
      <c r="G4" s="49" t="n"/>
      <c r="H4" s="50" t="inlineStr">
        <is>
          <t>lags IAD, MA, momentum</t>
        </is>
      </c>
      <c r="I4" s="50" t="inlineStr">
        <is>
          <t>indices tematicos / sentimiento</t>
        </is>
      </c>
      <c r="J4" s="50" t="inlineStr">
        <is>
          <t>original</t>
        </is>
      </c>
      <c r="K4" s="50" t="inlineStr">
        <is>
          <t>todas</t>
        </is>
      </c>
      <c r="L4" s="50" t="inlineStr">
        <is>
          <t>walk-forward</t>
        </is>
      </c>
      <c r="M4" s="49" t="n"/>
      <c r="N4" s="49" t="n"/>
      <c r="O4" s="51">
        <f>CONFIG_REFERENCIA!$E$3</f>
        <v/>
      </c>
      <c r="P4" s="51">
        <f>CONFIG_REFERENCIA!$E$4</f>
        <v/>
      </c>
      <c r="Q4" s="51">
        <f>CONFIG_REFERENCIA!$E$5</f>
        <v/>
      </c>
      <c r="R4" s="51">
        <f>CONFIG_REFERENCIA!$E$6</f>
        <v/>
      </c>
      <c r="S4" s="52">
        <f>IF($F4="","",INDEX(CONFIG_REFERENCIA!$B$3:$B$6,MATCH($F4,CONFIG_REFERENCIA!$A$3:$A$6,0)))</f>
        <v/>
      </c>
      <c r="T4" s="53" t="n"/>
      <c r="U4" s="53" t="n"/>
      <c r="V4" s="53" t="n"/>
      <c r="W4" s="53" t="n"/>
      <c r="X4" s="54">
        <f>IF(COUNTA($T4:$W4)&lt;4,"",$S4*($O4*$T4+$P4*$U4+$Q4*$V4+$R4*$W4))</f>
        <v/>
      </c>
      <c r="Y4" s="53" t="n"/>
      <c r="Z4" s="53" t="n"/>
      <c r="AA4" s="55" t="n"/>
      <c r="AB4" s="55" t="n"/>
      <c r="AC4" s="49" t="inlineStr">
        <is>
          <t>pendiente</t>
        </is>
      </c>
      <c r="AD4" s="49" t="n"/>
      <c r="AE4" s="49" t="n"/>
      <c r="AF4" s="49" t="n"/>
      <c r="AG4" s="49" t="n"/>
      <c r="AH4" s="49" t="n"/>
      <c r="AI4" s="49" t="n"/>
      <c r="AJ4" s="49" t="n"/>
      <c r="AK4" s="49" t="n"/>
    </row>
    <row r="5" ht="15" customHeight="1" s="27">
      <c r="A5" s="49" t="n"/>
      <c r="B5" s="49" t="inlineStr">
        <is>
          <t>E1_v1</t>
        </is>
      </c>
      <c r="C5" s="50" t="inlineStr">
        <is>
          <t>E1</t>
        </is>
      </c>
      <c r="D5" s="50" t="inlineStr">
        <is>
          <t>lineal</t>
        </is>
      </c>
      <c r="E5" s="50" t="inlineStr">
        <is>
          <t>Ridge / Elastic Net</t>
        </is>
      </c>
      <c r="F5" s="50" t="n">
        <v>4</v>
      </c>
      <c r="G5" s="49" t="n"/>
      <c r="H5" s="50" t="inlineStr">
        <is>
          <t>lags IAD, MA, momentum</t>
        </is>
      </c>
      <c r="I5" s="50" t="inlineStr">
        <is>
          <t>indices tematicos / sentimiento</t>
        </is>
      </c>
      <c r="J5" s="50" t="inlineStr">
        <is>
          <t>original</t>
        </is>
      </c>
      <c r="K5" s="50" t="inlineStr">
        <is>
          <t>todas</t>
        </is>
      </c>
      <c r="L5" s="50" t="inlineStr">
        <is>
          <t>walk-forward</t>
        </is>
      </c>
      <c r="M5" s="49" t="n"/>
      <c r="N5" s="49" t="n"/>
      <c r="O5" s="51">
        <f>CONFIG_REFERENCIA!$E$3</f>
        <v/>
      </c>
      <c r="P5" s="51">
        <f>CONFIG_REFERENCIA!$E$4</f>
        <v/>
      </c>
      <c r="Q5" s="51">
        <f>CONFIG_REFERENCIA!$E$5</f>
        <v/>
      </c>
      <c r="R5" s="51">
        <f>CONFIG_REFERENCIA!$E$6</f>
        <v/>
      </c>
      <c r="S5" s="52">
        <f>IF($F5="","",INDEX(CONFIG_REFERENCIA!$B$3:$B$6,MATCH($F5,CONFIG_REFERENCIA!$A$3:$A$6,0)))</f>
        <v/>
      </c>
      <c r="T5" s="53" t="n"/>
      <c r="U5" s="53" t="n"/>
      <c r="V5" s="53" t="n"/>
      <c r="W5" s="53" t="n"/>
      <c r="X5" s="54">
        <f>IF(COUNTA($T5:$W5)&lt;4,"",$S5*($O5*$T5+$P5*$U5+$Q5*$V5+$R5*$W5))</f>
        <v/>
      </c>
      <c r="Y5" s="53" t="n"/>
      <c r="Z5" s="53" t="n"/>
      <c r="AA5" s="55" t="n"/>
      <c r="AB5" s="55" t="n"/>
      <c r="AC5" s="49" t="inlineStr">
        <is>
          <t>pendiente</t>
        </is>
      </c>
      <c r="AD5" s="49" t="n"/>
      <c r="AE5" s="49" t="n"/>
      <c r="AF5" s="49" t="n"/>
      <c r="AG5" s="49" t="n"/>
      <c r="AH5" s="49" t="n"/>
      <c r="AI5" s="49" t="n"/>
      <c r="AJ5" s="49" t="n"/>
      <c r="AK5" s="49" t="n"/>
    </row>
    <row r="6" ht="15" customHeight="1" s="27">
      <c r="A6" s="49" t="n"/>
      <c r="B6" s="49" t="inlineStr">
        <is>
          <t>E2_v1</t>
        </is>
      </c>
      <c r="C6" s="50" t="inlineStr">
        <is>
          <t>E2</t>
        </is>
      </c>
      <c r="D6" s="50" t="inlineStr">
        <is>
          <t>robusto</t>
        </is>
      </c>
      <c r="E6" s="50" t="inlineStr">
        <is>
          <t>Huber Regressor</t>
        </is>
      </c>
      <c r="F6" s="50" t="n">
        <v>1</v>
      </c>
      <c r="G6" s="49" t="n"/>
      <c r="H6" s="50" t="inlineStr">
        <is>
          <t>lags IAD, MA, momentum</t>
        </is>
      </c>
      <c r="I6" s="50" t="inlineStr">
        <is>
          <t>indices tematicos / sentimiento</t>
        </is>
      </c>
      <c r="J6" s="50" t="inlineStr">
        <is>
          <t>robusta</t>
        </is>
      </c>
      <c r="K6" s="50" t="inlineStr">
        <is>
          <t>todas</t>
        </is>
      </c>
      <c r="L6" s="50" t="inlineStr">
        <is>
          <t>walk-forward</t>
        </is>
      </c>
      <c r="M6" s="49" t="n"/>
      <c r="N6" s="49" t="n"/>
      <c r="O6" s="51">
        <f>CONFIG_REFERENCIA!$E$3</f>
        <v/>
      </c>
      <c r="P6" s="51">
        <f>CONFIG_REFERENCIA!$E$4</f>
        <v/>
      </c>
      <c r="Q6" s="51">
        <f>CONFIG_REFERENCIA!$E$5</f>
        <v/>
      </c>
      <c r="R6" s="51">
        <f>CONFIG_REFERENCIA!$E$6</f>
        <v/>
      </c>
      <c r="S6" s="52">
        <f>IF($F6="","",INDEX(CONFIG_REFERENCIA!$B$3:$B$6,MATCH($F6,CONFIG_REFERENCIA!$A$3:$A$6,0)))</f>
        <v/>
      </c>
      <c r="T6" s="53" t="n"/>
      <c r="U6" s="53" t="n"/>
      <c r="V6" s="53" t="n"/>
      <c r="W6" s="53" t="n"/>
      <c r="X6" s="54">
        <f>IF(COUNTA($T6:$W6)&lt;4,"",$S6*($O6*$T6+$P6*$U6+$Q6*$V6+$R6*$W6))</f>
        <v/>
      </c>
      <c r="Y6" s="53" t="n"/>
      <c r="Z6" s="53" t="n"/>
      <c r="AA6" s="55" t="n"/>
      <c r="AB6" s="55" t="n"/>
      <c r="AC6" s="49" t="inlineStr">
        <is>
          <t>pendiente</t>
        </is>
      </c>
      <c r="AD6" s="49" t="n"/>
      <c r="AE6" s="49" t="n"/>
      <c r="AF6" s="49" t="n"/>
      <c r="AG6" s="49" t="n"/>
      <c r="AH6" s="49" t="n"/>
      <c r="AI6" s="49" t="n"/>
      <c r="AJ6" s="49" t="n"/>
      <c r="AK6" s="49" t="n"/>
    </row>
    <row r="7" ht="15" customHeight="1" s="27">
      <c r="A7" s="49" t="n"/>
      <c r="B7" s="49" t="inlineStr">
        <is>
          <t>E2_v1</t>
        </is>
      </c>
      <c r="C7" s="50" t="inlineStr">
        <is>
          <t>E2</t>
        </is>
      </c>
      <c r="D7" s="50" t="inlineStr">
        <is>
          <t>robusto</t>
        </is>
      </c>
      <c r="E7" s="50" t="inlineStr">
        <is>
          <t>Huber Regressor</t>
        </is>
      </c>
      <c r="F7" s="50" t="n">
        <v>2</v>
      </c>
      <c r="G7" s="49" t="n"/>
      <c r="H7" s="50" t="inlineStr">
        <is>
          <t>lags IAD, MA, momentum</t>
        </is>
      </c>
      <c r="I7" s="50" t="inlineStr">
        <is>
          <t>indices tematicos / sentimiento</t>
        </is>
      </c>
      <c r="J7" s="50" t="inlineStr">
        <is>
          <t>robusta</t>
        </is>
      </c>
      <c r="K7" s="50" t="inlineStr">
        <is>
          <t>todas</t>
        </is>
      </c>
      <c r="L7" s="50" t="inlineStr">
        <is>
          <t>walk-forward</t>
        </is>
      </c>
      <c r="M7" s="49" t="n"/>
      <c r="N7" s="49" t="n"/>
      <c r="O7" s="51">
        <f>CONFIG_REFERENCIA!$E$3</f>
        <v/>
      </c>
      <c r="P7" s="51">
        <f>CONFIG_REFERENCIA!$E$4</f>
        <v/>
      </c>
      <c r="Q7" s="51">
        <f>CONFIG_REFERENCIA!$E$5</f>
        <v/>
      </c>
      <c r="R7" s="51">
        <f>CONFIG_REFERENCIA!$E$6</f>
        <v/>
      </c>
      <c r="S7" s="52">
        <f>IF($F7="","",INDEX(CONFIG_REFERENCIA!$B$3:$B$6,MATCH($F7,CONFIG_REFERENCIA!$A$3:$A$6,0)))</f>
        <v/>
      </c>
      <c r="T7" s="53" t="n"/>
      <c r="U7" s="53" t="n"/>
      <c r="V7" s="53" t="n"/>
      <c r="W7" s="53" t="n"/>
      <c r="X7" s="54">
        <f>IF(COUNTA($T7:$W7)&lt;4,"",$S7*($O7*$T7+$P7*$U7+$Q7*$V7+$R7*$W7))</f>
        <v/>
      </c>
      <c r="Y7" s="53" t="n"/>
      <c r="Z7" s="53" t="n"/>
      <c r="AA7" s="55" t="n"/>
      <c r="AB7" s="55" t="n"/>
      <c r="AC7" s="49" t="inlineStr">
        <is>
          <t>pendiente</t>
        </is>
      </c>
      <c r="AD7" s="49" t="n"/>
      <c r="AE7" s="49" t="n"/>
      <c r="AF7" s="49" t="n"/>
      <c r="AG7" s="49" t="n"/>
      <c r="AH7" s="49" t="n"/>
      <c r="AI7" s="49" t="n"/>
      <c r="AJ7" s="49" t="n"/>
      <c r="AK7" s="49" t="n"/>
    </row>
    <row r="8" ht="15" customHeight="1" s="27">
      <c r="A8" s="49" t="n"/>
      <c r="B8" s="49" t="inlineStr">
        <is>
          <t>E2_v1</t>
        </is>
      </c>
      <c r="C8" s="50" t="inlineStr">
        <is>
          <t>E2</t>
        </is>
      </c>
      <c r="D8" s="50" t="inlineStr">
        <is>
          <t>robusto</t>
        </is>
      </c>
      <c r="E8" s="50" t="inlineStr">
        <is>
          <t>Huber Regressor</t>
        </is>
      </c>
      <c r="F8" s="50" t="n">
        <v>3</v>
      </c>
      <c r="G8" s="49" t="n"/>
      <c r="H8" s="50" t="inlineStr">
        <is>
          <t>lags IAD, MA, momentum</t>
        </is>
      </c>
      <c r="I8" s="50" t="inlineStr">
        <is>
          <t>indices tematicos / sentimiento</t>
        </is>
      </c>
      <c r="J8" s="50" t="inlineStr">
        <is>
          <t>robusta</t>
        </is>
      </c>
      <c r="K8" s="50" t="inlineStr">
        <is>
          <t>todas</t>
        </is>
      </c>
      <c r="L8" s="50" t="inlineStr">
        <is>
          <t>walk-forward</t>
        </is>
      </c>
      <c r="M8" s="49" t="n"/>
      <c r="N8" s="49" t="n"/>
      <c r="O8" s="51">
        <f>CONFIG_REFERENCIA!$E$3</f>
        <v/>
      </c>
      <c r="P8" s="51">
        <f>CONFIG_REFERENCIA!$E$4</f>
        <v/>
      </c>
      <c r="Q8" s="51">
        <f>CONFIG_REFERENCIA!$E$5</f>
        <v/>
      </c>
      <c r="R8" s="51">
        <f>CONFIG_REFERENCIA!$E$6</f>
        <v/>
      </c>
      <c r="S8" s="52">
        <f>IF($F8="","",INDEX(CONFIG_REFERENCIA!$B$3:$B$6,MATCH($F8,CONFIG_REFERENCIA!$A$3:$A$6,0)))</f>
        <v/>
      </c>
      <c r="T8" s="53" t="n"/>
      <c r="U8" s="53" t="n"/>
      <c r="V8" s="53" t="n"/>
      <c r="W8" s="53" t="n"/>
      <c r="X8" s="54">
        <f>IF(COUNTA($T8:$W8)&lt;4,"",$S8*($O8*$T8+$P8*$U8+$Q8*$V8+$R8*$W8))</f>
        <v/>
      </c>
      <c r="Y8" s="53" t="n"/>
      <c r="Z8" s="53" t="n"/>
      <c r="AA8" s="55" t="n"/>
      <c r="AB8" s="55" t="n"/>
      <c r="AC8" s="49" t="inlineStr">
        <is>
          <t>pendiente</t>
        </is>
      </c>
      <c r="AD8" s="49" t="n"/>
      <c r="AE8" s="49" t="n"/>
      <c r="AF8" s="49" t="n"/>
      <c r="AG8" s="49" t="n"/>
      <c r="AH8" s="49" t="n"/>
      <c r="AI8" s="49" t="n"/>
      <c r="AJ8" s="49" t="n"/>
      <c r="AK8" s="49" t="n"/>
    </row>
    <row r="9" ht="15" customHeight="1" s="27">
      <c r="A9" s="49" t="n"/>
      <c r="B9" s="49" t="inlineStr">
        <is>
          <t>E2_v1</t>
        </is>
      </c>
      <c r="C9" s="50" t="inlineStr">
        <is>
          <t>E2</t>
        </is>
      </c>
      <c r="D9" s="50" t="inlineStr">
        <is>
          <t>robusto</t>
        </is>
      </c>
      <c r="E9" s="50" t="inlineStr">
        <is>
          <t>Huber Regressor</t>
        </is>
      </c>
      <c r="F9" s="50" t="n">
        <v>4</v>
      </c>
      <c r="G9" s="49" t="n"/>
      <c r="H9" s="50" t="inlineStr">
        <is>
          <t>lags IAD, MA, momentum</t>
        </is>
      </c>
      <c r="I9" s="50" t="inlineStr">
        <is>
          <t>indices tematicos / sentimiento</t>
        </is>
      </c>
      <c r="J9" s="50" t="inlineStr">
        <is>
          <t>robusta</t>
        </is>
      </c>
      <c r="K9" s="50" t="inlineStr">
        <is>
          <t>todas</t>
        </is>
      </c>
      <c r="L9" s="50" t="inlineStr">
        <is>
          <t>walk-forward</t>
        </is>
      </c>
      <c r="M9" s="49" t="n"/>
      <c r="N9" s="49" t="n"/>
      <c r="O9" s="51">
        <f>CONFIG_REFERENCIA!$E$3</f>
        <v/>
      </c>
      <c r="P9" s="51">
        <f>CONFIG_REFERENCIA!$E$4</f>
        <v/>
      </c>
      <c r="Q9" s="51">
        <f>CONFIG_REFERENCIA!$E$5</f>
        <v/>
      </c>
      <c r="R9" s="51">
        <f>CONFIG_REFERENCIA!$E$6</f>
        <v/>
      </c>
      <c r="S9" s="52">
        <f>IF($F9="","",INDEX(CONFIG_REFERENCIA!$B$3:$B$6,MATCH($F9,CONFIG_REFERENCIA!$A$3:$A$6,0)))</f>
        <v/>
      </c>
      <c r="T9" s="53" t="n"/>
      <c r="U9" s="53" t="n"/>
      <c r="V9" s="53" t="n"/>
      <c r="W9" s="53" t="n"/>
      <c r="X9" s="54">
        <f>IF(COUNTA($T9:$W9)&lt;4,"",$S9*($O9*$T9+$P9*$U9+$Q9*$V9+$R9*$W9))</f>
        <v/>
      </c>
      <c r="Y9" s="53" t="n"/>
      <c r="Z9" s="53" t="n"/>
      <c r="AA9" s="55" t="n"/>
      <c r="AB9" s="55" t="n"/>
      <c r="AC9" s="49" t="inlineStr">
        <is>
          <t>pendiente</t>
        </is>
      </c>
      <c r="AD9" s="49" t="n"/>
      <c r="AE9" s="49" t="n"/>
      <c r="AF9" s="49" t="n"/>
      <c r="AG9" s="49" t="n"/>
      <c r="AH9" s="49" t="n"/>
      <c r="AI9" s="49" t="n"/>
      <c r="AJ9" s="49" t="n"/>
      <c r="AK9" s="49" t="n"/>
    </row>
    <row r="10" ht="15" customHeight="1" s="27">
      <c r="A10" s="49" t="n"/>
      <c r="B10" s="49" t="inlineStr">
        <is>
          <t>E3_v1</t>
        </is>
      </c>
      <c r="C10" s="50" t="inlineStr">
        <is>
          <t>E3</t>
        </is>
      </c>
      <c r="D10" s="50" t="inlineStr">
        <is>
          <t>boosting</t>
        </is>
      </c>
      <c r="E10" s="50" t="inlineStr">
        <is>
          <t>Random Forest</t>
        </is>
      </c>
      <c r="F10" s="50" t="n">
        <v>1</v>
      </c>
      <c r="G10" s="49" t="n"/>
      <c r="H10" s="50" t="inlineStr">
        <is>
          <t>lags, MA, volatilidad</t>
        </is>
      </c>
      <c r="I10" s="50" t="inlineStr">
        <is>
          <t>variables tematicas</t>
        </is>
      </c>
      <c r="J10" s="50" t="inlineStr">
        <is>
          <t>original</t>
        </is>
      </c>
      <c r="K10" s="50" t="inlineStr">
        <is>
          <t>importancia_arboles</t>
        </is>
      </c>
      <c r="L10" s="50" t="inlineStr">
        <is>
          <t>walk-forward</t>
        </is>
      </c>
      <c r="M10" s="49" t="n"/>
      <c r="N10" s="49" t="n"/>
      <c r="O10" s="51">
        <f>CONFIG_REFERENCIA!$E$3</f>
        <v/>
      </c>
      <c r="P10" s="51">
        <f>CONFIG_REFERENCIA!$E$4</f>
        <v/>
      </c>
      <c r="Q10" s="51">
        <f>CONFIG_REFERENCIA!$E$5</f>
        <v/>
      </c>
      <c r="R10" s="51">
        <f>CONFIG_REFERENCIA!$E$6</f>
        <v/>
      </c>
      <c r="S10" s="52">
        <f>IF($F10="","",INDEX(CONFIG_REFERENCIA!$B$3:$B$6,MATCH($F10,CONFIG_REFERENCIA!$A$3:$A$6,0)))</f>
        <v/>
      </c>
      <c r="T10" s="53" t="n"/>
      <c r="U10" s="53" t="n"/>
      <c r="V10" s="53" t="n"/>
      <c r="W10" s="53" t="n"/>
      <c r="X10" s="54">
        <f>IF(COUNTA($T10:$W10)&lt;4,"",$S10*($O10*$T10+$P10*$U10+$Q10*$V10+$R10*$W10))</f>
        <v/>
      </c>
      <c r="Y10" s="53" t="n"/>
      <c r="Z10" s="53" t="n"/>
      <c r="AA10" s="55" t="n"/>
      <c r="AB10" s="55" t="n"/>
      <c r="AC10" s="49" t="inlineStr">
        <is>
          <t>pendiente</t>
        </is>
      </c>
      <c r="AD10" s="49" t="n"/>
      <c r="AE10" s="49" t="n"/>
      <c r="AF10" s="49" t="n"/>
      <c r="AG10" s="49" t="n"/>
      <c r="AH10" s="49" t="n"/>
      <c r="AI10" s="49" t="n"/>
      <c r="AJ10" s="49" t="n"/>
      <c r="AK10" s="49" t="n"/>
    </row>
    <row r="11" ht="15" customHeight="1" s="27">
      <c r="A11" s="49" t="n"/>
      <c r="B11" s="49" t="inlineStr">
        <is>
          <t>E3_v1</t>
        </is>
      </c>
      <c r="C11" s="50" t="inlineStr">
        <is>
          <t>E3</t>
        </is>
      </c>
      <c r="D11" s="50" t="inlineStr">
        <is>
          <t>boosting</t>
        </is>
      </c>
      <c r="E11" s="50" t="inlineStr">
        <is>
          <t>Random Forest</t>
        </is>
      </c>
      <c r="F11" s="50" t="n">
        <v>2</v>
      </c>
      <c r="G11" s="49" t="n"/>
      <c r="H11" s="50" t="inlineStr">
        <is>
          <t>lags, MA, volatilidad</t>
        </is>
      </c>
      <c r="I11" s="50" t="inlineStr">
        <is>
          <t>variables tematicas</t>
        </is>
      </c>
      <c r="J11" s="50" t="inlineStr">
        <is>
          <t>original</t>
        </is>
      </c>
      <c r="K11" s="50" t="inlineStr">
        <is>
          <t>importancia_arboles</t>
        </is>
      </c>
      <c r="L11" s="50" t="inlineStr">
        <is>
          <t>walk-forward</t>
        </is>
      </c>
      <c r="M11" s="49" t="n"/>
      <c r="N11" s="49" t="n"/>
      <c r="O11" s="51">
        <f>CONFIG_REFERENCIA!$E$3</f>
        <v/>
      </c>
      <c r="P11" s="51">
        <f>CONFIG_REFERENCIA!$E$4</f>
        <v/>
      </c>
      <c r="Q11" s="51">
        <f>CONFIG_REFERENCIA!$E$5</f>
        <v/>
      </c>
      <c r="R11" s="51">
        <f>CONFIG_REFERENCIA!$E$6</f>
        <v/>
      </c>
      <c r="S11" s="52">
        <f>IF($F11="","",INDEX(CONFIG_REFERENCIA!$B$3:$B$6,MATCH($F11,CONFIG_REFERENCIA!$A$3:$A$6,0)))</f>
        <v/>
      </c>
      <c r="T11" s="53" t="n"/>
      <c r="U11" s="53" t="n"/>
      <c r="V11" s="53" t="n"/>
      <c r="W11" s="53" t="n"/>
      <c r="X11" s="54">
        <f>IF(COUNTA($T11:$W11)&lt;4,"",$S11*($O11*$T11+$P11*$U11+$Q11*$V11+$R11*$W11))</f>
        <v/>
      </c>
      <c r="Y11" s="53" t="n"/>
      <c r="Z11" s="53" t="n"/>
      <c r="AA11" s="55" t="n"/>
      <c r="AB11" s="55" t="n"/>
      <c r="AC11" s="49" t="inlineStr">
        <is>
          <t>pendiente</t>
        </is>
      </c>
      <c r="AD11" s="49" t="n"/>
      <c r="AE11" s="49" t="n"/>
      <c r="AF11" s="49" t="n"/>
      <c r="AG11" s="49" t="n"/>
      <c r="AH11" s="49" t="n"/>
      <c r="AI11" s="49" t="n"/>
      <c r="AJ11" s="49" t="n"/>
      <c r="AK11" s="49" t="n"/>
    </row>
    <row r="12" ht="15" customHeight="1" s="27">
      <c r="A12" s="49" t="n"/>
      <c r="B12" s="49" t="inlineStr">
        <is>
          <t>E3_v1</t>
        </is>
      </c>
      <c r="C12" s="50" t="inlineStr">
        <is>
          <t>E3</t>
        </is>
      </c>
      <c r="D12" s="50" t="inlineStr">
        <is>
          <t>boosting</t>
        </is>
      </c>
      <c r="E12" s="50" t="inlineStr">
        <is>
          <t>Random Forest</t>
        </is>
      </c>
      <c r="F12" s="50" t="n">
        <v>3</v>
      </c>
      <c r="G12" s="49" t="n"/>
      <c r="H12" s="50" t="inlineStr">
        <is>
          <t>lags, MA, volatilidad</t>
        </is>
      </c>
      <c r="I12" s="50" t="inlineStr">
        <is>
          <t>variables tematicas</t>
        </is>
      </c>
      <c r="J12" s="50" t="inlineStr">
        <is>
          <t>original</t>
        </is>
      </c>
      <c r="K12" s="50" t="inlineStr">
        <is>
          <t>importancia_arboles</t>
        </is>
      </c>
      <c r="L12" s="50" t="inlineStr">
        <is>
          <t>walk-forward</t>
        </is>
      </c>
      <c r="M12" s="49" t="n"/>
      <c r="N12" s="49" t="n"/>
      <c r="O12" s="51">
        <f>CONFIG_REFERENCIA!$E$3</f>
        <v/>
      </c>
      <c r="P12" s="51">
        <f>CONFIG_REFERENCIA!$E$4</f>
        <v/>
      </c>
      <c r="Q12" s="51">
        <f>CONFIG_REFERENCIA!$E$5</f>
        <v/>
      </c>
      <c r="R12" s="51">
        <f>CONFIG_REFERENCIA!$E$6</f>
        <v/>
      </c>
      <c r="S12" s="52">
        <f>IF($F12="","",INDEX(CONFIG_REFERENCIA!$B$3:$B$6,MATCH($F12,CONFIG_REFERENCIA!$A$3:$A$6,0)))</f>
        <v/>
      </c>
      <c r="T12" s="53" t="n"/>
      <c r="U12" s="53" t="n"/>
      <c r="V12" s="53" t="n"/>
      <c r="W12" s="53" t="n"/>
      <c r="X12" s="54">
        <f>IF(COUNTA($T12:$W12)&lt;4,"",$S12*($O12*$T12+$P12*$U12+$Q12*$V12+$R12*$W12))</f>
        <v/>
      </c>
      <c r="Y12" s="53" t="n"/>
      <c r="Z12" s="53" t="n"/>
      <c r="AA12" s="55" t="n"/>
      <c r="AB12" s="55" t="n"/>
      <c r="AC12" s="49" t="inlineStr">
        <is>
          <t>pendiente</t>
        </is>
      </c>
      <c r="AD12" s="49" t="n"/>
      <c r="AE12" s="49" t="n"/>
      <c r="AF12" s="49" t="n"/>
      <c r="AG12" s="49" t="n"/>
      <c r="AH12" s="49" t="n"/>
      <c r="AI12" s="49" t="n"/>
      <c r="AJ12" s="49" t="n"/>
      <c r="AK12" s="49" t="n"/>
    </row>
    <row r="13" ht="15" customHeight="1" s="27">
      <c r="A13" s="49" t="n"/>
      <c r="B13" s="49" t="inlineStr">
        <is>
          <t>E3_v1</t>
        </is>
      </c>
      <c r="C13" s="50" t="inlineStr">
        <is>
          <t>E3</t>
        </is>
      </c>
      <c r="D13" s="50" t="inlineStr">
        <is>
          <t>boosting</t>
        </is>
      </c>
      <c r="E13" s="50" t="inlineStr">
        <is>
          <t>Random Forest</t>
        </is>
      </c>
      <c r="F13" s="50" t="n">
        <v>4</v>
      </c>
      <c r="G13" s="49" t="n"/>
      <c r="H13" s="50" t="inlineStr">
        <is>
          <t>lags, MA, volatilidad</t>
        </is>
      </c>
      <c r="I13" s="50" t="inlineStr">
        <is>
          <t>variables tematicas</t>
        </is>
      </c>
      <c r="J13" s="50" t="inlineStr">
        <is>
          <t>original</t>
        </is>
      </c>
      <c r="K13" s="50" t="inlineStr">
        <is>
          <t>importancia_arboles</t>
        </is>
      </c>
      <c r="L13" s="50" t="inlineStr">
        <is>
          <t>walk-forward</t>
        </is>
      </c>
      <c r="M13" s="49" t="n"/>
      <c r="N13" s="49" t="n"/>
      <c r="O13" s="51">
        <f>CONFIG_REFERENCIA!$E$3</f>
        <v/>
      </c>
      <c r="P13" s="51">
        <f>CONFIG_REFERENCIA!$E$4</f>
        <v/>
      </c>
      <c r="Q13" s="51">
        <f>CONFIG_REFERENCIA!$E$5</f>
        <v/>
      </c>
      <c r="R13" s="51">
        <f>CONFIG_REFERENCIA!$E$6</f>
        <v/>
      </c>
      <c r="S13" s="52">
        <f>IF($F13="","",INDEX(CONFIG_REFERENCIA!$B$3:$B$6,MATCH($F13,CONFIG_REFERENCIA!$A$3:$A$6,0)))</f>
        <v/>
      </c>
      <c r="T13" s="53" t="n"/>
      <c r="U13" s="53" t="n"/>
      <c r="V13" s="53" t="n"/>
      <c r="W13" s="53" t="n"/>
      <c r="X13" s="54">
        <f>IF(COUNTA($T13:$W13)&lt;4,"",$S13*($O13*$T13+$P13*$U13+$Q13*$V13+$R13*$W13))</f>
        <v/>
      </c>
      <c r="Y13" s="53" t="n"/>
      <c r="Z13" s="53" t="n"/>
      <c r="AA13" s="55" t="n"/>
      <c r="AB13" s="55" t="n"/>
      <c r="AC13" s="49" t="inlineStr">
        <is>
          <t>pendiente</t>
        </is>
      </c>
      <c r="AD13" s="49" t="n"/>
      <c r="AE13" s="49" t="n"/>
      <c r="AF13" s="49" t="n"/>
      <c r="AG13" s="49" t="n"/>
      <c r="AH13" s="49" t="n"/>
      <c r="AI13" s="49" t="n"/>
      <c r="AJ13" s="49" t="n"/>
      <c r="AK13" s="49" t="n"/>
    </row>
    <row r="14" ht="15" customHeight="1" s="27">
      <c r="A14" s="49" t="n"/>
      <c r="B14" s="49" t="inlineStr">
        <is>
          <t>E4_v1</t>
        </is>
      </c>
      <c r="C14" s="50" t="inlineStr">
        <is>
          <t>E4</t>
        </is>
      </c>
      <c r="D14" s="50" t="inlineStr">
        <is>
          <t>boosting</t>
        </is>
      </c>
      <c r="E14" s="50" t="inlineStr">
        <is>
          <t>XGBoost / LightGBM</t>
        </is>
      </c>
      <c r="F14" s="50" t="n">
        <v>1</v>
      </c>
      <c r="G14" s="49" t="n"/>
      <c r="H14" s="50" t="inlineStr">
        <is>
          <t>lags, MA, volatilidad</t>
        </is>
      </c>
      <c r="I14" s="50" t="inlineStr">
        <is>
          <t>variables tematicas</t>
        </is>
      </c>
      <c r="J14" s="50" t="inlineStr">
        <is>
          <t>original</t>
        </is>
      </c>
      <c r="K14" s="50" t="inlineStr">
        <is>
          <t>importancia_arboles</t>
        </is>
      </c>
      <c r="L14" s="50" t="inlineStr">
        <is>
          <t>walk-forward</t>
        </is>
      </c>
      <c r="M14" s="49" t="n"/>
      <c r="N14" s="49" t="n"/>
      <c r="O14" s="51">
        <f>CONFIG_REFERENCIA!$E$3</f>
        <v/>
      </c>
      <c r="P14" s="51">
        <f>CONFIG_REFERENCIA!$E$4</f>
        <v/>
      </c>
      <c r="Q14" s="51">
        <f>CONFIG_REFERENCIA!$E$5</f>
        <v/>
      </c>
      <c r="R14" s="51">
        <f>CONFIG_REFERENCIA!$E$6</f>
        <v/>
      </c>
      <c r="S14" s="52">
        <f>IF($F14="","",INDEX(CONFIG_REFERENCIA!$B$3:$B$6,MATCH($F14,CONFIG_REFERENCIA!$A$3:$A$6,0)))</f>
        <v/>
      </c>
      <c r="T14" s="53" t="n"/>
      <c r="U14" s="53" t="n"/>
      <c r="V14" s="53" t="n"/>
      <c r="W14" s="53" t="n"/>
      <c r="X14" s="54">
        <f>IF(COUNTA($T14:$W14)&lt;4,"",$S14*($O14*$T14+$P14*$U14+$Q14*$V14+$R14*$W14))</f>
        <v/>
      </c>
      <c r="Y14" s="53" t="n"/>
      <c r="Z14" s="53" t="n"/>
      <c r="AA14" s="55" t="n"/>
      <c r="AB14" s="55" t="n"/>
      <c r="AC14" s="49" t="inlineStr">
        <is>
          <t>pendiente</t>
        </is>
      </c>
      <c r="AD14" s="49" t="n"/>
      <c r="AE14" s="49" t="n"/>
      <c r="AF14" s="49" t="n"/>
      <c r="AG14" s="49" t="n"/>
      <c r="AH14" s="49" t="n"/>
      <c r="AI14" s="49" t="n"/>
      <c r="AJ14" s="49" t="n"/>
      <c r="AK14" s="49" t="n"/>
    </row>
    <row r="15" ht="15" customHeight="1" s="27">
      <c r="A15" s="49" t="n"/>
      <c r="B15" s="49" t="inlineStr">
        <is>
          <t>E4_v1</t>
        </is>
      </c>
      <c r="C15" s="50" t="inlineStr">
        <is>
          <t>E4</t>
        </is>
      </c>
      <c r="D15" s="50" t="inlineStr">
        <is>
          <t>boosting</t>
        </is>
      </c>
      <c r="E15" s="50" t="inlineStr">
        <is>
          <t>XGBoost / LightGBM</t>
        </is>
      </c>
      <c r="F15" s="50" t="n">
        <v>2</v>
      </c>
      <c r="G15" s="49" t="n"/>
      <c r="H15" s="50" t="inlineStr">
        <is>
          <t>lags, MA, volatilidad</t>
        </is>
      </c>
      <c r="I15" s="50" t="inlineStr">
        <is>
          <t>variables tematicas</t>
        </is>
      </c>
      <c r="J15" s="50" t="inlineStr">
        <is>
          <t>original</t>
        </is>
      </c>
      <c r="K15" s="50" t="inlineStr">
        <is>
          <t>importancia_arboles</t>
        </is>
      </c>
      <c r="L15" s="50" t="inlineStr">
        <is>
          <t>walk-forward</t>
        </is>
      </c>
      <c r="M15" s="49" t="n"/>
      <c r="N15" s="49" t="n"/>
      <c r="O15" s="51">
        <f>CONFIG_REFERENCIA!$E$3</f>
        <v/>
      </c>
      <c r="P15" s="51">
        <f>CONFIG_REFERENCIA!$E$4</f>
        <v/>
      </c>
      <c r="Q15" s="51">
        <f>CONFIG_REFERENCIA!$E$5</f>
        <v/>
      </c>
      <c r="R15" s="51">
        <f>CONFIG_REFERENCIA!$E$6</f>
        <v/>
      </c>
      <c r="S15" s="52">
        <f>IF($F15="","",INDEX(CONFIG_REFERENCIA!$B$3:$B$6,MATCH($F15,CONFIG_REFERENCIA!$A$3:$A$6,0)))</f>
        <v/>
      </c>
      <c r="T15" s="53" t="n"/>
      <c r="U15" s="53" t="n"/>
      <c r="V15" s="53" t="n"/>
      <c r="W15" s="53" t="n"/>
      <c r="X15" s="54">
        <f>IF(COUNTA($T15:$W15)&lt;4,"",$S15*($O15*$T15+$P15*$U15+$Q15*$V15+$R15*$W15))</f>
        <v/>
      </c>
      <c r="Y15" s="53" t="n"/>
      <c r="Z15" s="53" t="n"/>
      <c r="AA15" s="55" t="n"/>
      <c r="AB15" s="55" t="n"/>
      <c r="AC15" s="49" t="inlineStr">
        <is>
          <t>pendiente</t>
        </is>
      </c>
      <c r="AD15" s="49" t="n"/>
      <c r="AE15" s="49" t="n"/>
      <c r="AF15" s="49" t="n"/>
      <c r="AG15" s="49" t="n"/>
      <c r="AH15" s="49" t="n"/>
      <c r="AI15" s="49" t="n"/>
      <c r="AJ15" s="49" t="n"/>
      <c r="AK15" s="49" t="n"/>
    </row>
    <row r="16" ht="15" customHeight="1" s="27">
      <c r="A16" s="49" t="n"/>
      <c r="B16" s="49" t="inlineStr">
        <is>
          <t>E4_v1</t>
        </is>
      </c>
      <c r="C16" s="50" t="inlineStr">
        <is>
          <t>E4</t>
        </is>
      </c>
      <c r="D16" s="50" t="inlineStr">
        <is>
          <t>boosting</t>
        </is>
      </c>
      <c r="E16" s="50" t="inlineStr">
        <is>
          <t>XGBoost / LightGBM</t>
        </is>
      </c>
      <c r="F16" s="50" t="n">
        <v>3</v>
      </c>
      <c r="G16" s="49" t="n"/>
      <c r="H16" s="50" t="inlineStr">
        <is>
          <t>lags, MA, volatilidad</t>
        </is>
      </c>
      <c r="I16" s="50" t="inlineStr">
        <is>
          <t>variables tematicas</t>
        </is>
      </c>
      <c r="J16" s="50" t="inlineStr">
        <is>
          <t>original</t>
        </is>
      </c>
      <c r="K16" s="50" t="inlineStr">
        <is>
          <t>importancia_arboles</t>
        </is>
      </c>
      <c r="L16" s="50" t="inlineStr">
        <is>
          <t>walk-forward</t>
        </is>
      </c>
      <c r="M16" s="49" t="n"/>
      <c r="N16" s="49" t="n"/>
      <c r="O16" s="51">
        <f>CONFIG_REFERENCIA!$E$3</f>
        <v/>
      </c>
      <c r="P16" s="51">
        <f>CONFIG_REFERENCIA!$E$4</f>
        <v/>
      </c>
      <c r="Q16" s="51">
        <f>CONFIG_REFERENCIA!$E$5</f>
        <v/>
      </c>
      <c r="R16" s="51">
        <f>CONFIG_REFERENCIA!$E$6</f>
        <v/>
      </c>
      <c r="S16" s="52">
        <f>IF($F16="","",INDEX(CONFIG_REFERENCIA!$B$3:$B$6,MATCH($F16,CONFIG_REFERENCIA!$A$3:$A$6,0)))</f>
        <v/>
      </c>
      <c r="T16" s="53" t="n"/>
      <c r="U16" s="53" t="n"/>
      <c r="V16" s="53" t="n"/>
      <c r="W16" s="53" t="n"/>
      <c r="X16" s="54">
        <f>IF(COUNTA($T16:$W16)&lt;4,"",$S16*($O16*$T16+$P16*$U16+$Q16*$V16+$R16*$W16))</f>
        <v/>
      </c>
      <c r="Y16" s="53" t="n"/>
      <c r="Z16" s="53" t="n"/>
      <c r="AA16" s="55" t="n"/>
      <c r="AB16" s="55" t="n"/>
      <c r="AC16" s="49" t="inlineStr">
        <is>
          <t>pendiente</t>
        </is>
      </c>
      <c r="AD16" s="49" t="n"/>
      <c r="AE16" s="49" t="n"/>
      <c r="AF16" s="49" t="n"/>
      <c r="AG16" s="49" t="n"/>
      <c r="AH16" s="49" t="n"/>
      <c r="AI16" s="49" t="n"/>
      <c r="AJ16" s="49" t="n"/>
      <c r="AK16" s="49" t="n"/>
    </row>
    <row r="17" ht="15" customHeight="1" s="27">
      <c r="A17" s="49" t="n"/>
      <c r="B17" s="49" t="inlineStr">
        <is>
          <t>E4_v1</t>
        </is>
      </c>
      <c r="C17" s="50" t="inlineStr">
        <is>
          <t>E4</t>
        </is>
      </c>
      <c r="D17" s="50" t="inlineStr">
        <is>
          <t>boosting</t>
        </is>
      </c>
      <c r="E17" s="50" t="inlineStr">
        <is>
          <t>XGBoost / LightGBM</t>
        </is>
      </c>
      <c r="F17" s="50" t="n">
        <v>4</v>
      </c>
      <c r="G17" s="49" t="n"/>
      <c r="H17" s="50" t="inlineStr">
        <is>
          <t>lags, MA, volatilidad</t>
        </is>
      </c>
      <c r="I17" s="50" t="inlineStr">
        <is>
          <t>variables tematicas</t>
        </is>
      </c>
      <c r="J17" s="50" t="inlineStr">
        <is>
          <t>original</t>
        </is>
      </c>
      <c r="K17" s="50" t="inlineStr">
        <is>
          <t>importancia_arboles</t>
        </is>
      </c>
      <c r="L17" s="50" t="inlineStr">
        <is>
          <t>walk-forward</t>
        </is>
      </c>
      <c r="M17" s="49" t="n"/>
      <c r="N17" s="49" t="n"/>
      <c r="O17" s="51">
        <f>CONFIG_REFERENCIA!$E$3</f>
        <v/>
      </c>
      <c r="P17" s="51">
        <f>CONFIG_REFERENCIA!$E$4</f>
        <v/>
      </c>
      <c r="Q17" s="51">
        <f>CONFIG_REFERENCIA!$E$5</f>
        <v/>
      </c>
      <c r="R17" s="51">
        <f>CONFIG_REFERENCIA!$E$6</f>
        <v/>
      </c>
      <c r="S17" s="52">
        <f>IF($F17="","",INDEX(CONFIG_REFERENCIA!$B$3:$B$6,MATCH($F17,CONFIG_REFERENCIA!$A$3:$A$6,0)))</f>
        <v/>
      </c>
      <c r="T17" s="53" t="n"/>
      <c r="U17" s="53" t="n"/>
      <c r="V17" s="53" t="n"/>
      <c r="W17" s="53" t="n"/>
      <c r="X17" s="54">
        <f>IF(COUNTA($T17:$W17)&lt;4,"",$S17*($O17*$T17+$P17*$U17+$Q17*$V17+$R17*$W17))</f>
        <v/>
      </c>
      <c r="Y17" s="53" t="n"/>
      <c r="Z17" s="53" t="n"/>
      <c r="AA17" s="55" t="n"/>
      <c r="AB17" s="55" t="n"/>
      <c r="AC17" s="49" t="inlineStr">
        <is>
          <t>pendiente</t>
        </is>
      </c>
      <c r="AD17" s="49" t="n"/>
      <c r="AE17" s="49" t="n"/>
      <c r="AF17" s="49" t="n"/>
      <c r="AG17" s="49" t="n"/>
      <c r="AH17" s="49" t="n"/>
      <c r="AI17" s="49" t="n"/>
      <c r="AJ17" s="49" t="n"/>
      <c r="AK17" s="49" t="n"/>
    </row>
    <row r="18" ht="15" customHeight="1" s="27">
      <c r="A18" s="49" t="n"/>
      <c r="B18" s="49" t="inlineStr">
        <is>
          <t>E5_v1</t>
        </is>
      </c>
      <c r="C18" s="50" t="inlineStr">
        <is>
          <t>E5</t>
        </is>
      </c>
      <c r="D18" s="50" t="inlineStr">
        <is>
          <t>boosting</t>
        </is>
      </c>
      <c r="E18" s="50" t="inlineStr">
        <is>
          <t>CatBoost</t>
        </is>
      </c>
      <c r="F18" s="50" t="n">
        <v>1</v>
      </c>
      <c r="G18" s="49" t="n"/>
      <c r="H18" s="50" t="inlineStr">
        <is>
          <t>lags, MA, volatilidad</t>
        </is>
      </c>
      <c r="I18" s="50" t="inlineStr">
        <is>
          <t>variables mixtas</t>
        </is>
      </c>
      <c r="J18" s="50" t="inlineStr">
        <is>
          <t>original</t>
        </is>
      </c>
      <c r="K18" s="50" t="inlineStr">
        <is>
          <t>importancia_arboles</t>
        </is>
      </c>
      <c r="L18" s="50" t="inlineStr">
        <is>
          <t>walk-forward</t>
        </is>
      </c>
      <c r="M18" s="49" t="n"/>
      <c r="N18" s="49" t="n"/>
      <c r="O18" s="51">
        <f>CONFIG_REFERENCIA!$E$3</f>
        <v/>
      </c>
      <c r="P18" s="51">
        <f>CONFIG_REFERENCIA!$E$4</f>
        <v/>
      </c>
      <c r="Q18" s="51">
        <f>CONFIG_REFERENCIA!$E$5</f>
        <v/>
      </c>
      <c r="R18" s="51">
        <f>CONFIG_REFERENCIA!$E$6</f>
        <v/>
      </c>
      <c r="S18" s="52">
        <f>IF($F18="","",INDEX(CONFIG_REFERENCIA!$B$3:$B$6,MATCH($F18,CONFIG_REFERENCIA!$A$3:$A$6,0)))</f>
        <v/>
      </c>
      <c r="T18" s="53" t="n"/>
      <c r="U18" s="53" t="n"/>
      <c r="V18" s="53" t="n"/>
      <c r="W18" s="53" t="n"/>
      <c r="X18" s="54">
        <f>IF(COUNTA($T18:$W18)&lt;4,"",$S18*($O18*$T18+$P18*$U18+$Q18*$V18+$R18*$W18))</f>
        <v/>
      </c>
      <c r="Y18" s="53" t="n"/>
      <c r="Z18" s="53" t="n"/>
      <c r="AA18" s="55" t="n"/>
      <c r="AB18" s="55" t="n"/>
      <c r="AC18" s="49" t="inlineStr">
        <is>
          <t>pendiente</t>
        </is>
      </c>
      <c r="AD18" s="49" t="n"/>
      <c r="AE18" s="49" t="n"/>
      <c r="AF18" s="49" t="n"/>
      <c r="AG18" s="49" t="n"/>
      <c r="AH18" s="49" t="n"/>
      <c r="AI18" s="49" t="n"/>
      <c r="AJ18" s="49" t="n"/>
      <c r="AK18" s="49" t="n"/>
    </row>
    <row r="19" ht="15" customHeight="1" s="27">
      <c r="A19" s="49" t="n"/>
      <c r="B19" s="49" t="inlineStr">
        <is>
          <t>E5_v1</t>
        </is>
      </c>
      <c r="C19" s="50" t="inlineStr">
        <is>
          <t>E5</t>
        </is>
      </c>
      <c r="D19" s="50" t="inlineStr">
        <is>
          <t>boosting</t>
        </is>
      </c>
      <c r="E19" s="50" t="inlineStr">
        <is>
          <t>CatBoost</t>
        </is>
      </c>
      <c r="F19" s="50" t="n">
        <v>2</v>
      </c>
      <c r="G19" s="49" t="n"/>
      <c r="H19" s="50" t="inlineStr">
        <is>
          <t>lags, MA, volatilidad</t>
        </is>
      </c>
      <c r="I19" s="50" t="inlineStr">
        <is>
          <t>variables mixtas</t>
        </is>
      </c>
      <c r="J19" s="50" t="inlineStr">
        <is>
          <t>original</t>
        </is>
      </c>
      <c r="K19" s="50" t="inlineStr">
        <is>
          <t>importancia_arboles</t>
        </is>
      </c>
      <c r="L19" s="50" t="inlineStr">
        <is>
          <t>walk-forward</t>
        </is>
      </c>
      <c r="M19" s="49" t="n"/>
      <c r="N19" s="49" t="n"/>
      <c r="O19" s="51">
        <f>CONFIG_REFERENCIA!$E$3</f>
        <v/>
      </c>
      <c r="P19" s="51">
        <f>CONFIG_REFERENCIA!$E$4</f>
        <v/>
      </c>
      <c r="Q19" s="51">
        <f>CONFIG_REFERENCIA!$E$5</f>
        <v/>
      </c>
      <c r="R19" s="51">
        <f>CONFIG_REFERENCIA!$E$6</f>
        <v/>
      </c>
      <c r="S19" s="52">
        <f>IF($F19="","",INDEX(CONFIG_REFERENCIA!$B$3:$B$6,MATCH($F19,CONFIG_REFERENCIA!$A$3:$A$6,0)))</f>
        <v/>
      </c>
      <c r="T19" s="53" t="n"/>
      <c r="U19" s="53" t="n"/>
      <c r="V19" s="53" t="n"/>
      <c r="W19" s="53" t="n"/>
      <c r="X19" s="54">
        <f>IF(COUNTA($T19:$W19)&lt;4,"",$S19*($O19*$T19+$P19*$U19+$Q19*$V19+$R19*$W19))</f>
        <v/>
      </c>
      <c r="Y19" s="53" t="n"/>
      <c r="Z19" s="53" t="n"/>
      <c r="AA19" s="55" t="n"/>
      <c r="AB19" s="55" t="n"/>
      <c r="AC19" s="49" t="inlineStr">
        <is>
          <t>pendiente</t>
        </is>
      </c>
      <c r="AD19" s="49" t="n"/>
      <c r="AE19" s="49" t="n"/>
      <c r="AF19" s="49" t="n"/>
      <c r="AG19" s="49" t="n"/>
      <c r="AH19" s="49" t="n"/>
      <c r="AI19" s="49" t="n"/>
      <c r="AJ19" s="49" t="n"/>
      <c r="AK19" s="49" t="n"/>
    </row>
    <row r="20" ht="15" customHeight="1" s="27">
      <c r="A20" s="49" t="n"/>
      <c r="B20" s="49" t="inlineStr">
        <is>
          <t>E5_v1</t>
        </is>
      </c>
      <c r="C20" s="50" t="inlineStr">
        <is>
          <t>E5</t>
        </is>
      </c>
      <c r="D20" s="50" t="inlineStr">
        <is>
          <t>boosting</t>
        </is>
      </c>
      <c r="E20" s="50" t="inlineStr">
        <is>
          <t>CatBoost</t>
        </is>
      </c>
      <c r="F20" s="50" t="n">
        <v>3</v>
      </c>
      <c r="G20" s="49" t="n"/>
      <c r="H20" s="50" t="inlineStr">
        <is>
          <t>lags, MA, volatilidad</t>
        </is>
      </c>
      <c r="I20" s="50" t="inlineStr">
        <is>
          <t>variables mixtas</t>
        </is>
      </c>
      <c r="J20" s="50" t="inlineStr">
        <is>
          <t>original</t>
        </is>
      </c>
      <c r="K20" s="50" t="inlineStr">
        <is>
          <t>importancia_arboles</t>
        </is>
      </c>
      <c r="L20" s="50" t="inlineStr">
        <is>
          <t>walk-forward</t>
        </is>
      </c>
      <c r="M20" s="49" t="n"/>
      <c r="N20" s="49" t="n"/>
      <c r="O20" s="51">
        <f>CONFIG_REFERENCIA!$E$3</f>
        <v/>
      </c>
      <c r="P20" s="51">
        <f>CONFIG_REFERENCIA!$E$4</f>
        <v/>
      </c>
      <c r="Q20" s="51">
        <f>CONFIG_REFERENCIA!$E$5</f>
        <v/>
      </c>
      <c r="R20" s="51">
        <f>CONFIG_REFERENCIA!$E$6</f>
        <v/>
      </c>
      <c r="S20" s="52">
        <f>IF($F20="","",INDEX(CONFIG_REFERENCIA!$B$3:$B$6,MATCH($F20,CONFIG_REFERENCIA!$A$3:$A$6,0)))</f>
        <v/>
      </c>
      <c r="T20" s="53" t="n"/>
      <c r="U20" s="53" t="n"/>
      <c r="V20" s="53" t="n"/>
      <c r="W20" s="53" t="n"/>
      <c r="X20" s="54">
        <f>IF(COUNTA($T20:$W20)&lt;4,"",$S20*($O20*$T20+$P20*$U20+$Q20*$V20+$R20*$W20))</f>
        <v/>
      </c>
      <c r="Y20" s="53" t="n"/>
      <c r="Z20" s="53" t="n"/>
      <c r="AA20" s="55" t="n"/>
      <c r="AB20" s="55" t="n"/>
      <c r="AC20" s="49" t="inlineStr">
        <is>
          <t>pendiente</t>
        </is>
      </c>
      <c r="AD20" s="49" t="n"/>
      <c r="AE20" s="49" t="n"/>
      <c r="AF20" s="49" t="n"/>
      <c r="AG20" s="49" t="n"/>
      <c r="AH20" s="49" t="n"/>
      <c r="AI20" s="49" t="n"/>
      <c r="AJ20" s="49" t="n"/>
      <c r="AK20" s="49" t="n"/>
    </row>
    <row r="21" ht="15" customHeight="1" s="27">
      <c r="A21" s="49" t="n"/>
      <c r="B21" s="49" t="inlineStr">
        <is>
          <t>E5_v1</t>
        </is>
      </c>
      <c r="C21" s="50" t="inlineStr">
        <is>
          <t>E5</t>
        </is>
      </c>
      <c r="D21" s="50" t="inlineStr">
        <is>
          <t>boosting</t>
        </is>
      </c>
      <c r="E21" s="50" t="inlineStr">
        <is>
          <t>CatBoost</t>
        </is>
      </c>
      <c r="F21" s="50" t="n">
        <v>4</v>
      </c>
      <c r="G21" s="49" t="n"/>
      <c r="H21" s="50" t="inlineStr">
        <is>
          <t>lags, MA, volatilidad</t>
        </is>
      </c>
      <c r="I21" s="50" t="inlineStr">
        <is>
          <t>variables mixtas</t>
        </is>
      </c>
      <c r="J21" s="50" t="inlineStr">
        <is>
          <t>original</t>
        </is>
      </c>
      <c r="K21" s="50" t="inlineStr">
        <is>
          <t>importancia_arboles</t>
        </is>
      </c>
      <c r="L21" s="50" t="inlineStr">
        <is>
          <t>walk-forward</t>
        </is>
      </c>
      <c r="M21" s="49" t="n"/>
      <c r="N21" s="49" t="n"/>
      <c r="O21" s="51">
        <f>CONFIG_REFERENCIA!$E$3</f>
        <v/>
      </c>
      <c r="P21" s="51">
        <f>CONFIG_REFERENCIA!$E$4</f>
        <v/>
      </c>
      <c r="Q21" s="51">
        <f>CONFIG_REFERENCIA!$E$5</f>
        <v/>
      </c>
      <c r="R21" s="51">
        <f>CONFIG_REFERENCIA!$E$6</f>
        <v/>
      </c>
      <c r="S21" s="52">
        <f>IF($F21="","",INDEX(CONFIG_REFERENCIA!$B$3:$B$6,MATCH($F21,CONFIG_REFERENCIA!$A$3:$A$6,0)))</f>
        <v/>
      </c>
      <c r="T21" s="53" t="n"/>
      <c r="U21" s="53" t="n"/>
      <c r="V21" s="53" t="n"/>
      <c r="W21" s="53" t="n"/>
      <c r="X21" s="54">
        <f>IF(COUNTA($T21:$W21)&lt;4,"",$S21*($O21*$T21+$P21*$U21+$Q21*$V21+$R21*$W21))</f>
        <v/>
      </c>
      <c r="Y21" s="53" t="n"/>
      <c r="Z21" s="53" t="n"/>
      <c r="AA21" s="55" t="n"/>
      <c r="AB21" s="55" t="n"/>
      <c r="AC21" s="49" t="inlineStr">
        <is>
          <t>pendiente</t>
        </is>
      </c>
      <c r="AD21" s="49" t="n"/>
      <c r="AE21" s="49" t="n"/>
      <c r="AF21" s="49" t="n"/>
      <c r="AG21" s="49" t="n"/>
      <c r="AH21" s="49" t="n"/>
      <c r="AI21" s="49" t="n"/>
      <c r="AJ21" s="49" t="n"/>
      <c r="AK21" s="49" t="n"/>
    </row>
    <row r="22" ht="15" customHeight="1" s="27">
      <c r="A22" s="49" t="n"/>
      <c r="B22" s="49" t="inlineStr">
        <is>
          <t>E6_v1</t>
        </is>
      </c>
      <c r="C22" s="50" t="inlineStr">
        <is>
          <t>E6</t>
        </is>
      </c>
      <c r="D22" s="50" t="inlineStr">
        <is>
          <t>temporal</t>
        </is>
      </c>
      <c r="E22" s="50" t="inlineStr">
        <is>
          <t>ARIMAX / SARIMAX</t>
        </is>
      </c>
      <c r="F22" s="50" t="n">
        <v>1</v>
      </c>
      <c r="G22" s="49" t="n"/>
      <c r="H22" s="50" t="inlineStr">
        <is>
          <t>serie + lags IAD</t>
        </is>
      </c>
      <c r="I22" s="50" t="inlineStr">
        <is>
          <t>regresores digitales</t>
        </is>
      </c>
      <c r="J22" s="50" t="inlineStr">
        <is>
          <t>original</t>
        </is>
      </c>
      <c r="K22" s="50" t="inlineStr">
        <is>
          <t>todas</t>
        </is>
      </c>
      <c r="L22" s="50" t="inlineStr">
        <is>
          <t>walk-forward</t>
        </is>
      </c>
      <c r="M22" s="49" t="n"/>
      <c r="N22" s="49" t="n"/>
      <c r="O22" s="51">
        <f>CONFIG_REFERENCIA!$E$3</f>
        <v/>
      </c>
      <c r="P22" s="51">
        <f>CONFIG_REFERENCIA!$E$4</f>
        <v/>
      </c>
      <c r="Q22" s="51">
        <f>CONFIG_REFERENCIA!$E$5</f>
        <v/>
      </c>
      <c r="R22" s="51">
        <f>CONFIG_REFERENCIA!$E$6</f>
        <v/>
      </c>
      <c r="S22" s="52">
        <f>IF($F22="","",INDEX(CONFIG_REFERENCIA!$B$3:$B$6,MATCH($F22,CONFIG_REFERENCIA!$A$3:$A$6,0)))</f>
        <v/>
      </c>
      <c r="T22" s="53" t="n"/>
      <c r="U22" s="53" t="n"/>
      <c r="V22" s="53" t="n"/>
      <c r="W22" s="53" t="n"/>
      <c r="X22" s="54">
        <f>IF(COUNTA($T22:$W22)&lt;4,"",$S22*($O22*$T22+$P22*$U22+$Q22*$V22+$R22*$W22))</f>
        <v/>
      </c>
      <c r="Y22" s="53" t="n"/>
      <c r="Z22" s="53" t="n"/>
      <c r="AA22" s="55" t="n"/>
      <c r="AB22" s="55" t="n"/>
      <c r="AC22" s="49" t="inlineStr">
        <is>
          <t>pendiente</t>
        </is>
      </c>
      <c r="AD22" s="49" t="n"/>
      <c r="AE22" s="49" t="n"/>
      <c r="AF22" s="49" t="n"/>
      <c r="AG22" s="49" t="n"/>
      <c r="AH22" s="49" t="n"/>
      <c r="AI22" s="49" t="n"/>
      <c r="AJ22" s="49" t="n"/>
      <c r="AK22" s="49" t="n"/>
    </row>
    <row r="23" ht="15" customHeight="1" s="27">
      <c r="A23" s="49" t="n"/>
      <c r="B23" s="49" t="inlineStr">
        <is>
          <t>E6_v1</t>
        </is>
      </c>
      <c r="C23" s="50" t="inlineStr">
        <is>
          <t>E6</t>
        </is>
      </c>
      <c r="D23" s="50" t="inlineStr">
        <is>
          <t>temporal</t>
        </is>
      </c>
      <c r="E23" s="50" t="inlineStr">
        <is>
          <t>ARIMAX / SARIMAX</t>
        </is>
      </c>
      <c r="F23" s="50" t="n">
        <v>2</v>
      </c>
      <c r="G23" s="49" t="n"/>
      <c r="H23" s="50" t="inlineStr">
        <is>
          <t>serie + lags IAD</t>
        </is>
      </c>
      <c r="I23" s="50" t="inlineStr">
        <is>
          <t>regresores digitales</t>
        </is>
      </c>
      <c r="J23" s="50" t="inlineStr">
        <is>
          <t>original</t>
        </is>
      </c>
      <c r="K23" s="50" t="inlineStr">
        <is>
          <t>todas</t>
        </is>
      </c>
      <c r="L23" s="50" t="inlineStr">
        <is>
          <t>walk-forward</t>
        </is>
      </c>
      <c r="M23" s="49" t="n"/>
      <c r="N23" s="49" t="n"/>
      <c r="O23" s="51">
        <f>CONFIG_REFERENCIA!$E$3</f>
        <v/>
      </c>
      <c r="P23" s="51">
        <f>CONFIG_REFERENCIA!$E$4</f>
        <v/>
      </c>
      <c r="Q23" s="51">
        <f>CONFIG_REFERENCIA!$E$5</f>
        <v/>
      </c>
      <c r="R23" s="51">
        <f>CONFIG_REFERENCIA!$E$6</f>
        <v/>
      </c>
      <c r="S23" s="52">
        <f>IF($F23="","",INDEX(CONFIG_REFERENCIA!$B$3:$B$6,MATCH($F23,CONFIG_REFERENCIA!$A$3:$A$6,0)))</f>
        <v/>
      </c>
      <c r="T23" s="53" t="n"/>
      <c r="U23" s="53" t="n"/>
      <c r="V23" s="53" t="n"/>
      <c r="W23" s="53" t="n"/>
      <c r="X23" s="54">
        <f>IF(COUNTA($T23:$W23)&lt;4,"",$S23*($O23*$T23+$P23*$U23+$Q23*$V23+$R23*$W23))</f>
        <v/>
      </c>
      <c r="Y23" s="53" t="n"/>
      <c r="Z23" s="53" t="n"/>
      <c r="AA23" s="55" t="n"/>
      <c r="AB23" s="55" t="n"/>
      <c r="AC23" s="49" t="inlineStr">
        <is>
          <t>pendiente</t>
        </is>
      </c>
      <c r="AD23" s="49" t="n"/>
      <c r="AE23" s="49" t="n"/>
      <c r="AF23" s="49" t="n"/>
      <c r="AG23" s="49" t="n"/>
      <c r="AH23" s="49" t="n"/>
      <c r="AI23" s="49" t="n"/>
      <c r="AJ23" s="49" t="n"/>
      <c r="AK23" s="49" t="n"/>
    </row>
    <row r="24" ht="15" customHeight="1" s="27">
      <c r="A24" s="49" t="n"/>
      <c r="B24" s="49" t="inlineStr">
        <is>
          <t>E6_v1</t>
        </is>
      </c>
      <c r="C24" s="50" t="inlineStr">
        <is>
          <t>E6</t>
        </is>
      </c>
      <c r="D24" s="50" t="inlineStr">
        <is>
          <t>temporal</t>
        </is>
      </c>
      <c r="E24" s="50" t="inlineStr">
        <is>
          <t>ARIMAX / SARIMAX</t>
        </is>
      </c>
      <c r="F24" s="50" t="n">
        <v>3</v>
      </c>
      <c r="G24" s="49" t="n"/>
      <c r="H24" s="50" t="inlineStr">
        <is>
          <t>serie + lags IAD</t>
        </is>
      </c>
      <c r="I24" s="50" t="inlineStr">
        <is>
          <t>regresores digitales</t>
        </is>
      </c>
      <c r="J24" s="50" t="inlineStr">
        <is>
          <t>original</t>
        </is>
      </c>
      <c r="K24" s="50" t="inlineStr">
        <is>
          <t>todas</t>
        </is>
      </c>
      <c r="L24" s="50" t="inlineStr">
        <is>
          <t>walk-forward</t>
        </is>
      </c>
      <c r="M24" s="49" t="n"/>
      <c r="N24" s="49" t="n"/>
      <c r="O24" s="51">
        <f>CONFIG_REFERENCIA!$E$3</f>
        <v/>
      </c>
      <c r="P24" s="51">
        <f>CONFIG_REFERENCIA!$E$4</f>
        <v/>
      </c>
      <c r="Q24" s="51">
        <f>CONFIG_REFERENCIA!$E$5</f>
        <v/>
      </c>
      <c r="R24" s="51">
        <f>CONFIG_REFERENCIA!$E$6</f>
        <v/>
      </c>
      <c r="S24" s="52">
        <f>IF($F24="","",INDEX(CONFIG_REFERENCIA!$B$3:$B$6,MATCH($F24,CONFIG_REFERENCIA!$A$3:$A$6,0)))</f>
        <v/>
      </c>
      <c r="T24" s="53" t="n"/>
      <c r="U24" s="53" t="n"/>
      <c r="V24" s="53" t="n"/>
      <c r="W24" s="53" t="n"/>
      <c r="X24" s="54">
        <f>IF(COUNTA($T24:$W24)&lt;4,"",$S24*($O24*$T24+$P24*$U24+$Q24*$V24+$R24*$W24))</f>
        <v/>
      </c>
      <c r="Y24" s="53" t="n"/>
      <c r="Z24" s="53" t="n"/>
      <c r="AA24" s="55" t="n"/>
      <c r="AB24" s="55" t="n"/>
      <c r="AC24" s="49" t="inlineStr">
        <is>
          <t>pendiente</t>
        </is>
      </c>
      <c r="AD24" s="49" t="n"/>
      <c r="AE24" s="49" t="n"/>
      <c r="AF24" s="49" t="n"/>
      <c r="AG24" s="49" t="n"/>
      <c r="AH24" s="49" t="n"/>
      <c r="AI24" s="49" t="n"/>
      <c r="AJ24" s="49" t="n"/>
      <c r="AK24" s="49" t="n"/>
    </row>
    <row r="25" ht="15" customHeight="1" s="27">
      <c r="A25" s="49" t="n"/>
      <c r="B25" s="49" t="inlineStr">
        <is>
          <t>E6_v1</t>
        </is>
      </c>
      <c r="C25" s="50" t="inlineStr">
        <is>
          <t>E6</t>
        </is>
      </c>
      <c r="D25" s="50" t="inlineStr">
        <is>
          <t>temporal</t>
        </is>
      </c>
      <c r="E25" s="50" t="inlineStr">
        <is>
          <t>ARIMAX / SARIMAX</t>
        </is>
      </c>
      <c r="F25" s="50" t="n">
        <v>4</v>
      </c>
      <c r="G25" s="49" t="n"/>
      <c r="H25" s="50" t="inlineStr">
        <is>
          <t>serie + lags IAD</t>
        </is>
      </c>
      <c r="I25" s="50" t="inlineStr">
        <is>
          <t>regresores digitales</t>
        </is>
      </c>
      <c r="J25" s="50" t="inlineStr">
        <is>
          <t>original</t>
        </is>
      </c>
      <c r="K25" s="50" t="inlineStr">
        <is>
          <t>todas</t>
        </is>
      </c>
      <c r="L25" s="50" t="inlineStr">
        <is>
          <t>walk-forward</t>
        </is>
      </c>
      <c r="M25" s="49" t="n"/>
      <c r="N25" s="49" t="n"/>
      <c r="O25" s="51">
        <f>CONFIG_REFERENCIA!$E$3</f>
        <v/>
      </c>
      <c r="P25" s="51">
        <f>CONFIG_REFERENCIA!$E$4</f>
        <v/>
      </c>
      <c r="Q25" s="51">
        <f>CONFIG_REFERENCIA!$E$5</f>
        <v/>
      </c>
      <c r="R25" s="51">
        <f>CONFIG_REFERENCIA!$E$6</f>
        <v/>
      </c>
      <c r="S25" s="52">
        <f>IF($F25="","",INDEX(CONFIG_REFERENCIA!$B$3:$B$6,MATCH($F25,CONFIG_REFERENCIA!$A$3:$A$6,0)))</f>
        <v/>
      </c>
      <c r="T25" s="53" t="n"/>
      <c r="U25" s="53" t="n"/>
      <c r="V25" s="53" t="n"/>
      <c r="W25" s="53" t="n"/>
      <c r="X25" s="54">
        <f>IF(COUNTA($T25:$W25)&lt;4,"",$S25*($O25*$T25+$P25*$U25+$Q25*$V25+$R25*$W25))</f>
        <v/>
      </c>
      <c r="Y25" s="53" t="n"/>
      <c r="Z25" s="53" t="n"/>
      <c r="AA25" s="55" t="n"/>
      <c r="AB25" s="55" t="n"/>
      <c r="AC25" s="49" t="inlineStr">
        <is>
          <t>pendiente</t>
        </is>
      </c>
      <c r="AD25" s="49" t="n"/>
      <c r="AE25" s="49" t="n"/>
      <c r="AF25" s="49" t="n"/>
      <c r="AG25" s="49" t="n"/>
      <c r="AH25" s="49" t="n"/>
      <c r="AI25" s="49" t="n"/>
      <c r="AJ25" s="49" t="n"/>
      <c r="AK25" s="49" t="n"/>
    </row>
    <row r="26" ht="15" customHeight="1" s="27">
      <c r="A26" s="49" t="n"/>
      <c r="B26" s="49" t="inlineStr">
        <is>
          <t>E7_v1</t>
        </is>
      </c>
      <c r="C26" s="50" t="inlineStr">
        <is>
          <t>E7</t>
        </is>
      </c>
      <c r="D26" s="50" t="inlineStr">
        <is>
          <t>temporal</t>
        </is>
      </c>
      <c r="E26" s="50" t="inlineStr">
        <is>
          <t>Prophet + regresores</t>
        </is>
      </c>
      <c r="F26" s="50" t="n">
        <v>1</v>
      </c>
      <c r="G26" s="49" t="n"/>
      <c r="H26" s="50" t="inlineStr">
        <is>
          <t>serie + tendencia</t>
        </is>
      </c>
      <c r="I26" s="50" t="inlineStr">
        <is>
          <t>regresores externos</t>
        </is>
      </c>
      <c r="J26" s="50" t="inlineStr">
        <is>
          <t>original</t>
        </is>
      </c>
      <c r="K26" s="50" t="inlineStr">
        <is>
          <t>todas</t>
        </is>
      </c>
      <c r="L26" s="50" t="inlineStr">
        <is>
          <t>walk-forward</t>
        </is>
      </c>
      <c r="M26" s="49" t="n"/>
      <c r="N26" s="49" t="n"/>
      <c r="O26" s="51">
        <f>CONFIG_REFERENCIA!$E$3</f>
        <v/>
      </c>
      <c r="P26" s="51">
        <f>CONFIG_REFERENCIA!$E$4</f>
        <v/>
      </c>
      <c r="Q26" s="51">
        <f>CONFIG_REFERENCIA!$E$5</f>
        <v/>
      </c>
      <c r="R26" s="51">
        <f>CONFIG_REFERENCIA!$E$6</f>
        <v/>
      </c>
      <c r="S26" s="52">
        <f>IF($F26="","",INDEX(CONFIG_REFERENCIA!$B$3:$B$6,MATCH($F26,CONFIG_REFERENCIA!$A$3:$A$6,0)))</f>
        <v/>
      </c>
      <c r="T26" s="53" t="n"/>
      <c r="U26" s="53" t="n"/>
      <c r="V26" s="53" t="n"/>
      <c r="W26" s="53" t="n"/>
      <c r="X26" s="54">
        <f>IF(COUNTA($T26:$W26)&lt;4,"",$S26*($O26*$T26+$P26*$U26+$Q26*$V26+$R26*$W26))</f>
        <v/>
      </c>
      <c r="Y26" s="53" t="n"/>
      <c r="Z26" s="53" t="n"/>
      <c r="AA26" s="55" t="n"/>
      <c r="AB26" s="55" t="n"/>
      <c r="AC26" s="49" t="inlineStr">
        <is>
          <t>pendiente</t>
        </is>
      </c>
      <c r="AD26" s="49" t="n"/>
      <c r="AE26" s="49" t="n"/>
      <c r="AF26" s="49" t="n"/>
      <c r="AG26" s="49" t="n"/>
      <c r="AH26" s="49" t="n"/>
      <c r="AI26" s="49" t="n"/>
      <c r="AJ26" s="49" t="n"/>
      <c r="AK26" s="49" t="n"/>
    </row>
    <row r="27" ht="15" customHeight="1" s="27">
      <c r="A27" s="49" t="n"/>
      <c r="B27" s="49" t="inlineStr">
        <is>
          <t>E7_v1</t>
        </is>
      </c>
      <c r="C27" s="50" t="inlineStr">
        <is>
          <t>E7</t>
        </is>
      </c>
      <c r="D27" s="50" t="inlineStr">
        <is>
          <t>temporal</t>
        </is>
      </c>
      <c r="E27" s="50" t="inlineStr">
        <is>
          <t>Prophet + regresores</t>
        </is>
      </c>
      <c r="F27" s="50" t="n">
        <v>2</v>
      </c>
      <c r="G27" s="49" t="n"/>
      <c r="H27" s="50" t="inlineStr">
        <is>
          <t>serie + tendencia</t>
        </is>
      </c>
      <c r="I27" s="50" t="inlineStr">
        <is>
          <t>regresores externos</t>
        </is>
      </c>
      <c r="J27" s="50" t="inlineStr">
        <is>
          <t>original</t>
        </is>
      </c>
      <c r="K27" s="50" t="inlineStr">
        <is>
          <t>todas</t>
        </is>
      </c>
      <c r="L27" s="50" t="inlineStr">
        <is>
          <t>walk-forward</t>
        </is>
      </c>
      <c r="M27" s="49" t="n"/>
      <c r="N27" s="49" t="n"/>
      <c r="O27" s="51">
        <f>CONFIG_REFERENCIA!$E$3</f>
        <v/>
      </c>
      <c r="P27" s="51">
        <f>CONFIG_REFERENCIA!$E$4</f>
        <v/>
      </c>
      <c r="Q27" s="51">
        <f>CONFIG_REFERENCIA!$E$5</f>
        <v/>
      </c>
      <c r="R27" s="51">
        <f>CONFIG_REFERENCIA!$E$6</f>
        <v/>
      </c>
      <c r="S27" s="52">
        <f>IF($F27="","",INDEX(CONFIG_REFERENCIA!$B$3:$B$6,MATCH($F27,CONFIG_REFERENCIA!$A$3:$A$6,0)))</f>
        <v/>
      </c>
      <c r="T27" s="53" t="n"/>
      <c r="U27" s="53" t="n"/>
      <c r="V27" s="53" t="n"/>
      <c r="W27" s="53" t="n"/>
      <c r="X27" s="54">
        <f>IF(COUNTA($T27:$W27)&lt;4,"",$S27*($O27*$T27+$P27*$U27+$Q27*$V27+$R27*$W27))</f>
        <v/>
      </c>
      <c r="Y27" s="53" t="n"/>
      <c r="Z27" s="53" t="n"/>
      <c r="AA27" s="55" t="n"/>
      <c r="AB27" s="55" t="n"/>
      <c r="AC27" s="49" t="inlineStr">
        <is>
          <t>pendiente</t>
        </is>
      </c>
      <c r="AD27" s="49" t="n"/>
      <c r="AE27" s="49" t="n"/>
      <c r="AF27" s="49" t="n"/>
      <c r="AG27" s="49" t="n"/>
      <c r="AH27" s="49" t="n"/>
      <c r="AI27" s="49" t="n"/>
      <c r="AJ27" s="49" t="n"/>
      <c r="AK27" s="49" t="n"/>
    </row>
    <row r="28" ht="15" customHeight="1" s="27">
      <c r="A28" s="49" t="n"/>
      <c r="B28" s="49" t="inlineStr">
        <is>
          <t>E7_v1</t>
        </is>
      </c>
      <c r="C28" s="50" t="inlineStr">
        <is>
          <t>E7</t>
        </is>
      </c>
      <c r="D28" s="50" t="inlineStr">
        <is>
          <t>temporal</t>
        </is>
      </c>
      <c r="E28" s="50" t="inlineStr">
        <is>
          <t>Prophet + regresores</t>
        </is>
      </c>
      <c r="F28" s="50" t="n">
        <v>3</v>
      </c>
      <c r="G28" s="49" t="n"/>
      <c r="H28" s="50" t="inlineStr">
        <is>
          <t>serie + tendencia</t>
        </is>
      </c>
      <c r="I28" s="50" t="inlineStr">
        <is>
          <t>regresores externos</t>
        </is>
      </c>
      <c r="J28" s="50" t="inlineStr">
        <is>
          <t>original</t>
        </is>
      </c>
      <c r="K28" s="50" t="inlineStr">
        <is>
          <t>todas</t>
        </is>
      </c>
      <c r="L28" s="50" t="inlineStr">
        <is>
          <t>walk-forward</t>
        </is>
      </c>
      <c r="M28" s="49" t="n"/>
      <c r="N28" s="49" t="n"/>
      <c r="O28" s="51">
        <f>CONFIG_REFERENCIA!$E$3</f>
        <v/>
      </c>
      <c r="P28" s="51">
        <f>CONFIG_REFERENCIA!$E$4</f>
        <v/>
      </c>
      <c r="Q28" s="51">
        <f>CONFIG_REFERENCIA!$E$5</f>
        <v/>
      </c>
      <c r="R28" s="51">
        <f>CONFIG_REFERENCIA!$E$6</f>
        <v/>
      </c>
      <c r="S28" s="52">
        <f>IF($F28="","",INDEX(CONFIG_REFERENCIA!$B$3:$B$6,MATCH($F28,CONFIG_REFERENCIA!$A$3:$A$6,0)))</f>
        <v/>
      </c>
      <c r="T28" s="53" t="n"/>
      <c r="U28" s="53" t="n"/>
      <c r="V28" s="53" t="n"/>
      <c r="W28" s="53" t="n"/>
      <c r="X28" s="54">
        <f>IF(COUNTA($T28:$W28)&lt;4,"",$S28*($O28*$T28+$P28*$U28+$Q28*$V28+$R28*$W28))</f>
        <v/>
      </c>
      <c r="Y28" s="53" t="n"/>
      <c r="Z28" s="53" t="n"/>
      <c r="AA28" s="55" t="n"/>
      <c r="AB28" s="55" t="n"/>
      <c r="AC28" s="49" t="inlineStr">
        <is>
          <t>pendiente</t>
        </is>
      </c>
      <c r="AD28" s="49" t="n"/>
      <c r="AE28" s="49" t="n"/>
      <c r="AF28" s="49" t="n"/>
      <c r="AG28" s="49" t="n"/>
      <c r="AH28" s="49" t="n"/>
      <c r="AI28" s="49" t="n"/>
      <c r="AJ28" s="49" t="n"/>
      <c r="AK28" s="49" t="n"/>
    </row>
    <row r="29" ht="15" customHeight="1" s="27">
      <c r="A29" s="49" t="n"/>
      <c r="B29" s="49" t="inlineStr">
        <is>
          <t>E7_v1</t>
        </is>
      </c>
      <c r="C29" s="50" t="inlineStr">
        <is>
          <t>E7</t>
        </is>
      </c>
      <c r="D29" s="50" t="inlineStr">
        <is>
          <t>temporal</t>
        </is>
      </c>
      <c r="E29" s="50" t="inlineStr">
        <is>
          <t>Prophet + regresores</t>
        </is>
      </c>
      <c r="F29" s="50" t="n">
        <v>4</v>
      </c>
      <c r="G29" s="49" t="n"/>
      <c r="H29" s="50" t="inlineStr">
        <is>
          <t>serie + tendencia</t>
        </is>
      </c>
      <c r="I29" s="50" t="inlineStr">
        <is>
          <t>regresores externos</t>
        </is>
      </c>
      <c r="J29" s="50" t="inlineStr">
        <is>
          <t>original</t>
        </is>
      </c>
      <c r="K29" s="50" t="inlineStr">
        <is>
          <t>todas</t>
        </is>
      </c>
      <c r="L29" s="50" t="inlineStr">
        <is>
          <t>walk-forward</t>
        </is>
      </c>
      <c r="M29" s="49" t="n"/>
      <c r="N29" s="49" t="n"/>
      <c r="O29" s="51">
        <f>CONFIG_REFERENCIA!$E$3</f>
        <v/>
      </c>
      <c r="P29" s="51">
        <f>CONFIG_REFERENCIA!$E$4</f>
        <v/>
      </c>
      <c r="Q29" s="51">
        <f>CONFIG_REFERENCIA!$E$5</f>
        <v/>
      </c>
      <c r="R29" s="51">
        <f>CONFIG_REFERENCIA!$E$6</f>
        <v/>
      </c>
      <c r="S29" s="52">
        <f>IF($F29="","",INDEX(CONFIG_REFERENCIA!$B$3:$B$6,MATCH($F29,CONFIG_REFERENCIA!$A$3:$A$6,0)))</f>
        <v/>
      </c>
      <c r="T29" s="53" t="n"/>
      <c r="U29" s="53" t="n"/>
      <c r="V29" s="53" t="n"/>
      <c r="W29" s="53" t="n"/>
      <c r="X29" s="54">
        <f>IF(COUNTA($T29:$W29)&lt;4,"",$S29*($O29*$T29+$P29*$U29+$Q29*$V29+$R29*$W29))</f>
        <v/>
      </c>
      <c r="Y29" s="53" t="n"/>
      <c r="Z29" s="53" t="n"/>
      <c r="AA29" s="55" t="n"/>
      <c r="AB29" s="55" t="n"/>
      <c r="AC29" s="49" t="inlineStr">
        <is>
          <t>pendiente</t>
        </is>
      </c>
      <c r="AD29" s="49" t="n"/>
      <c r="AE29" s="49" t="n"/>
      <c r="AF29" s="49" t="n"/>
      <c r="AG29" s="49" t="n"/>
      <c r="AH29" s="49" t="n"/>
      <c r="AI29" s="49" t="n"/>
      <c r="AJ29" s="49" t="n"/>
      <c r="AK29" s="49" t="n"/>
    </row>
    <row r="30" ht="15" customHeight="1" s="27">
      <c r="A30" s="49" t="n"/>
      <c r="B30" s="49" t="inlineStr">
        <is>
          <t>E8_v1</t>
        </is>
      </c>
      <c r="C30" s="50" t="inlineStr">
        <is>
          <t>E8</t>
        </is>
      </c>
      <c r="D30" s="50" t="inlineStr">
        <is>
          <t>hibrido</t>
        </is>
      </c>
      <c r="E30" s="50" t="inlineStr">
        <is>
          <t>Temporal + boosting residuales</t>
        </is>
      </c>
      <c r="F30" s="50" t="n">
        <v>1</v>
      </c>
      <c r="G30" s="49" t="n"/>
      <c r="H30" s="50" t="inlineStr">
        <is>
          <t>temporal base</t>
        </is>
      </c>
      <c r="I30" s="50" t="inlineStr">
        <is>
          <t>choques no lineales</t>
        </is>
      </c>
      <c r="J30" s="50" t="inlineStr">
        <is>
          <t>original</t>
        </is>
      </c>
      <c r="K30" s="50" t="inlineStr">
        <is>
          <t>todas</t>
        </is>
      </c>
      <c r="L30" s="50" t="inlineStr">
        <is>
          <t>walk-forward</t>
        </is>
      </c>
      <c r="M30" s="49" t="n"/>
      <c r="N30" s="49" t="n"/>
      <c r="O30" s="51">
        <f>CONFIG_REFERENCIA!$E$3</f>
        <v/>
      </c>
      <c r="P30" s="51">
        <f>CONFIG_REFERENCIA!$E$4</f>
        <v/>
      </c>
      <c r="Q30" s="51">
        <f>CONFIG_REFERENCIA!$E$5</f>
        <v/>
      </c>
      <c r="R30" s="51">
        <f>CONFIG_REFERENCIA!$E$6</f>
        <v/>
      </c>
      <c r="S30" s="52">
        <f>IF($F30="","",INDEX(CONFIG_REFERENCIA!$B$3:$B$6,MATCH($F30,CONFIG_REFERENCIA!$A$3:$A$6,0)))</f>
        <v/>
      </c>
      <c r="T30" s="53" t="n"/>
      <c r="U30" s="53" t="n"/>
      <c r="V30" s="53" t="n"/>
      <c r="W30" s="53" t="n"/>
      <c r="X30" s="54">
        <f>IF(COUNTA($T30:$W30)&lt;4,"",$S30*($O30*$T30+$P30*$U30+$Q30*$V30+$R30*$W30))</f>
        <v/>
      </c>
      <c r="Y30" s="53" t="n"/>
      <c r="Z30" s="53" t="n"/>
      <c r="AA30" s="55" t="n"/>
      <c r="AB30" s="55" t="n"/>
      <c r="AC30" s="49" t="inlineStr">
        <is>
          <t>pendiente</t>
        </is>
      </c>
      <c r="AD30" s="49" t="n"/>
      <c r="AE30" s="49" t="n"/>
      <c r="AF30" s="49" t="n"/>
      <c r="AG30" s="49" t="n"/>
      <c r="AH30" s="49" t="n"/>
      <c r="AI30" s="49" t="n"/>
      <c r="AJ30" s="49" t="n"/>
      <c r="AK30" s="49" t="n"/>
    </row>
    <row r="31" ht="15" customHeight="1" s="27">
      <c r="A31" s="49" t="n"/>
      <c r="B31" s="49" t="inlineStr">
        <is>
          <t>E8_v1</t>
        </is>
      </c>
      <c r="C31" s="50" t="inlineStr">
        <is>
          <t>E8</t>
        </is>
      </c>
      <c r="D31" s="50" t="inlineStr">
        <is>
          <t>hibrido</t>
        </is>
      </c>
      <c r="E31" s="50" t="inlineStr">
        <is>
          <t>Temporal + boosting residuales</t>
        </is>
      </c>
      <c r="F31" s="50" t="n">
        <v>2</v>
      </c>
      <c r="G31" s="49" t="n"/>
      <c r="H31" s="50" t="inlineStr">
        <is>
          <t>temporal base</t>
        </is>
      </c>
      <c r="I31" s="50" t="inlineStr">
        <is>
          <t>choques no lineales</t>
        </is>
      </c>
      <c r="J31" s="50" t="inlineStr">
        <is>
          <t>original</t>
        </is>
      </c>
      <c r="K31" s="50" t="inlineStr">
        <is>
          <t>todas</t>
        </is>
      </c>
      <c r="L31" s="50" t="inlineStr">
        <is>
          <t>walk-forward</t>
        </is>
      </c>
      <c r="M31" s="49" t="n"/>
      <c r="N31" s="49" t="n"/>
      <c r="O31" s="51">
        <f>CONFIG_REFERENCIA!$E$3</f>
        <v/>
      </c>
      <c r="P31" s="51">
        <f>CONFIG_REFERENCIA!$E$4</f>
        <v/>
      </c>
      <c r="Q31" s="51">
        <f>CONFIG_REFERENCIA!$E$5</f>
        <v/>
      </c>
      <c r="R31" s="51">
        <f>CONFIG_REFERENCIA!$E$6</f>
        <v/>
      </c>
      <c r="S31" s="52">
        <f>IF($F31="","",INDEX(CONFIG_REFERENCIA!$B$3:$B$6,MATCH($F31,CONFIG_REFERENCIA!$A$3:$A$6,0)))</f>
        <v/>
      </c>
      <c r="T31" s="53" t="n"/>
      <c r="U31" s="53" t="n"/>
      <c r="V31" s="53" t="n"/>
      <c r="W31" s="53" t="n"/>
      <c r="X31" s="54">
        <f>IF(COUNTA($T31:$W31)&lt;4,"",$S31*($O31*$T31+$P31*$U31+$Q31*$V31+$R31*$W31))</f>
        <v/>
      </c>
      <c r="Y31" s="53" t="n"/>
      <c r="Z31" s="53" t="n"/>
      <c r="AA31" s="55" t="n"/>
      <c r="AB31" s="55" t="n"/>
      <c r="AC31" s="49" t="inlineStr">
        <is>
          <t>pendiente</t>
        </is>
      </c>
      <c r="AD31" s="49" t="n"/>
      <c r="AE31" s="49" t="n"/>
      <c r="AF31" s="49" t="n"/>
      <c r="AG31" s="49" t="n"/>
      <c r="AH31" s="49" t="n"/>
      <c r="AI31" s="49" t="n"/>
      <c r="AJ31" s="49" t="n"/>
      <c r="AK31" s="49" t="n"/>
    </row>
    <row r="32" ht="15" customHeight="1" s="27">
      <c r="A32" s="49" t="n"/>
      <c r="B32" s="49" t="inlineStr">
        <is>
          <t>E8_v1</t>
        </is>
      </c>
      <c r="C32" s="50" t="inlineStr">
        <is>
          <t>E8</t>
        </is>
      </c>
      <c r="D32" s="50" t="inlineStr">
        <is>
          <t>hibrido</t>
        </is>
      </c>
      <c r="E32" s="50" t="inlineStr">
        <is>
          <t>Temporal + boosting residuales</t>
        </is>
      </c>
      <c r="F32" s="50" t="n">
        <v>3</v>
      </c>
      <c r="G32" s="49" t="n"/>
      <c r="H32" s="50" t="inlineStr">
        <is>
          <t>temporal base</t>
        </is>
      </c>
      <c r="I32" s="50" t="inlineStr">
        <is>
          <t>choques no lineales</t>
        </is>
      </c>
      <c r="J32" s="50" t="inlineStr">
        <is>
          <t>original</t>
        </is>
      </c>
      <c r="K32" s="50" t="inlineStr">
        <is>
          <t>todas</t>
        </is>
      </c>
      <c r="L32" s="50" t="inlineStr">
        <is>
          <t>walk-forward</t>
        </is>
      </c>
      <c r="M32" s="49" t="n"/>
      <c r="N32" s="49" t="n"/>
      <c r="O32" s="51">
        <f>CONFIG_REFERENCIA!$E$3</f>
        <v/>
      </c>
      <c r="P32" s="51">
        <f>CONFIG_REFERENCIA!$E$4</f>
        <v/>
      </c>
      <c r="Q32" s="51">
        <f>CONFIG_REFERENCIA!$E$5</f>
        <v/>
      </c>
      <c r="R32" s="51">
        <f>CONFIG_REFERENCIA!$E$6</f>
        <v/>
      </c>
      <c r="S32" s="52">
        <f>IF($F32="","",INDEX(CONFIG_REFERENCIA!$B$3:$B$6,MATCH($F32,CONFIG_REFERENCIA!$A$3:$A$6,0)))</f>
        <v/>
      </c>
      <c r="T32" s="53" t="n"/>
      <c r="U32" s="53" t="n"/>
      <c r="V32" s="53" t="n"/>
      <c r="W32" s="53" t="n"/>
      <c r="X32" s="54">
        <f>IF(COUNTA($T32:$W32)&lt;4,"",$S32*($O32*$T32+$P32*$U32+$Q32*$V32+$R32*$W32))</f>
        <v/>
      </c>
      <c r="Y32" s="53" t="n"/>
      <c r="Z32" s="53" t="n"/>
      <c r="AA32" s="55" t="n"/>
      <c r="AB32" s="55" t="n"/>
      <c r="AC32" s="49" t="inlineStr">
        <is>
          <t>pendiente</t>
        </is>
      </c>
      <c r="AD32" s="49" t="n"/>
      <c r="AE32" s="49" t="n"/>
      <c r="AF32" s="49" t="n"/>
      <c r="AG32" s="49" t="n"/>
      <c r="AH32" s="49" t="n"/>
      <c r="AI32" s="49" t="n"/>
      <c r="AJ32" s="49" t="n"/>
      <c r="AK32" s="49" t="n"/>
    </row>
    <row r="33" ht="15" customHeight="1" s="27">
      <c r="A33" s="49" t="n"/>
      <c r="B33" s="49" t="inlineStr">
        <is>
          <t>E8_v1</t>
        </is>
      </c>
      <c r="C33" s="50" t="inlineStr">
        <is>
          <t>E8</t>
        </is>
      </c>
      <c r="D33" s="50" t="inlineStr">
        <is>
          <t>hibrido</t>
        </is>
      </c>
      <c r="E33" s="50" t="inlineStr">
        <is>
          <t>Temporal + boosting residuales</t>
        </is>
      </c>
      <c r="F33" s="50" t="n">
        <v>4</v>
      </c>
      <c r="G33" s="49" t="n"/>
      <c r="H33" s="50" t="inlineStr">
        <is>
          <t>temporal base</t>
        </is>
      </c>
      <c r="I33" s="50" t="inlineStr">
        <is>
          <t>choques no lineales</t>
        </is>
      </c>
      <c r="J33" s="50" t="inlineStr">
        <is>
          <t>original</t>
        </is>
      </c>
      <c r="K33" s="50" t="inlineStr">
        <is>
          <t>todas</t>
        </is>
      </c>
      <c r="L33" s="50" t="inlineStr">
        <is>
          <t>walk-forward</t>
        </is>
      </c>
      <c r="M33" s="49" t="n"/>
      <c r="N33" s="49" t="n"/>
      <c r="O33" s="51">
        <f>CONFIG_REFERENCIA!$E$3</f>
        <v/>
      </c>
      <c r="P33" s="51">
        <f>CONFIG_REFERENCIA!$E$4</f>
        <v/>
      </c>
      <c r="Q33" s="51">
        <f>CONFIG_REFERENCIA!$E$5</f>
        <v/>
      </c>
      <c r="R33" s="51">
        <f>CONFIG_REFERENCIA!$E$6</f>
        <v/>
      </c>
      <c r="S33" s="52">
        <f>IF($F33="","",INDEX(CONFIG_REFERENCIA!$B$3:$B$6,MATCH($F33,CONFIG_REFERENCIA!$A$3:$A$6,0)))</f>
        <v/>
      </c>
      <c r="T33" s="53" t="n"/>
      <c r="U33" s="53" t="n"/>
      <c r="V33" s="53" t="n"/>
      <c r="W33" s="53" t="n"/>
      <c r="X33" s="54">
        <f>IF(COUNTA($T33:$W33)&lt;4,"",$S33*($O33*$T33+$P33*$U33+$Q33*$V33+$R33*$W33))</f>
        <v/>
      </c>
      <c r="Y33" s="53" t="n"/>
      <c r="Z33" s="53" t="n"/>
      <c r="AA33" s="55" t="n"/>
      <c r="AB33" s="55" t="n"/>
      <c r="AC33" s="49" t="inlineStr">
        <is>
          <t>pendiente</t>
        </is>
      </c>
      <c r="AD33" s="49" t="n"/>
      <c r="AE33" s="49" t="n"/>
      <c r="AF33" s="49" t="n"/>
      <c r="AG33" s="49" t="n"/>
      <c r="AH33" s="49" t="n"/>
      <c r="AI33" s="49" t="n"/>
      <c r="AJ33" s="49" t="n"/>
      <c r="AK33" s="49" t="n"/>
    </row>
    <row r="34" ht="15" customHeight="1" s="27">
      <c r="A34" s="49" t="n"/>
      <c r="B34" s="49" t="inlineStr">
        <is>
          <t>E9_v1</t>
        </is>
      </c>
      <c r="C34" s="50" t="inlineStr">
        <is>
          <t>E9</t>
        </is>
      </c>
      <c r="D34" s="50" t="inlineStr">
        <is>
          <t>hibrido</t>
        </is>
      </c>
      <c r="E34" s="50" t="inlineStr">
        <is>
          <t>Stacking lineal + boosting + temporal</t>
        </is>
      </c>
      <c r="F34" s="50" t="n">
        <v>1</v>
      </c>
      <c r="G34" s="49" t="n"/>
      <c r="H34" s="50" t="inlineStr">
        <is>
          <t>senales complementarias</t>
        </is>
      </c>
      <c r="I34" s="50" t="inlineStr">
        <is>
          <t>variables mixtas</t>
        </is>
      </c>
      <c r="J34" s="50" t="inlineStr">
        <is>
          <t>original</t>
        </is>
      </c>
      <c r="K34" s="50" t="inlineStr">
        <is>
          <t>todas</t>
        </is>
      </c>
      <c r="L34" s="50" t="inlineStr">
        <is>
          <t>walk-forward</t>
        </is>
      </c>
      <c r="M34" s="49" t="n"/>
      <c r="N34" s="49" t="n"/>
      <c r="O34" s="51">
        <f>CONFIG_REFERENCIA!$E$3</f>
        <v/>
      </c>
      <c r="P34" s="51">
        <f>CONFIG_REFERENCIA!$E$4</f>
        <v/>
      </c>
      <c r="Q34" s="51">
        <f>CONFIG_REFERENCIA!$E$5</f>
        <v/>
      </c>
      <c r="R34" s="51">
        <f>CONFIG_REFERENCIA!$E$6</f>
        <v/>
      </c>
      <c r="S34" s="52">
        <f>IF($F34="","",INDEX(CONFIG_REFERENCIA!$B$3:$B$6,MATCH($F34,CONFIG_REFERENCIA!$A$3:$A$6,0)))</f>
        <v/>
      </c>
      <c r="T34" s="53" t="n"/>
      <c r="U34" s="53" t="n"/>
      <c r="V34" s="53" t="n"/>
      <c r="W34" s="53" t="n"/>
      <c r="X34" s="54">
        <f>IF(COUNTA($T34:$W34)&lt;4,"",$S34*($O34*$T34+$P34*$U34+$Q34*$V34+$R34*$W34))</f>
        <v/>
      </c>
      <c r="Y34" s="53" t="n"/>
      <c r="Z34" s="53" t="n"/>
      <c r="AA34" s="55" t="n"/>
      <c r="AB34" s="55" t="n"/>
      <c r="AC34" s="49" t="inlineStr">
        <is>
          <t>pendiente</t>
        </is>
      </c>
      <c r="AD34" s="49" t="n"/>
      <c r="AE34" s="49" t="n"/>
      <c r="AF34" s="49" t="n"/>
      <c r="AG34" s="49" t="n"/>
      <c r="AH34" s="49" t="n"/>
      <c r="AI34" s="49" t="n"/>
      <c r="AJ34" s="49" t="n"/>
      <c r="AK34" s="49" t="n"/>
    </row>
    <row r="35" ht="15" customHeight="1" s="27">
      <c r="A35" s="49" t="n"/>
      <c r="B35" s="49" t="inlineStr">
        <is>
          <t>E9_v1</t>
        </is>
      </c>
      <c r="C35" s="50" t="inlineStr">
        <is>
          <t>E9</t>
        </is>
      </c>
      <c r="D35" s="50" t="inlineStr">
        <is>
          <t>hibrido</t>
        </is>
      </c>
      <c r="E35" s="50" t="inlineStr">
        <is>
          <t>Stacking lineal + boosting + temporal</t>
        </is>
      </c>
      <c r="F35" s="50" t="n">
        <v>2</v>
      </c>
      <c r="G35" s="49" t="n"/>
      <c r="H35" s="50" t="inlineStr">
        <is>
          <t>senales complementarias</t>
        </is>
      </c>
      <c r="I35" s="50" t="inlineStr">
        <is>
          <t>variables mixtas</t>
        </is>
      </c>
      <c r="J35" s="50" t="inlineStr">
        <is>
          <t>original</t>
        </is>
      </c>
      <c r="K35" s="50" t="inlineStr">
        <is>
          <t>todas</t>
        </is>
      </c>
      <c r="L35" s="50" t="inlineStr">
        <is>
          <t>walk-forward</t>
        </is>
      </c>
      <c r="M35" s="49" t="n"/>
      <c r="N35" s="49" t="n"/>
      <c r="O35" s="51">
        <f>CONFIG_REFERENCIA!$E$3</f>
        <v/>
      </c>
      <c r="P35" s="51">
        <f>CONFIG_REFERENCIA!$E$4</f>
        <v/>
      </c>
      <c r="Q35" s="51">
        <f>CONFIG_REFERENCIA!$E$5</f>
        <v/>
      </c>
      <c r="R35" s="51">
        <f>CONFIG_REFERENCIA!$E$6</f>
        <v/>
      </c>
      <c r="S35" s="52">
        <f>IF($F35="","",INDEX(CONFIG_REFERENCIA!$B$3:$B$6,MATCH($F35,CONFIG_REFERENCIA!$A$3:$A$6,0)))</f>
        <v/>
      </c>
      <c r="T35" s="53" t="n"/>
      <c r="U35" s="53" t="n"/>
      <c r="V35" s="53" t="n"/>
      <c r="W35" s="53" t="n"/>
      <c r="X35" s="54">
        <f>IF(COUNTA($T35:$W35)&lt;4,"",$S35*($O35*$T35+$P35*$U35+$Q35*$V35+$R35*$W35))</f>
        <v/>
      </c>
      <c r="Y35" s="53" t="n"/>
      <c r="Z35" s="53" t="n"/>
      <c r="AA35" s="55" t="n"/>
      <c r="AB35" s="55" t="n"/>
      <c r="AC35" s="49" t="inlineStr">
        <is>
          <t>pendiente</t>
        </is>
      </c>
      <c r="AD35" s="49" t="n"/>
      <c r="AE35" s="49" t="n"/>
      <c r="AF35" s="49" t="n"/>
      <c r="AG35" s="49" t="n"/>
      <c r="AH35" s="49" t="n"/>
      <c r="AI35" s="49" t="n"/>
      <c r="AJ35" s="49" t="n"/>
      <c r="AK35" s="49" t="n"/>
    </row>
    <row r="36" ht="15" customHeight="1" s="27">
      <c r="A36" s="49" t="n"/>
      <c r="B36" s="49" t="inlineStr">
        <is>
          <t>E9_v1</t>
        </is>
      </c>
      <c r="C36" s="50" t="inlineStr">
        <is>
          <t>E9</t>
        </is>
      </c>
      <c r="D36" s="50" t="inlineStr">
        <is>
          <t>hibrido</t>
        </is>
      </c>
      <c r="E36" s="50" t="inlineStr">
        <is>
          <t>Stacking lineal + boosting + temporal</t>
        </is>
      </c>
      <c r="F36" s="50" t="n">
        <v>3</v>
      </c>
      <c r="G36" s="49" t="n"/>
      <c r="H36" s="50" t="inlineStr">
        <is>
          <t>senales complementarias</t>
        </is>
      </c>
      <c r="I36" s="50" t="inlineStr">
        <is>
          <t>variables mixtas</t>
        </is>
      </c>
      <c r="J36" s="50" t="inlineStr">
        <is>
          <t>original</t>
        </is>
      </c>
      <c r="K36" s="50" t="inlineStr">
        <is>
          <t>todas</t>
        </is>
      </c>
      <c r="L36" s="50" t="inlineStr">
        <is>
          <t>walk-forward</t>
        </is>
      </c>
      <c r="M36" s="49" t="n"/>
      <c r="N36" s="49" t="n"/>
      <c r="O36" s="51">
        <f>CONFIG_REFERENCIA!$E$3</f>
        <v/>
      </c>
      <c r="P36" s="51">
        <f>CONFIG_REFERENCIA!$E$4</f>
        <v/>
      </c>
      <c r="Q36" s="51">
        <f>CONFIG_REFERENCIA!$E$5</f>
        <v/>
      </c>
      <c r="R36" s="51">
        <f>CONFIG_REFERENCIA!$E$6</f>
        <v/>
      </c>
      <c r="S36" s="52">
        <f>IF($F36="","",INDEX(CONFIG_REFERENCIA!$B$3:$B$6,MATCH($F36,CONFIG_REFERENCIA!$A$3:$A$6,0)))</f>
        <v/>
      </c>
      <c r="T36" s="53" t="n"/>
      <c r="U36" s="53" t="n"/>
      <c r="V36" s="53" t="n"/>
      <c r="W36" s="53" t="n"/>
      <c r="X36" s="54">
        <f>IF(COUNTA($T36:$W36)&lt;4,"",$S36*($O36*$T36+$P36*$U36+$Q36*$V36+$R36*$W36))</f>
        <v/>
      </c>
      <c r="Y36" s="53" t="n"/>
      <c r="Z36" s="53" t="n"/>
      <c r="AA36" s="55" t="n"/>
      <c r="AB36" s="55" t="n"/>
      <c r="AC36" s="49" t="inlineStr">
        <is>
          <t>pendiente</t>
        </is>
      </c>
      <c r="AD36" s="49" t="n"/>
      <c r="AE36" s="49" t="n"/>
      <c r="AF36" s="49" t="n"/>
      <c r="AG36" s="49" t="n"/>
      <c r="AH36" s="49" t="n"/>
      <c r="AI36" s="49" t="n"/>
      <c r="AJ36" s="49" t="n"/>
      <c r="AK36" s="49" t="n"/>
    </row>
    <row r="37" ht="15" customHeight="1" s="27">
      <c r="A37" s="49" t="n"/>
      <c r="B37" s="49" t="inlineStr">
        <is>
          <t>E9_v1</t>
        </is>
      </c>
      <c r="C37" s="50" t="inlineStr">
        <is>
          <t>E9</t>
        </is>
      </c>
      <c r="D37" s="50" t="inlineStr">
        <is>
          <t>hibrido</t>
        </is>
      </c>
      <c r="E37" s="50" t="inlineStr">
        <is>
          <t>Stacking lineal + boosting + temporal</t>
        </is>
      </c>
      <c r="F37" s="50" t="n">
        <v>4</v>
      </c>
      <c r="G37" s="49" t="n"/>
      <c r="H37" s="50" t="inlineStr">
        <is>
          <t>senales complementarias</t>
        </is>
      </c>
      <c r="I37" s="50" t="inlineStr">
        <is>
          <t>variables mixtas</t>
        </is>
      </c>
      <c r="J37" s="50" t="inlineStr">
        <is>
          <t>original</t>
        </is>
      </c>
      <c r="K37" s="50" t="inlineStr">
        <is>
          <t>todas</t>
        </is>
      </c>
      <c r="L37" s="50" t="inlineStr">
        <is>
          <t>walk-forward</t>
        </is>
      </c>
      <c r="M37" s="49" t="n"/>
      <c r="N37" s="49" t="n"/>
      <c r="O37" s="51">
        <f>CONFIG_REFERENCIA!$E$3</f>
        <v/>
      </c>
      <c r="P37" s="51">
        <f>CONFIG_REFERENCIA!$E$4</f>
        <v/>
      </c>
      <c r="Q37" s="51">
        <f>CONFIG_REFERENCIA!$E$5</f>
        <v/>
      </c>
      <c r="R37" s="51">
        <f>CONFIG_REFERENCIA!$E$6</f>
        <v/>
      </c>
      <c r="S37" s="52">
        <f>IF($F37="","",INDEX(CONFIG_REFERENCIA!$B$3:$B$6,MATCH($F37,CONFIG_REFERENCIA!$A$3:$A$6,0)))</f>
        <v/>
      </c>
      <c r="T37" s="53" t="n"/>
      <c r="U37" s="53" t="n"/>
      <c r="V37" s="53" t="n"/>
      <c r="W37" s="53" t="n"/>
      <c r="X37" s="54">
        <f>IF(COUNTA($T37:$W37)&lt;4,"",$S37*($O37*$T37+$P37*$U37+$Q37*$V37+$R37*$W37))</f>
        <v/>
      </c>
      <c r="Y37" s="53" t="n"/>
      <c r="Z37" s="53" t="n"/>
      <c r="AA37" s="55" t="n"/>
      <c r="AB37" s="55" t="n"/>
      <c r="AC37" s="49" t="inlineStr">
        <is>
          <t>pendiente</t>
        </is>
      </c>
      <c r="AD37" s="49" t="n"/>
      <c r="AE37" s="49" t="n"/>
      <c r="AF37" s="49" t="n"/>
      <c r="AG37" s="49" t="n"/>
      <c r="AH37" s="49" t="n"/>
      <c r="AI37" s="49" t="n"/>
      <c r="AJ37" s="49" t="n"/>
      <c r="AK37" s="49" t="n"/>
    </row>
    <row r="38" ht="26.5" customHeight="1" s="27">
      <c r="A38" s="49" t="n"/>
      <c r="B38" s="49" t="inlineStr">
        <is>
          <t>E10_v1</t>
        </is>
      </c>
      <c r="C38" s="50" t="inlineStr">
        <is>
          <t>E10</t>
        </is>
      </c>
      <c r="D38" s="50" t="inlineStr">
        <is>
          <t>ensemble</t>
        </is>
      </c>
      <c r="E38" s="50" t="inlineStr">
        <is>
          <t>Mejor modelo por horizonte + ensemble</t>
        </is>
      </c>
      <c r="F38" s="50" t="n">
        <v>1</v>
      </c>
      <c r="G38" s="49" t="n"/>
      <c r="H38" s="50" t="inlineStr">
        <is>
          <t>ganadores por horizonte</t>
        </is>
      </c>
      <c r="I38" s="50" t="inlineStr">
        <is>
          <t>senales complementarias</t>
        </is>
      </c>
      <c r="J38" s="50" t="inlineStr">
        <is>
          <t>original</t>
        </is>
      </c>
      <c r="K38" s="50" t="inlineStr">
        <is>
          <t>todas</t>
        </is>
      </c>
      <c r="L38" s="50" t="inlineStr">
        <is>
          <t>walk-forward</t>
        </is>
      </c>
      <c r="M38" s="49" t="n"/>
      <c r="N38" s="49" t="n"/>
      <c r="O38" s="51">
        <f>CONFIG_REFERENCIA!$E$3</f>
        <v/>
      </c>
      <c r="P38" s="51">
        <f>CONFIG_REFERENCIA!$E$4</f>
        <v/>
      </c>
      <c r="Q38" s="51">
        <f>CONFIG_REFERENCIA!$E$5</f>
        <v/>
      </c>
      <c r="R38" s="51">
        <f>CONFIG_REFERENCIA!$E$6</f>
        <v/>
      </c>
      <c r="S38" s="52">
        <f>IF($F38="","",INDEX(CONFIG_REFERENCIA!$B$3:$B$6,MATCH($F38,CONFIG_REFERENCIA!$A$3:$A$6,0)))</f>
        <v/>
      </c>
      <c r="T38" s="53" t="n"/>
      <c r="U38" s="53" t="n"/>
      <c r="V38" s="53" t="n"/>
      <c r="W38" s="53" t="n"/>
      <c r="X38" s="54">
        <f>IF(COUNTA($T38:$W38)&lt;4,"",$S38*($O38*$T38+$P38*$U38+$Q38*$V38+$R38*$W38))</f>
        <v/>
      </c>
      <c r="Y38" s="53" t="n"/>
      <c r="Z38" s="53" t="n"/>
      <c r="AA38" s="55" t="n"/>
      <c r="AB38" s="55" t="n"/>
      <c r="AC38" s="49" t="inlineStr">
        <is>
          <t>pendiente</t>
        </is>
      </c>
      <c r="AD38" s="49" t="n"/>
      <c r="AE38" s="49" t="n"/>
      <c r="AF38" s="49" t="n"/>
      <c r="AG38" s="49" t="n"/>
      <c r="AH38" s="49" t="n"/>
      <c r="AI38" s="49" t="n"/>
      <c r="AJ38" s="49" t="n"/>
      <c r="AK38" s="49" t="n"/>
    </row>
    <row r="39" ht="26.5" customHeight="1" s="27">
      <c r="A39" s="49" t="n"/>
      <c r="B39" s="49" t="inlineStr">
        <is>
          <t>E10_v1</t>
        </is>
      </c>
      <c r="C39" s="50" t="inlineStr">
        <is>
          <t>E10</t>
        </is>
      </c>
      <c r="D39" s="50" t="inlineStr">
        <is>
          <t>ensemble</t>
        </is>
      </c>
      <c r="E39" s="50" t="inlineStr">
        <is>
          <t>Mejor modelo por horizonte + ensemble</t>
        </is>
      </c>
      <c r="F39" s="50" t="n">
        <v>2</v>
      </c>
      <c r="G39" s="49" t="n"/>
      <c r="H39" s="50" t="inlineStr">
        <is>
          <t>ganadores por horizonte</t>
        </is>
      </c>
      <c r="I39" s="50" t="inlineStr">
        <is>
          <t>senales complementarias</t>
        </is>
      </c>
      <c r="J39" s="50" t="inlineStr">
        <is>
          <t>original</t>
        </is>
      </c>
      <c r="K39" s="50" t="inlineStr">
        <is>
          <t>todas</t>
        </is>
      </c>
      <c r="L39" s="50" t="inlineStr">
        <is>
          <t>walk-forward</t>
        </is>
      </c>
      <c r="M39" s="49" t="n"/>
      <c r="N39" s="49" t="n"/>
      <c r="O39" s="51">
        <f>CONFIG_REFERENCIA!$E$3</f>
        <v/>
      </c>
      <c r="P39" s="51">
        <f>CONFIG_REFERENCIA!$E$4</f>
        <v/>
      </c>
      <c r="Q39" s="51">
        <f>CONFIG_REFERENCIA!$E$5</f>
        <v/>
      </c>
      <c r="R39" s="51">
        <f>CONFIG_REFERENCIA!$E$6</f>
        <v/>
      </c>
      <c r="S39" s="52">
        <f>IF($F39="","",INDEX(CONFIG_REFERENCIA!$B$3:$B$6,MATCH($F39,CONFIG_REFERENCIA!$A$3:$A$6,0)))</f>
        <v/>
      </c>
      <c r="T39" s="53" t="n"/>
      <c r="U39" s="53" t="n"/>
      <c r="V39" s="53" t="n"/>
      <c r="W39" s="53" t="n"/>
      <c r="X39" s="54">
        <f>IF(COUNTA($T39:$W39)&lt;4,"",$S39*($O39*$T39+$P39*$U39+$Q39*$V39+$R39*$W39))</f>
        <v/>
      </c>
      <c r="Y39" s="53" t="n"/>
      <c r="Z39" s="53" t="n"/>
      <c r="AA39" s="55" t="n"/>
      <c r="AB39" s="55" t="n"/>
      <c r="AC39" s="49" t="inlineStr">
        <is>
          <t>pendiente</t>
        </is>
      </c>
      <c r="AD39" s="49" t="n"/>
      <c r="AE39" s="49" t="n"/>
      <c r="AF39" s="49" t="n"/>
      <c r="AG39" s="49" t="n"/>
      <c r="AH39" s="49" t="n"/>
      <c r="AI39" s="49" t="n"/>
      <c r="AJ39" s="49" t="n"/>
      <c r="AK39" s="49" t="n"/>
    </row>
    <row r="40" ht="26.5" customHeight="1" s="27">
      <c r="A40" s="49" t="n"/>
      <c r="B40" s="49" t="inlineStr">
        <is>
          <t>E10_v1</t>
        </is>
      </c>
      <c r="C40" s="50" t="inlineStr">
        <is>
          <t>E10</t>
        </is>
      </c>
      <c r="D40" s="50" t="inlineStr">
        <is>
          <t>ensemble</t>
        </is>
      </c>
      <c r="E40" s="50" t="inlineStr">
        <is>
          <t>Mejor modelo por horizonte + ensemble</t>
        </is>
      </c>
      <c r="F40" s="50" t="n">
        <v>3</v>
      </c>
      <c r="G40" s="49" t="n"/>
      <c r="H40" s="50" t="inlineStr">
        <is>
          <t>ganadores por horizonte</t>
        </is>
      </c>
      <c r="I40" s="50" t="inlineStr">
        <is>
          <t>senales complementarias</t>
        </is>
      </c>
      <c r="J40" s="50" t="inlineStr">
        <is>
          <t>original</t>
        </is>
      </c>
      <c r="K40" s="50" t="inlineStr">
        <is>
          <t>todas</t>
        </is>
      </c>
      <c r="L40" s="50" t="inlineStr">
        <is>
          <t>walk-forward</t>
        </is>
      </c>
      <c r="M40" s="49" t="n"/>
      <c r="N40" s="49" t="n"/>
      <c r="O40" s="51">
        <f>CONFIG_REFERENCIA!$E$3</f>
        <v/>
      </c>
      <c r="P40" s="51">
        <f>CONFIG_REFERENCIA!$E$4</f>
        <v/>
      </c>
      <c r="Q40" s="51">
        <f>CONFIG_REFERENCIA!$E$5</f>
        <v/>
      </c>
      <c r="R40" s="51">
        <f>CONFIG_REFERENCIA!$E$6</f>
        <v/>
      </c>
      <c r="S40" s="52">
        <f>IF($F40="","",INDEX(CONFIG_REFERENCIA!$B$3:$B$6,MATCH($F40,CONFIG_REFERENCIA!$A$3:$A$6,0)))</f>
        <v/>
      </c>
      <c r="T40" s="53" t="n"/>
      <c r="U40" s="53" t="n"/>
      <c r="V40" s="53" t="n"/>
      <c r="W40" s="53" t="n"/>
      <c r="X40" s="54">
        <f>IF(COUNTA($T40:$W40)&lt;4,"",$S40*($O40*$T40+$P40*$U40+$Q40*$V40+$R40*$W40))</f>
        <v/>
      </c>
      <c r="Y40" s="53" t="n"/>
      <c r="Z40" s="53" t="n"/>
      <c r="AA40" s="55" t="n"/>
      <c r="AB40" s="55" t="n"/>
      <c r="AC40" s="49" t="inlineStr">
        <is>
          <t>pendiente</t>
        </is>
      </c>
      <c r="AD40" s="49" t="n"/>
      <c r="AE40" s="49" t="n"/>
      <c r="AF40" s="49" t="n"/>
      <c r="AG40" s="49" t="n"/>
      <c r="AH40" s="49" t="n"/>
      <c r="AI40" s="49" t="n"/>
      <c r="AJ40" s="49" t="n"/>
      <c r="AK40" s="49" t="n"/>
    </row>
    <row r="41" ht="26.5" customHeight="1" s="27">
      <c r="A41" s="49" t="n"/>
      <c r="B41" s="49" t="inlineStr">
        <is>
          <t>E10_v1</t>
        </is>
      </c>
      <c r="C41" s="50" t="inlineStr">
        <is>
          <t>E10</t>
        </is>
      </c>
      <c r="D41" s="50" t="inlineStr">
        <is>
          <t>ensemble</t>
        </is>
      </c>
      <c r="E41" s="50" t="inlineStr">
        <is>
          <t>Mejor modelo por horizonte + ensemble</t>
        </is>
      </c>
      <c r="F41" s="50" t="n">
        <v>4</v>
      </c>
      <c r="G41" s="49" t="n"/>
      <c r="H41" s="50" t="inlineStr">
        <is>
          <t>ganadores por horizonte</t>
        </is>
      </c>
      <c r="I41" s="50" t="inlineStr">
        <is>
          <t>senales complementarias</t>
        </is>
      </c>
      <c r="J41" s="50" t="inlineStr">
        <is>
          <t>original</t>
        </is>
      </c>
      <c r="K41" s="50" t="inlineStr">
        <is>
          <t>todas</t>
        </is>
      </c>
      <c r="L41" s="50" t="inlineStr">
        <is>
          <t>walk-forward</t>
        </is>
      </c>
      <c r="M41" s="49" t="n"/>
      <c r="N41" s="49" t="n"/>
      <c r="O41" s="51">
        <f>CONFIG_REFERENCIA!$E$3</f>
        <v/>
      </c>
      <c r="P41" s="51">
        <f>CONFIG_REFERENCIA!$E$4</f>
        <v/>
      </c>
      <c r="Q41" s="51">
        <f>CONFIG_REFERENCIA!$E$5</f>
        <v/>
      </c>
      <c r="R41" s="51">
        <f>CONFIG_REFERENCIA!$E$6</f>
        <v/>
      </c>
      <c r="S41" s="52">
        <f>IF($F41="","",INDEX(CONFIG_REFERENCIA!$B$3:$B$6,MATCH($F41,CONFIG_REFERENCIA!$A$3:$A$6,0)))</f>
        <v/>
      </c>
      <c r="T41" s="53" t="n"/>
      <c r="U41" s="53" t="n"/>
      <c r="V41" s="53" t="n"/>
      <c r="W41" s="53" t="n"/>
      <c r="X41" s="54">
        <f>IF(COUNTA($T41:$W41)&lt;4,"",$S41*($O41*$T41+$P41*$U41+$Q41*$V41+$R41*$W41))</f>
        <v/>
      </c>
      <c r="Y41" s="53" t="n"/>
      <c r="Z41" s="53" t="n"/>
      <c r="AA41" s="55" t="n"/>
      <c r="AB41" s="55" t="n"/>
      <c r="AC41" s="49" t="inlineStr">
        <is>
          <t>pendiente</t>
        </is>
      </c>
      <c r="AD41" s="49" t="n"/>
      <c r="AE41" s="49" t="n"/>
      <c r="AF41" s="49" t="n"/>
      <c r="AG41" s="49" t="n"/>
      <c r="AH41" s="49" t="n"/>
      <c r="AI41" s="49" t="n"/>
      <c r="AJ41" s="49" t="n"/>
      <c r="AK41" s="49" t="n"/>
    </row>
    <row r="42" ht="15" customHeight="1" s="27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51">
        <f>CONFIG_REFERENCIA!$E$3</f>
        <v/>
      </c>
      <c r="P42" s="51">
        <f>CONFIG_REFERENCIA!$E$4</f>
        <v/>
      </c>
      <c r="Q42" s="51">
        <f>CONFIG_REFERENCIA!$E$5</f>
        <v/>
      </c>
      <c r="R42" s="51">
        <f>CONFIG_REFERENCIA!$E$6</f>
        <v/>
      </c>
      <c r="S42" s="52">
        <f>IF($F42="","",INDEX(CONFIG_REFERENCIA!$B$3:$B$6,MATCH($F42,CONFIG_REFERENCIA!$A$3:$A$6,0)))</f>
        <v/>
      </c>
      <c r="T42" s="53" t="n"/>
      <c r="U42" s="53" t="n"/>
      <c r="V42" s="53" t="n"/>
      <c r="W42" s="53" t="n"/>
      <c r="X42" s="54">
        <f>IF(COUNTA($T42:$W42)&lt;4,"",$S42*($O42*$T42+$P42*$U42+$Q42*$V42+$R42*$W42))</f>
        <v/>
      </c>
      <c r="Y42" s="53" t="n"/>
      <c r="Z42" s="53" t="n"/>
      <c r="AA42" s="55" t="n"/>
      <c r="AB42" s="55" t="n"/>
      <c r="AC42" s="49" t="n"/>
      <c r="AD42" s="49" t="n"/>
      <c r="AE42" s="49" t="n"/>
      <c r="AF42" s="49" t="n"/>
      <c r="AG42" s="49" t="n"/>
      <c r="AH42" s="49" t="n"/>
      <c r="AI42" s="49" t="n"/>
      <c r="AJ42" s="49" t="n"/>
      <c r="AK42" s="49" t="n"/>
    </row>
    <row r="43" ht="15" customHeight="1" s="27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51">
        <f>CONFIG_REFERENCIA!$E$3</f>
        <v/>
      </c>
      <c r="P43" s="51">
        <f>CONFIG_REFERENCIA!$E$4</f>
        <v/>
      </c>
      <c r="Q43" s="51">
        <f>CONFIG_REFERENCIA!$E$5</f>
        <v/>
      </c>
      <c r="R43" s="51">
        <f>CONFIG_REFERENCIA!$E$6</f>
        <v/>
      </c>
      <c r="S43" s="52">
        <f>IF($F43="","",INDEX(CONFIG_REFERENCIA!$B$3:$B$6,MATCH($F43,CONFIG_REFERENCIA!$A$3:$A$6,0)))</f>
        <v/>
      </c>
      <c r="T43" s="53" t="n"/>
      <c r="U43" s="53" t="n"/>
      <c r="V43" s="53" t="n"/>
      <c r="W43" s="53" t="n"/>
      <c r="X43" s="54">
        <f>IF(COUNTA($T43:$W43)&lt;4,"",$S43*($O43*$T43+$P43*$U43+$Q43*$V43+$R43*$W43))</f>
        <v/>
      </c>
      <c r="Y43" s="53" t="n"/>
      <c r="Z43" s="53" t="n"/>
      <c r="AA43" s="55" t="n"/>
      <c r="AB43" s="55" t="n"/>
      <c r="AC43" s="49" t="n"/>
      <c r="AD43" s="49" t="n"/>
      <c r="AE43" s="49" t="n"/>
      <c r="AF43" s="49" t="n"/>
      <c r="AG43" s="49" t="n"/>
      <c r="AH43" s="49" t="n"/>
      <c r="AI43" s="49" t="n"/>
      <c r="AJ43" s="49" t="n"/>
      <c r="AK43" s="49" t="n"/>
    </row>
    <row r="44" ht="15" customHeight="1" s="27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51">
        <f>CONFIG_REFERENCIA!$E$3</f>
        <v/>
      </c>
      <c r="P44" s="51">
        <f>CONFIG_REFERENCIA!$E$4</f>
        <v/>
      </c>
      <c r="Q44" s="51">
        <f>CONFIG_REFERENCIA!$E$5</f>
        <v/>
      </c>
      <c r="R44" s="51">
        <f>CONFIG_REFERENCIA!$E$6</f>
        <v/>
      </c>
      <c r="S44" s="52">
        <f>IF($F44="","",INDEX(CONFIG_REFERENCIA!$B$3:$B$6,MATCH($F44,CONFIG_REFERENCIA!$A$3:$A$6,0)))</f>
        <v/>
      </c>
      <c r="T44" s="53" t="n"/>
      <c r="U44" s="53" t="n"/>
      <c r="V44" s="53" t="n"/>
      <c r="W44" s="53" t="n"/>
      <c r="X44" s="54">
        <f>IF(COUNTA($T44:$W44)&lt;4,"",$S44*($O44*$T44+$P44*$U44+$Q44*$V44+$R44*$W44))</f>
        <v/>
      </c>
      <c r="Y44" s="53" t="n"/>
      <c r="Z44" s="53" t="n"/>
      <c r="AA44" s="55" t="n"/>
      <c r="AB44" s="55" t="n"/>
      <c r="AC44" s="49" t="n"/>
      <c r="AD44" s="49" t="n"/>
      <c r="AE44" s="49" t="n"/>
      <c r="AF44" s="49" t="n"/>
      <c r="AG44" s="49" t="n"/>
      <c r="AH44" s="49" t="n"/>
      <c r="AI44" s="49" t="n"/>
      <c r="AJ44" s="49" t="n"/>
      <c r="AK44" s="49" t="n"/>
    </row>
    <row r="45" ht="15" customHeight="1" s="27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51">
        <f>CONFIG_REFERENCIA!$E$3</f>
        <v/>
      </c>
      <c r="P45" s="51">
        <f>CONFIG_REFERENCIA!$E$4</f>
        <v/>
      </c>
      <c r="Q45" s="51">
        <f>CONFIG_REFERENCIA!$E$5</f>
        <v/>
      </c>
      <c r="R45" s="51">
        <f>CONFIG_REFERENCIA!$E$6</f>
        <v/>
      </c>
      <c r="S45" s="52">
        <f>IF($F45="","",INDEX(CONFIG_REFERENCIA!$B$3:$B$6,MATCH($F45,CONFIG_REFERENCIA!$A$3:$A$6,0)))</f>
        <v/>
      </c>
      <c r="T45" s="53" t="n"/>
      <c r="U45" s="53" t="n"/>
      <c r="V45" s="53" t="n"/>
      <c r="W45" s="53" t="n"/>
      <c r="X45" s="54">
        <f>IF(COUNTA($T45:$W45)&lt;4,"",$S45*($O45*$T45+$P45*$U45+$Q45*$V45+$R45*$W45))</f>
        <v/>
      </c>
      <c r="Y45" s="53" t="n"/>
      <c r="Z45" s="53" t="n"/>
      <c r="AA45" s="55" t="n"/>
      <c r="AB45" s="55" t="n"/>
      <c r="AC45" s="49" t="n"/>
      <c r="AD45" s="49" t="n"/>
      <c r="AE45" s="49" t="n"/>
      <c r="AF45" s="49" t="n"/>
      <c r="AG45" s="49" t="n"/>
      <c r="AH45" s="49" t="n"/>
      <c r="AI45" s="49" t="n"/>
      <c r="AJ45" s="49" t="n"/>
      <c r="AK45" s="49" t="n"/>
    </row>
    <row r="46" ht="15" customHeight="1" s="27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51">
        <f>CONFIG_REFERENCIA!$E$3</f>
        <v/>
      </c>
      <c r="P46" s="51">
        <f>CONFIG_REFERENCIA!$E$4</f>
        <v/>
      </c>
      <c r="Q46" s="51">
        <f>CONFIG_REFERENCIA!$E$5</f>
        <v/>
      </c>
      <c r="R46" s="51">
        <f>CONFIG_REFERENCIA!$E$6</f>
        <v/>
      </c>
      <c r="S46" s="52">
        <f>IF($F46="","",INDEX(CONFIG_REFERENCIA!$B$3:$B$6,MATCH($F46,CONFIG_REFERENCIA!$A$3:$A$6,0)))</f>
        <v/>
      </c>
      <c r="T46" s="53" t="n"/>
      <c r="U46" s="53" t="n"/>
      <c r="V46" s="53" t="n"/>
      <c r="W46" s="53" t="n"/>
      <c r="X46" s="54">
        <f>IF(COUNTA($T46:$W46)&lt;4,"",$S46*($O46*$T46+$P46*$U46+$Q46*$V46+$R46*$W46))</f>
        <v/>
      </c>
      <c r="Y46" s="53" t="n"/>
      <c r="Z46" s="53" t="n"/>
      <c r="AA46" s="55" t="n"/>
      <c r="AB46" s="55" t="n"/>
      <c r="AC46" s="49" t="n"/>
      <c r="AD46" s="49" t="n"/>
      <c r="AE46" s="49" t="n"/>
      <c r="AF46" s="49" t="n"/>
      <c r="AG46" s="49" t="n"/>
      <c r="AH46" s="49" t="n"/>
      <c r="AI46" s="49" t="n"/>
      <c r="AJ46" s="49" t="n"/>
      <c r="AK46" s="49" t="n"/>
    </row>
    <row r="47" ht="15" customHeight="1" s="27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51">
        <f>CONFIG_REFERENCIA!$E$3</f>
        <v/>
      </c>
      <c r="P47" s="51">
        <f>CONFIG_REFERENCIA!$E$4</f>
        <v/>
      </c>
      <c r="Q47" s="51">
        <f>CONFIG_REFERENCIA!$E$5</f>
        <v/>
      </c>
      <c r="R47" s="51">
        <f>CONFIG_REFERENCIA!$E$6</f>
        <v/>
      </c>
      <c r="S47" s="52">
        <f>IF($F47="","",INDEX(CONFIG_REFERENCIA!$B$3:$B$6,MATCH($F47,CONFIG_REFERENCIA!$A$3:$A$6,0)))</f>
        <v/>
      </c>
      <c r="T47" s="53" t="n"/>
      <c r="U47" s="53" t="n"/>
      <c r="V47" s="53" t="n"/>
      <c r="W47" s="53" t="n"/>
      <c r="X47" s="54">
        <f>IF(COUNTA($T47:$W47)&lt;4,"",$S47*($O47*$T47+$P47*$U47+$Q47*$V47+$R47*$W47))</f>
        <v/>
      </c>
      <c r="Y47" s="53" t="n"/>
      <c r="Z47" s="53" t="n"/>
      <c r="AA47" s="55" t="n"/>
      <c r="AB47" s="55" t="n"/>
      <c r="AC47" s="49" t="n"/>
      <c r="AD47" s="49" t="n"/>
      <c r="AE47" s="49" t="n"/>
      <c r="AF47" s="49" t="n"/>
      <c r="AG47" s="49" t="n"/>
      <c r="AH47" s="49" t="n"/>
      <c r="AI47" s="49" t="n"/>
      <c r="AJ47" s="49" t="n"/>
      <c r="AK47" s="49" t="n"/>
    </row>
    <row r="48" ht="15" customHeight="1" s="27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51">
        <f>CONFIG_REFERENCIA!$E$3</f>
        <v/>
      </c>
      <c r="P48" s="51">
        <f>CONFIG_REFERENCIA!$E$4</f>
        <v/>
      </c>
      <c r="Q48" s="51">
        <f>CONFIG_REFERENCIA!$E$5</f>
        <v/>
      </c>
      <c r="R48" s="51">
        <f>CONFIG_REFERENCIA!$E$6</f>
        <v/>
      </c>
      <c r="S48" s="52">
        <f>IF($F48="","",INDEX(CONFIG_REFERENCIA!$B$3:$B$6,MATCH($F48,CONFIG_REFERENCIA!$A$3:$A$6,0)))</f>
        <v/>
      </c>
      <c r="T48" s="53" t="n"/>
      <c r="U48" s="53" t="n"/>
      <c r="V48" s="53" t="n"/>
      <c r="W48" s="53" t="n"/>
      <c r="X48" s="54">
        <f>IF(COUNTA($T48:$W48)&lt;4,"",$S48*($O48*$T48+$P48*$U48+$Q48*$V48+$R48*$W48))</f>
        <v/>
      </c>
      <c r="Y48" s="53" t="n"/>
      <c r="Z48" s="53" t="n"/>
      <c r="AA48" s="55" t="n"/>
      <c r="AB48" s="55" t="n"/>
      <c r="AC48" s="49" t="n"/>
      <c r="AD48" s="49" t="n"/>
      <c r="AE48" s="49" t="n"/>
      <c r="AF48" s="49" t="n"/>
      <c r="AG48" s="49" t="n"/>
      <c r="AH48" s="49" t="n"/>
      <c r="AI48" s="49" t="n"/>
      <c r="AJ48" s="49" t="n"/>
      <c r="AK48" s="49" t="n"/>
    </row>
    <row r="49" ht="15" customHeight="1" s="27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51">
        <f>CONFIG_REFERENCIA!$E$3</f>
        <v/>
      </c>
      <c r="P49" s="51">
        <f>CONFIG_REFERENCIA!$E$4</f>
        <v/>
      </c>
      <c r="Q49" s="51">
        <f>CONFIG_REFERENCIA!$E$5</f>
        <v/>
      </c>
      <c r="R49" s="51">
        <f>CONFIG_REFERENCIA!$E$6</f>
        <v/>
      </c>
      <c r="S49" s="52">
        <f>IF($F49="","",INDEX(CONFIG_REFERENCIA!$B$3:$B$6,MATCH($F49,CONFIG_REFERENCIA!$A$3:$A$6,0)))</f>
        <v/>
      </c>
      <c r="T49" s="53" t="n"/>
      <c r="U49" s="53" t="n"/>
      <c r="V49" s="53" t="n"/>
      <c r="W49" s="53" t="n"/>
      <c r="X49" s="54">
        <f>IF(COUNTA($T49:$W49)&lt;4,"",$S49*($O49*$T49+$P49*$U49+$Q49*$V49+$R49*$W49))</f>
        <v/>
      </c>
      <c r="Y49" s="53" t="n"/>
      <c r="Z49" s="53" t="n"/>
      <c r="AA49" s="55" t="n"/>
      <c r="AB49" s="55" t="n"/>
      <c r="AC49" s="49" t="n"/>
      <c r="AD49" s="49" t="n"/>
      <c r="AE49" s="49" t="n"/>
      <c r="AF49" s="49" t="n"/>
      <c r="AG49" s="49" t="n"/>
      <c r="AH49" s="49" t="n"/>
      <c r="AI49" s="49" t="n"/>
      <c r="AJ49" s="49" t="n"/>
      <c r="AK49" s="49" t="n"/>
    </row>
    <row r="50" ht="15" customHeight="1" s="27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51">
        <f>CONFIG_REFERENCIA!$E$3</f>
        <v/>
      </c>
      <c r="P50" s="51">
        <f>CONFIG_REFERENCIA!$E$4</f>
        <v/>
      </c>
      <c r="Q50" s="51">
        <f>CONFIG_REFERENCIA!$E$5</f>
        <v/>
      </c>
      <c r="R50" s="51">
        <f>CONFIG_REFERENCIA!$E$6</f>
        <v/>
      </c>
      <c r="S50" s="52">
        <f>IF($F50="","",INDEX(CONFIG_REFERENCIA!$B$3:$B$6,MATCH($F50,CONFIG_REFERENCIA!$A$3:$A$6,0)))</f>
        <v/>
      </c>
      <c r="T50" s="53" t="n"/>
      <c r="U50" s="53" t="n"/>
      <c r="V50" s="53" t="n"/>
      <c r="W50" s="53" t="n"/>
      <c r="X50" s="54">
        <f>IF(COUNTA($T50:$W50)&lt;4,"",$S50*($O50*$T50+$P50*$U50+$Q50*$V50+$R50*$W50))</f>
        <v/>
      </c>
      <c r="Y50" s="53" t="n"/>
      <c r="Z50" s="53" t="n"/>
      <c r="AA50" s="55" t="n"/>
      <c r="AB50" s="55" t="n"/>
      <c r="AC50" s="49" t="n"/>
      <c r="AD50" s="49" t="n"/>
      <c r="AE50" s="49" t="n"/>
      <c r="AF50" s="49" t="n"/>
      <c r="AG50" s="49" t="n"/>
      <c r="AH50" s="49" t="n"/>
      <c r="AI50" s="49" t="n"/>
      <c r="AJ50" s="49" t="n"/>
      <c r="AK50" s="49" t="n"/>
    </row>
    <row r="51" ht="15" customHeight="1" s="27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51">
        <f>CONFIG_REFERENCIA!$E$3</f>
        <v/>
      </c>
      <c r="P51" s="51">
        <f>CONFIG_REFERENCIA!$E$4</f>
        <v/>
      </c>
      <c r="Q51" s="51">
        <f>CONFIG_REFERENCIA!$E$5</f>
        <v/>
      </c>
      <c r="R51" s="51">
        <f>CONFIG_REFERENCIA!$E$6</f>
        <v/>
      </c>
      <c r="S51" s="52">
        <f>IF($F51="","",INDEX(CONFIG_REFERENCIA!$B$3:$B$6,MATCH($F51,CONFIG_REFERENCIA!$A$3:$A$6,0)))</f>
        <v/>
      </c>
      <c r="T51" s="53" t="n"/>
      <c r="U51" s="53" t="n"/>
      <c r="V51" s="53" t="n"/>
      <c r="W51" s="53" t="n"/>
      <c r="X51" s="54">
        <f>IF(COUNTA($T51:$W51)&lt;4,"",$S51*($O51*$T51+$P51*$U51+$Q51*$V51+$R51*$W51))</f>
        <v/>
      </c>
      <c r="Y51" s="53" t="n"/>
      <c r="Z51" s="53" t="n"/>
      <c r="AA51" s="55" t="n"/>
      <c r="AB51" s="55" t="n"/>
      <c r="AC51" s="49" t="n"/>
      <c r="AD51" s="49" t="n"/>
      <c r="AE51" s="49" t="n"/>
      <c r="AF51" s="49" t="n"/>
      <c r="AG51" s="49" t="n"/>
      <c r="AH51" s="49" t="n"/>
      <c r="AI51" s="49" t="n"/>
      <c r="AJ51" s="49" t="n"/>
      <c r="AK51" s="49" t="n"/>
    </row>
    <row r="52" ht="15" customHeight="1" s="27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51">
        <f>CONFIG_REFERENCIA!$E$3</f>
        <v/>
      </c>
      <c r="P52" s="51">
        <f>CONFIG_REFERENCIA!$E$4</f>
        <v/>
      </c>
      <c r="Q52" s="51">
        <f>CONFIG_REFERENCIA!$E$5</f>
        <v/>
      </c>
      <c r="R52" s="51">
        <f>CONFIG_REFERENCIA!$E$6</f>
        <v/>
      </c>
      <c r="S52" s="52">
        <f>IF($F52="","",INDEX(CONFIG_REFERENCIA!$B$3:$B$6,MATCH($F52,CONFIG_REFERENCIA!$A$3:$A$6,0)))</f>
        <v/>
      </c>
      <c r="T52" s="53" t="n"/>
      <c r="U52" s="53" t="n"/>
      <c r="V52" s="53" t="n"/>
      <c r="W52" s="53" t="n"/>
      <c r="X52" s="54">
        <f>IF(COUNTA($T52:$W52)&lt;4,"",$S52*($O52*$T52+$P52*$U52+$Q52*$V52+$R52*$W52))</f>
        <v/>
      </c>
      <c r="Y52" s="53" t="n"/>
      <c r="Z52" s="53" t="n"/>
      <c r="AA52" s="55" t="n"/>
      <c r="AB52" s="55" t="n"/>
      <c r="AC52" s="49" t="n"/>
      <c r="AD52" s="49" t="n"/>
      <c r="AE52" s="49" t="n"/>
      <c r="AF52" s="49" t="n"/>
      <c r="AG52" s="49" t="n"/>
      <c r="AH52" s="49" t="n"/>
      <c r="AI52" s="49" t="n"/>
      <c r="AJ52" s="49" t="n"/>
      <c r="AK52" s="49" t="n"/>
    </row>
    <row r="53" ht="15" customHeight="1" s="27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51">
        <f>CONFIG_REFERENCIA!$E$3</f>
        <v/>
      </c>
      <c r="P53" s="51">
        <f>CONFIG_REFERENCIA!$E$4</f>
        <v/>
      </c>
      <c r="Q53" s="51">
        <f>CONFIG_REFERENCIA!$E$5</f>
        <v/>
      </c>
      <c r="R53" s="51">
        <f>CONFIG_REFERENCIA!$E$6</f>
        <v/>
      </c>
      <c r="S53" s="52">
        <f>IF($F53="","",INDEX(CONFIG_REFERENCIA!$B$3:$B$6,MATCH($F53,CONFIG_REFERENCIA!$A$3:$A$6,0)))</f>
        <v/>
      </c>
      <c r="T53" s="53" t="n"/>
      <c r="U53" s="53" t="n"/>
      <c r="V53" s="53" t="n"/>
      <c r="W53" s="53" t="n"/>
      <c r="X53" s="54">
        <f>IF(COUNTA($T53:$W53)&lt;4,"",$S53*($O53*$T53+$P53*$U53+$Q53*$V53+$R53*$W53))</f>
        <v/>
      </c>
      <c r="Y53" s="53" t="n"/>
      <c r="Z53" s="53" t="n"/>
      <c r="AA53" s="55" t="n"/>
      <c r="AB53" s="55" t="n"/>
      <c r="AC53" s="49" t="n"/>
      <c r="AD53" s="49" t="n"/>
      <c r="AE53" s="49" t="n"/>
      <c r="AF53" s="49" t="n"/>
      <c r="AG53" s="49" t="n"/>
      <c r="AH53" s="49" t="n"/>
      <c r="AI53" s="49" t="n"/>
      <c r="AJ53" s="49" t="n"/>
      <c r="AK53" s="49" t="n"/>
    </row>
    <row r="54" ht="15" customHeight="1" s="27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51">
        <f>CONFIG_REFERENCIA!$E$3</f>
        <v/>
      </c>
      <c r="P54" s="51">
        <f>CONFIG_REFERENCIA!$E$4</f>
        <v/>
      </c>
      <c r="Q54" s="51">
        <f>CONFIG_REFERENCIA!$E$5</f>
        <v/>
      </c>
      <c r="R54" s="51">
        <f>CONFIG_REFERENCIA!$E$6</f>
        <v/>
      </c>
      <c r="S54" s="52">
        <f>IF($F54="","",INDEX(CONFIG_REFERENCIA!$B$3:$B$6,MATCH($F54,CONFIG_REFERENCIA!$A$3:$A$6,0)))</f>
        <v/>
      </c>
      <c r="T54" s="53" t="n"/>
      <c r="U54" s="53" t="n"/>
      <c r="V54" s="53" t="n"/>
      <c r="W54" s="53" t="n"/>
      <c r="X54" s="54">
        <f>IF(COUNTA($T54:$W54)&lt;4,"",$S54*($O54*$T54+$P54*$U54+$Q54*$V54+$R54*$W54))</f>
        <v/>
      </c>
      <c r="Y54" s="53" t="n"/>
      <c r="Z54" s="53" t="n"/>
      <c r="AA54" s="55" t="n"/>
      <c r="AB54" s="55" t="n"/>
      <c r="AC54" s="49" t="n"/>
      <c r="AD54" s="49" t="n"/>
      <c r="AE54" s="49" t="n"/>
      <c r="AF54" s="49" t="n"/>
      <c r="AG54" s="49" t="n"/>
      <c r="AH54" s="49" t="n"/>
      <c r="AI54" s="49" t="n"/>
      <c r="AJ54" s="49" t="n"/>
      <c r="AK54" s="49" t="n"/>
    </row>
    <row r="55" ht="15" customHeight="1" s="27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51">
        <f>CONFIG_REFERENCIA!$E$3</f>
        <v/>
      </c>
      <c r="P55" s="51">
        <f>CONFIG_REFERENCIA!$E$4</f>
        <v/>
      </c>
      <c r="Q55" s="51">
        <f>CONFIG_REFERENCIA!$E$5</f>
        <v/>
      </c>
      <c r="R55" s="51">
        <f>CONFIG_REFERENCIA!$E$6</f>
        <v/>
      </c>
      <c r="S55" s="52">
        <f>IF($F55="","",INDEX(CONFIG_REFERENCIA!$B$3:$B$6,MATCH($F55,CONFIG_REFERENCIA!$A$3:$A$6,0)))</f>
        <v/>
      </c>
      <c r="T55" s="53" t="n"/>
      <c r="U55" s="53" t="n"/>
      <c r="V55" s="53" t="n"/>
      <c r="W55" s="53" t="n"/>
      <c r="X55" s="54">
        <f>IF(COUNTA($T55:$W55)&lt;4,"",$S55*($O55*$T55+$P55*$U55+$Q55*$V55+$R55*$W55))</f>
        <v/>
      </c>
      <c r="Y55" s="53" t="n"/>
      <c r="Z55" s="53" t="n"/>
      <c r="AA55" s="55" t="n"/>
      <c r="AB55" s="55" t="n"/>
      <c r="AC55" s="49" t="n"/>
      <c r="AD55" s="49" t="n"/>
      <c r="AE55" s="49" t="n"/>
      <c r="AF55" s="49" t="n"/>
      <c r="AG55" s="49" t="n"/>
      <c r="AH55" s="49" t="n"/>
      <c r="AI55" s="49" t="n"/>
      <c r="AJ55" s="49" t="n"/>
      <c r="AK55" s="49" t="n"/>
    </row>
    <row r="56" ht="15" customHeight="1" s="27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51">
        <f>CONFIG_REFERENCIA!$E$3</f>
        <v/>
      </c>
      <c r="P56" s="51">
        <f>CONFIG_REFERENCIA!$E$4</f>
        <v/>
      </c>
      <c r="Q56" s="51">
        <f>CONFIG_REFERENCIA!$E$5</f>
        <v/>
      </c>
      <c r="R56" s="51">
        <f>CONFIG_REFERENCIA!$E$6</f>
        <v/>
      </c>
      <c r="S56" s="52">
        <f>IF($F56="","",INDEX(CONFIG_REFERENCIA!$B$3:$B$6,MATCH($F56,CONFIG_REFERENCIA!$A$3:$A$6,0)))</f>
        <v/>
      </c>
      <c r="T56" s="53" t="n"/>
      <c r="U56" s="53" t="n"/>
      <c r="V56" s="53" t="n"/>
      <c r="W56" s="53" t="n"/>
      <c r="X56" s="54">
        <f>IF(COUNTA($T56:$W56)&lt;4,"",$S56*($O56*$T56+$P56*$U56+$Q56*$V56+$R56*$W56))</f>
        <v/>
      </c>
      <c r="Y56" s="53" t="n"/>
      <c r="Z56" s="53" t="n"/>
      <c r="AA56" s="55" t="n"/>
      <c r="AB56" s="55" t="n"/>
      <c r="AC56" s="49" t="n"/>
      <c r="AD56" s="49" t="n"/>
      <c r="AE56" s="49" t="n"/>
      <c r="AF56" s="49" t="n"/>
      <c r="AG56" s="49" t="n"/>
      <c r="AH56" s="49" t="n"/>
      <c r="AI56" s="49" t="n"/>
      <c r="AJ56" s="49" t="n"/>
      <c r="AK56" s="49" t="n"/>
    </row>
    <row r="57" ht="15" customHeight="1" s="27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51">
        <f>CONFIG_REFERENCIA!$E$3</f>
        <v/>
      </c>
      <c r="P57" s="51">
        <f>CONFIG_REFERENCIA!$E$4</f>
        <v/>
      </c>
      <c r="Q57" s="51">
        <f>CONFIG_REFERENCIA!$E$5</f>
        <v/>
      </c>
      <c r="R57" s="51">
        <f>CONFIG_REFERENCIA!$E$6</f>
        <v/>
      </c>
      <c r="S57" s="52">
        <f>IF($F57="","",INDEX(CONFIG_REFERENCIA!$B$3:$B$6,MATCH($F57,CONFIG_REFERENCIA!$A$3:$A$6,0)))</f>
        <v/>
      </c>
      <c r="T57" s="53" t="n"/>
      <c r="U57" s="53" t="n"/>
      <c r="V57" s="53" t="n"/>
      <c r="W57" s="53" t="n"/>
      <c r="X57" s="54">
        <f>IF(COUNTA($T57:$W57)&lt;4,"",$S57*($O57*$T57+$P57*$U57+$Q57*$V57+$R57*$W57))</f>
        <v/>
      </c>
      <c r="Y57" s="53" t="n"/>
      <c r="Z57" s="53" t="n"/>
      <c r="AA57" s="55" t="n"/>
      <c r="AB57" s="55" t="n"/>
      <c r="AC57" s="49" t="n"/>
      <c r="AD57" s="49" t="n"/>
      <c r="AE57" s="49" t="n"/>
      <c r="AF57" s="49" t="n"/>
      <c r="AG57" s="49" t="n"/>
      <c r="AH57" s="49" t="n"/>
      <c r="AI57" s="49" t="n"/>
      <c r="AJ57" s="49" t="n"/>
      <c r="AK57" s="49" t="n"/>
    </row>
    <row r="58" ht="15" customHeight="1" s="27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51">
        <f>CONFIG_REFERENCIA!$E$3</f>
        <v/>
      </c>
      <c r="P58" s="51">
        <f>CONFIG_REFERENCIA!$E$4</f>
        <v/>
      </c>
      <c r="Q58" s="51">
        <f>CONFIG_REFERENCIA!$E$5</f>
        <v/>
      </c>
      <c r="R58" s="51">
        <f>CONFIG_REFERENCIA!$E$6</f>
        <v/>
      </c>
      <c r="S58" s="52">
        <f>IF($F58="","",INDEX(CONFIG_REFERENCIA!$B$3:$B$6,MATCH($F58,CONFIG_REFERENCIA!$A$3:$A$6,0)))</f>
        <v/>
      </c>
      <c r="T58" s="53" t="n"/>
      <c r="U58" s="53" t="n"/>
      <c r="V58" s="53" t="n"/>
      <c r="W58" s="53" t="n"/>
      <c r="X58" s="54">
        <f>IF(COUNTA($T58:$W58)&lt;4,"",$S58*($O58*$T58+$P58*$U58+$Q58*$V58+$R58*$W58))</f>
        <v/>
      </c>
      <c r="Y58" s="53" t="n"/>
      <c r="Z58" s="53" t="n"/>
      <c r="AA58" s="55" t="n"/>
      <c r="AB58" s="55" t="n"/>
      <c r="AC58" s="49" t="n"/>
      <c r="AD58" s="49" t="n"/>
      <c r="AE58" s="49" t="n"/>
      <c r="AF58" s="49" t="n"/>
      <c r="AG58" s="49" t="n"/>
      <c r="AH58" s="49" t="n"/>
      <c r="AI58" s="49" t="n"/>
      <c r="AJ58" s="49" t="n"/>
      <c r="AK58" s="49" t="n"/>
    </row>
    <row r="59" ht="15" customHeight="1" s="27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51">
        <f>CONFIG_REFERENCIA!$E$3</f>
        <v/>
      </c>
      <c r="P59" s="51">
        <f>CONFIG_REFERENCIA!$E$4</f>
        <v/>
      </c>
      <c r="Q59" s="51">
        <f>CONFIG_REFERENCIA!$E$5</f>
        <v/>
      </c>
      <c r="R59" s="51">
        <f>CONFIG_REFERENCIA!$E$6</f>
        <v/>
      </c>
      <c r="S59" s="52">
        <f>IF($F59="","",INDEX(CONFIG_REFERENCIA!$B$3:$B$6,MATCH($F59,CONFIG_REFERENCIA!$A$3:$A$6,0)))</f>
        <v/>
      </c>
      <c r="T59" s="53" t="n"/>
      <c r="U59" s="53" t="n"/>
      <c r="V59" s="53" t="n"/>
      <c r="W59" s="53" t="n"/>
      <c r="X59" s="54">
        <f>IF(COUNTA($T59:$W59)&lt;4,"",$S59*($O59*$T59+$P59*$U59+$Q59*$V59+$R59*$W59))</f>
        <v/>
      </c>
      <c r="Y59" s="53" t="n"/>
      <c r="Z59" s="53" t="n"/>
      <c r="AA59" s="55" t="n"/>
      <c r="AB59" s="55" t="n"/>
      <c r="AC59" s="49" t="n"/>
      <c r="AD59" s="49" t="n"/>
      <c r="AE59" s="49" t="n"/>
      <c r="AF59" s="49" t="n"/>
      <c r="AG59" s="49" t="n"/>
      <c r="AH59" s="49" t="n"/>
      <c r="AI59" s="49" t="n"/>
      <c r="AJ59" s="49" t="n"/>
      <c r="AK59" s="49" t="n"/>
    </row>
    <row r="60" ht="15" customHeight="1" s="27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51">
        <f>CONFIG_REFERENCIA!$E$3</f>
        <v/>
      </c>
      <c r="P60" s="51">
        <f>CONFIG_REFERENCIA!$E$4</f>
        <v/>
      </c>
      <c r="Q60" s="51">
        <f>CONFIG_REFERENCIA!$E$5</f>
        <v/>
      </c>
      <c r="R60" s="51">
        <f>CONFIG_REFERENCIA!$E$6</f>
        <v/>
      </c>
      <c r="S60" s="52">
        <f>IF($F60="","",INDEX(CONFIG_REFERENCIA!$B$3:$B$6,MATCH($F60,CONFIG_REFERENCIA!$A$3:$A$6,0)))</f>
        <v/>
      </c>
      <c r="T60" s="53" t="n"/>
      <c r="U60" s="53" t="n"/>
      <c r="V60" s="53" t="n"/>
      <c r="W60" s="53" t="n"/>
      <c r="X60" s="54">
        <f>IF(COUNTA($T60:$W60)&lt;4,"",$S60*($O60*$T60+$P60*$U60+$Q60*$V60+$R60*$W60))</f>
        <v/>
      </c>
      <c r="Y60" s="53" t="n"/>
      <c r="Z60" s="53" t="n"/>
      <c r="AA60" s="55" t="n"/>
      <c r="AB60" s="55" t="n"/>
      <c r="AC60" s="49" t="n"/>
      <c r="AD60" s="49" t="n"/>
      <c r="AE60" s="49" t="n"/>
      <c r="AF60" s="49" t="n"/>
      <c r="AG60" s="49" t="n"/>
      <c r="AH60" s="49" t="n"/>
      <c r="AI60" s="49" t="n"/>
      <c r="AJ60" s="49" t="n"/>
      <c r="AK60" s="49" t="n"/>
    </row>
    <row r="61" ht="15" customHeight="1" s="27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51">
        <f>CONFIG_REFERENCIA!$E$3</f>
        <v/>
      </c>
      <c r="P61" s="51">
        <f>CONFIG_REFERENCIA!$E$4</f>
        <v/>
      </c>
      <c r="Q61" s="51">
        <f>CONFIG_REFERENCIA!$E$5</f>
        <v/>
      </c>
      <c r="R61" s="51">
        <f>CONFIG_REFERENCIA!$E$6</f>
        <v/>
      </c>
      <c r="S61" s="52">
        <f>IF($F61="","",INDEX(CONFIG_REFERENCIA!$B$3:$B$6,MATCH($F61,CONFIG_REFERENCIA!$A$3:$A$6,0)))</f>
        <v/>
      </c>
      <c r="T61" s="53" t="n"/>
      <c r="U61" s="53" t="n"/>
      <c r="V61" s="53" t="n"/>
      <c r="W61" s="53" t="n"/>
      <c r="X61" s="54">
        <f>IF(COUNTA($T61:$W61)&lt;4,"",$S61*($O61*$T61+$P61*$U61+$Q61*$V61+$R61*$W61))</f>
        <v/>
      </c>
      <c r="Y61" s="53" t="n"/>
      <c r="Z61" s="53" t="n"/>
      <c r="AA61" s="55" t="n"/>
      <c r="AB61" s="55" t="n"/>
      <c r="AC61" s="49" t="n"/>
      <c r="AD61" s="49" t="n"/>
      <c r="AE61" s="49" t="n"/>
      <c r="AF61" s="49" t="n"/>
      <c r="AG61" s="49" t="n"/>
      <c r="AH61" s="49" t="n"/>
      <c r="AI61" s="49" t="n"/>
      <c r="AJ61" s="49" t="n"/>
      <c r="AK61" s="49" t="n"/>
    </row>
    <row r="62" ht="15" customHeight="1" s="27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51">
        <f>CONFIG_REFERENCIA!$E$3</f>
        <v/>
      </c>
      <c r="P62" s="51">
        <f>CONFIG_REFERENCIA!$E$4</f>
        <v/>
      </c>
      <c r="Q62" s="51">
        <f>CONFIG_REFERENCIA!$E$5</f>
        <v/>
      </c>
      <c r="R62" s="51">
        <f>CONFIG_REFERENCIA!$E$6</f>
        <v/>
      </c>
      <c r="S62" s="52">
        <f>IF($F62="","",INDEX(CONFIG_REFERENCIA!$B$3:$B$6,MATCH($F62,CONFIG_REFERENCIA!$A$3:$A$6,0)))</f>
        <v/>
      </c>
      <c r="T62" s="53" t="n"/>
      <c r="U62" s="53" t="n"/>
      <c r="V62" s="53" t="n"/>
      <c r="W62" s="53" t="n"/>
      <c r="X62" s="54">
        <f>IF(COUNTA($T62:$W62)&lt;4,"",$S62*($O62*$T62+$P62*$U62+$Q62*$V62+$R62*$W62))</f>
        <v/>
      </c>
      <c r="Y62" s="53" t="n"/>
      <c r="Z62" s="53" t="n"/>
      <c r="AA62" s="55" t="n"/>
      <c r="AB62" s="55" t="n"/>
      <c r="AC62" s="49" t="n"/>
      <c r="AD62" s="49" t="n"/>
      <c r="AE62" s="49" t="n"/>
      <c r="AF62" s="49" t="n"/>
      <c r="AG62" s="49" t="n"/>
      <c r="AH62" s="49" t="n"/>
      <c r="AI62" s="49" t="n"/>
      <c r="AJ62" s="49" t="n"/>
      <c r="AK62" s="49" t="n"/>
    </row>
    <row r="63" ht="15" customHeight="1" s="27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51">
        <f>CONFIG_REFERENCIA!$E$3</f>
        <v/>
      </c>
      <c r="P63" s="51">
        <f>CONFIG_REFERENCIA!$E$4</f>
        <v/>
      </c>
      <c r="Q63" s="51">
        <f>CONFIG_REFERENCIA!$E$5</f>
        <v/>
      </c>
      <c r="R63" s="51">
        <f>CONFIG_REFERENCIA!$E$6</f>
        <v/>
      </c>
      <c r="S63" s="52">
        <f>IF($F63="","",INDEX(CONFIG_REFERENCIA!$B$3:$B$6,MATCH($F63,CONFIG_REFERENCIA!$A$3:$A$6,0)))</f>
        <v/>
      </c>
      <c r="T63" s="53" t="n"/>
      <c r="U63" s="53" t="n"/>
      <c r="V63" s="53" t="n"/>
      <c r="W63" s="53" t="n"/>
      <c r="X63" s="54">
        <f>IF(COUNTA($T63:$W63)&lt;4,"",$S63*($O63*$T63+$P63*$U63+$Q63*$V63+$R63*$W63))</f>
        <v/>
      </c>
      <c r="Y63" s="53" t="n"/>
      <c r="Z63" s="53" t="n"/>
      <c r="AA63" s="55" t="n"/>
      <c r="AB63" s="55" t="n"/>
      <c r="AC63" s="49" t="n"/>
      <c r="AD63" s="49" t="n"/>
      <c r="AE63" s="49" t="n"/>
      <c r="AF63" s="49" t="n"/>
      <c r="AG63" s="49" t="n"/>
      <c r="AH63" s="49" t="n"/>
      <c r="AI63" s="49" t="n"/>
      <c r="AJ63" s="49" t="n"/>
      <c r="AK63" s="49" t="n"/>
    </row>
    <row r="64" ht="15" customHeight="1" s="27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51">
        <f>CONFIG_REFERENCIA!$E$3</f>
        <v/>
      </c>
      <c r="P64" s="51">
        <f>CONFIG_REFERENCIA!$E$4</f>
        <v/>
      </c>
      <c r="Q64" s="51">
        <f>CONFIG_REFERENCIA!$E$5</f>
        <v/>
      </c>
      <c r="R64" s="51">
        <f>CONFIG_REFERENCIA!$E$6</f>
        <v/>
      </c>
      <c r="S64" s="52">
        <f>IF($F64="","",INDEX(CONFIG_REFERENCIA!$B$3:$B$6,MATCH($F64,CONFIG_REFERENCIA!$A$3:$A$6,0)))</f>
        <v/>
      </c>
      <c r="T64" s="53" t="n"/>
      <c r="U64" s="53" t="n"/>
      <c r="V64" s="53" t="n"/>
      <c r="W64" s="53" t="n"/>
      <c r="X64" s="54">
        <f>IF(COUNTA($T64:$W64)&lt;4,"",$S64*($O64*$T64+$P64*$U64+$Q64*$V64+$R64*$W64))</f>
        <v/>
      </c>
      <c r="Y64" s="53" t="n"/>
      <c r="Z64" s="53" t="n"/>
      <c r="AA64" s="55" t="n"/>
      <c r="AB64" s="55" t="n"/>
      <c r="AC64" s="49" t="n"/>
      <c r="AD64" s="49" t="n"/>
      <c r="AE64" s="49" t="n"/>
      <c r="AF64" s="49" t="n"/>
      <c r="AG64" s="49" t="n"/>
      <c r="AH64" s="49" t="n"/>
      <c r="AI64" s="49" t="n"/>
      <c r="AJ64" s="49" t="n"/>
      <c r="AK64" s="49" t="n"/>
    </row>
    <row r="65" ht="15" customHeight="1" s="27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51">
        <f>CONFIG_REFERENCIA!$E$3</f>
        <v/>
      </c>
      <c r="P65" s="51">
        <f>CONFIG_REFERENCIA!$E$4</f>
        <v/>
      </c>
      <c r="Q65" s="51">
        <f>CONFIG_REFERENCIA!$E$5</f>
        <v/>
      </c>
      <c r="R65" s="51">
        <f>CONFIG_REFERENCIA!$E$6</f>
        <v/>
      </c>
      <c r="S65" s="52">
        <f>IF($F65="","",INDEX(CONFIG_REFERENCIA!$B$3:$B$6,MATCH($F65,CONFIG_REFERENCIA!$A$3:$A$6,0)))</f>
        <v/>
      </c>
      <c r="T65" s="53" t="n"/>
      <c r="U65" s="53" t="n"/>
      <c r="V65" s="53" t="n"/>
      <c r="W65" s="53" t="n"/>
      <c r="X65" s="54">
        <f>IF(COUNTA($T65:$W65)&lt;4,"",$S65*($O65*$T65+$P65*$U65+$Q65*$V65+$R65*$W65))</f>
        <v/>
      </c>
      <c r="Y65" s="53" t="n"/>
      <c r="Z65" s="53" t="n"/>
      <c r="AA65" s="55" t="n"/>
      <c r="AB65" s="55" t="n"/>
      <c r="AC65" s="49" t="n"/>
      <c r="AD65" s="49" t="n"/>
      <c r="AE65" s="49" t="n"/>
      <c r="AF65" s="49" t="n"/>
      <c r="AG65" s="49" t="n"/>
      <c r="AH65" s="49" t="n"/>
      <c r="AI65" s="49" t="n"/>
      <c r="AJ65" s="49" t="n"/>
      <c r="AK65" s="49" t="n"/>
    </row>
    <row r="66" ht="15" customHeight="1" s="27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51">
        <f>CONFIG_REFERENCIA!$E$3</f>
        <v/>
      </c>
      <c r="P66" s="51">
        <f>CONFIG_REFERENCIA!$E$4</f>
        <v/>
      </c>
      <c r="Q66" s="51">
        <f>CONFIG_REFERENCIA!$E$5</f>
        <v/>
      </c>
      <c r="R66" s="51">
        <f>CONFIG_REFERENCIA!$E$6</f>
        <v/>
      </c>
      <c r="S66" s="52">
        <f>IF($F66="","",INDEX(CONFIG_REFERENCIA!$B$3:$B$6,MATCH($F66,CONFIG_REFERENCIA!$A$3:$A$6,0)))</f>
        <v/>
      </c>
      <c r="T66" s="53" t="n"/>
      <c r="U66" s="53" t="n"/>
      <c r="V66" s="53" t="n"/>
      <c r="W66" s="53" t="n"/>
      <c r="X66" s="54">
        <f>IF(COUNTA($T66:$W66)&lt;4,"",$S66*($O66*$T66+$P66*$U66+$Q66*$V66+$R66*$W66))</f>
        <v/>
      </c>
      <c r="Y66" s="53" t="n"/>
      <c r="Z66" s="53" t="n"/>
      <c r="AA66" s="55" t="n"/>
      <c r="AB66" s="55" t="n"/>
      <c r="AC66" s="49" t="n"/>
      <c r="AD66" s="49" t="n"/>
      <c r="AE66" s="49" t="n"/>
      <c r="AF66" s="49" t="n"/>
      <c r="AG66" s="49" t="n"/>
      <c r="AH66" s="49" t="n"/>
      <c r="AI66" s="49" t="n"/>
      <c r="AJ66" s="49" t="n"/>
      <c r="AK66" s="49" t="n"/>
    </row>
    <row r="67" ht="15" customHeight="1" s="27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51">
        <f>CONFIG_REFERENCIA!$E$3</f>
        <v/>
      </c>
      <c r="P67" s="51">
        <f>CONFIG_REFERENCIA!$E$4</f>
        <v/>
      </c>
      <c r="Q67" s="51">
        <f>CONFIG_REFERENCIA!$E$5</f>
        <v/>
      </c>
      <c r="R67" s="51">
        <f>CONFIG_REFERENCIA!$E$6</f>
        <v/>
      </c>
      <c r="S67" s="52">
        <f>IF($F67="","",INDEX(CONFIG_REFERENCIA!$B$3:$B$6,MATCH($F67,CONFIG_REFERENCIA!$A$3:$A$6,0)))</f>
        <v/>
      </c>
      <c r="T67" s="53" t="n"/>
      <c r="U67" s="53" t="n"/>
      <c r="V67" s="53" t="n"/>
      <c r="W67" s="53" t="n"/>
      <c r="X67" s="54">
        <f>IF(COUNTA($T67:$W67)&lt;4,"",$S67*($O67*$T67+$P67*$U67+$Q67*$V67+$R67*$W67))</f>
        <v/>
      </c>
      <c r="Y67" s="53" t="n"/>
      <c r="Z67" s="53" t="n"/>
      <c r="AA67" s="55" t="n"/>
      <c r="AB67" s="55" t="n"/>
      <c r="AC67" s="49" t="n"/>
      <c r="AD67" s="49" t="n"/>
      <c r="AE67" s="49" t="n"/>
      <c r="AF67" s="49" t="n"/>
      <c r="AG67" s="49" t="n"/>
      <c r="AH67" s="49" t="n"/>
      <c r="AI67" s="49" t="n"/>
      <c r="AJ67" s="49" t="n"/>
      <c r="AK67" s="49" t="n"/>
    </row>
    <row r="68" ht="15" customHeight="1" s="27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51">
        <f>CONFIG_REFERENCIA!$E$3</f>
        <v/>
      </c>
      <c r="P68" s="51">
        <f>CONFIG_REFERENCIA!$E$4</f>
        <v/>
      </c>
      <c r="Q68" s="51">
        <f>CONFIG_REFERENCIA!$E$5</f>
        <v/>
      </c>
      <c r="R68" s="51">
        <f>CONFIG_REFERENCIA!$E$6</f>
        <v/>
      </c>
      <c r="S68" s="52">
        <f>IF($F68="","",INDEX(CONFIG_REFERENCIA!$B$3:$B$6,MATCH($F68,CONFIG_REFERENCIA!$A$3:$A$6,0)))</f>
        <v/>
      </c>
      <c r="T68" s="53" t="n"/>
      <c r="U68" s="53" t="n"/>
      <c r="V68" s="53" t="n"/>
      <c r="W68" s="53" t="n"/>
      <c r="X68" s="54">
        <f>IF(COUNTA($T68:$W68)&lt;4,"",$S68*($O68*$T68+$P68*$U68+$Q68*$V68+$R68*$W68))</f>
        <v/>
      </c>
      <c r="Y68" s="53" t="n"/>
      <c r="Z68" s="53" t="n"/>
      <c r="AA68" s="55" t="n"/>
      <c r="AB68" s="55" t="n"/>
      <c r="AC68" s="49" t="n"/>
      <c r="AD68" s="49" t="n"/>
      <c r="AE68" s="49" t="n"/>
      <c r="AF68" s="49" t="n"/>
      <c r="AG68" s="49" t="n"/>
      <c r="AH68" s="49" t="n"/>
      <c r="AI68" s="49" t="n"/>
      <c r="AJ68" s="49" t="n"/>
      <c r="AK68" s="49" t="n"/>
    </row>
    <row r="69" ht="15" customHeight="1" s="27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51">
        <f>CONFIG_REFERENCIA!$E$3</f>
        <v/>
      </c>
      <c r="P69" s="51">
        <f>CONFIG_REFERENCIA!$E$4</f>
        <v/>
      </c>
      <c r="Q69" s="51">
        <f>CONFIG_REFERENCIA!$E$5</f>
        <v/>
      </c>
      <c r="R69" s="51">
        <f>CONFIG_REFERENCIA!$E$6</f>
        <v/>
      </c>
      <c r="S69" s="52">
        <f>IF($F69="","",INDEX(CONFIG_REFERENCIA!$B$3:$B$6,MATCH($F69,CONFIG_REFERENCIA!$A$3:$A$6,0)))</f>
        <v/>
      </c>
      <c r="T69" s="53" t="n"/>
      <c r="U69" s="53" t="n"/>
      <c r="V69" s="53" t="n"/>
      <c r="W69" s="53" t="n"/>
      <c r="X69" s="54">
        <f>IF(COUNTA($T69:$W69)&lt;4,"",$S69*($O69*$T69+$P69*$U69+$Q69*$V69+$R69*$W69))</f>
        <v/>
      </c>
      <c r="Y69" s="53" t="n"/>
      <c r="Z69" s="53" t="n"/>
      <c r="AA69" s="55" t="n"/>
      <c r="AB69" s="55" t="n"/>
      <c r="AC69" s="49" t="n"/>
      <c r="AD69" s="49" t="n"/>
      <c r="AE69" s="49" t="n"/>
      <c r="AF69" s="49" t="n"/>
      <c r="AG69" s="49" t="n"/>
      <c r="AH69" s="49" t="n"/>
      <c r="AI69" s="49" t="n"/>
      <c r="AJ69" s="49" t="n"/>
      <c r="AK69" s="49" t="n"/>
    </row>
    <row r="70" ht="15" customHeight="1" s="27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51">
        <f>CONFIG_REFERENCIA!$E$3</f>
        <v/>
      </c>
      <c r="P70" s="51">
        <f>CONFIG_REFERENCIA!$E$4</f>
        <v/>
      </c>
      <c r="Q70" s="51">
        <f>CONFIG_REFERENCIA!$E$5</f>
        <v/>
      </c>
      <c r="R70" s="51">
        <f>CONFIG_REFERENCIA!$E$6</f>
        <v/>
      </c>
      <c r="S70" s="52">
        <f>IF($F70="","",INDEX(CONFIG_REFERENCIA!$B$3:$B$6,MATCH($F70,CONFIG_REFERENCIA!$A$3:$A$6,0)))</f>
        <v/>
      </c>
      <c r="T70" s="53" t="n"/>
      <c r="U70" s="53" t="n"/>
      <c r="V70" s="53" t="n"/>
      <c r="W70" s="53" t="n"/>
      <c r="X70" s="54">
        <f>IF(COUNTA($T70:$W70)&lt;4,"",$S70*($O70*$T70+$P70*$U70+$Q70*$V70+$R70*$W70))</f>
        <v/>
      </c>
      <c r="Y70" s="53" t="n"/>
      <c r="Z70" s="53" t="n"/>
      <c r="AA70" s="55" t="n"/>
      <c r="AB70" s="55" t="n"/>
      <c r="AC70" s="49" t="n"/>
      <c r="AD70" s="49" t="n"/>
      <c r="AE70" s="49" t="n"/>
      <c r="AF70" s="49" t="n"/>
      <c r="AG70" s="49" t="n"/>
      <c r="AH70" s="49" t="n"/>
      <c r="AI70" s="49" t="n"/>
      <c r="AJ70" s="49" t="n"/>
      <c r="AK70" s="49" t="n"/>
    </row>
    <row r="71" ht="15" customHeight="1" s="27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51">
        <f>CONFIG_REFERENCIA!$E$3</f>
        <v/>
      </c>
      <c r="P71" s="51">
        <f>CONFIG_REFERENCIA!$E$4</f>
        <v/>
      </c>
      <c r="Q71" s="51">
        <f>CONFIG_REFERENCIA!$E$5</f>
        <v/>
      </c>
      <c r="R71" s="51">
        <f>CONFIG_REFERENCIA!$E$6</f>
        <v/>
      </c>
      <c r="S71" s="52">
        <f>IF($F71="","",INDEX(CONFIG_REFERENCIA!$B$3:$B$6,MATCH($F71,CONFIG_REFERENCIA!$A$3:$A$6,0)))</f>
        <v/>
      </c>
      <c r="T71" s="53" t="n"/>
      <c r="U71" s="53" t="n"/>
      <c r="V71" s="53" t="n"/>
      <c r="W71" s="53" t="n"/>
      <c r="X71" s="54">
        <f>IF(COUNTA($T71:$W71)&lt;4,"",$S71*($O71*$T71+$P71*$U71+$Q71*$V71+$R71*$W71))</f>
        <v/>
      </c>
      <c r="Y71" s="53" t="n"/>
      <c r="Z71" s="53" t="n"/>
      <c r="AA71" s="55" t="n"/>
      <c r="AB71" s="55" t="n"/>
      <c r="AC71" s="49" t="n"/>
      <c r="AD71" s="49" t="n"/>
      <c r="AE71" s="49" t="n"/>
      <c r="AF71" s="49" t="n"/>
      <c r="AG71" s="49" t="n"/>
      <c r="AH71" s="49" t="n"/>
      <c r="AI71" s="49" t="n"/>
      <c r="AJ71" s="49" t="n"/>
      <c r="AK71" s="49" t="n"/>
    </row>
    <row r="72" ht="15" customHeight="1" s="27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51">
        <f>CONFIG_REFERENCIA!$E$3</f>
        <v/>
      </c>
      <c r="P72" s="51">
        <f>CONFIG_REFERENCIA!$E$4</f>
        <v/>
      </c>
      <c r="Q72" s="51">
        <f>CONFIG_REFERENCIA!$E$5</f>
        <v/>
      </c>
      <c r="R72" s="51">
        <f>CONFIG_REFERENCIA!$E$6</f>
        <v/>
      </c>
      <c r="S72" s="52">
        <f>IF($F72="","",INDEX(CONFIG_REFERENCIA!$B$3:$B$6,MATCH($F72,CONFIG_REFERENCIA!$A$3:$A$6,0)))</f>
        <v/>
      </c>
      <c r="T72" s="53" t="n"/>
      <c r="U72" s="53" t="n"/>
      <c r="V72" s="53" t="n"/>
      <c r="W72" s="53" t="n"/>
      <c r="X72" s="54">
        <f>IF(COUNTA($T72:$W72)&lt;4,"",$S72*($O72*$T72+$P72*$U72+$Q72*$V72+$R72*$W72))</f>
        <v/>
      </c>
      <c r="Y72" s="53" t="n"/>
      <c r="Z72" s="53" t="n"/>
      <c r="AA72" s="55" t="n"/>
      <c r="AB72" s="55" t="n"/>
      <c r="AC72" s="49" t="n"/>
      <c r="AD72" s="49" t="n"/>
      <c r="AE72" s="49" t="n"/>
      <c r="AF72" s="49" t="n"/>
      <c r="AG72" s="49" t="n"/>
      <c r="AH72" s="49" t="n"/>
      <c r="AI72" s="49" t="n"/>
      <c r="AJ72" s="49" t="n"/>
      <c r="AK72" s="49" t="n"/>
    </row>
    <row r="73" ht="15" customHeight="1" s="27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51">
        <f>CONFIG_REFERENCIA!$E$3</f>
        <v/>
      </c>
      <c r="P73" s="51">
        <f>CONFIG_REFERENCIA!$E$4</f>
        <v/>
      </c>
      <c r="Q73" s="51">
        <f>CONFIG_REFERENCIA!$E$5</f>
        <v/>
      </c>
      <c r="R73" s="51">
        <f>CONFIG_REFERENCIA!$E$6</f>
        <v/>
      </c>
      <c r="S73" s="52">
        <f>IF($F73="","",INDEX(CONFIG_REFERENCIA!$B$3:$B$6,MATCH($F73,CONFIG_REFERENCIA!$A$3:$A$6,0)))</f>
        <v/>
      </c>
      <c r="T73" s="53" t="n"/>
      <c r="U73" s="53" t="n"/>
      <c r="V73" s="53" t="n"/>
      <c r="W73" s="53" t="n"/>
      <c r="X73" s="54">
        <f>IF(COUNTA($T73:$W73)&lt;4,"",$S73*($O73*$T73+$P73*$U73+$Q73*$V73+$R73*$W73))</f>
        <v/>
      </c>
      <c r="Y73" s="53" t="n"/>
      <c r="Z73" s="53" t="n"/>
      <c r="AA73" s="55" t="n"/>
      <c r="AB73" s="55" t="n"/>
      <c r="AC73" s="49" t="n"/>
      <c r="AD73" s="49" t="n"/>
      <c r="AE73" s="49" t="n"/>
      <c r="AF73" s="49" t="n"/>
      <c r="AG73" s="49" t="n"/>
      <c r="AH73" s="49" t="n"/>
      <c r="AI73" s="49" t="n"/>
      <c r="AJ73" s="49" t="n"/>
      <c r="AK73" s="49" t="n"/>
    </row>
    <row r="74" ht="15" customHeight="1" s="27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51">
        <f>CONFIG_REFERENCIA!$E$3</f>
        <v/>
      </c>
      <c r="P74" s="51">
        <f>CONFIG_REFERENCIA!$E$4</f>
        <v/>
      </c>
      <c r="Q74" s="51">
        <f>CONFIG_REFERENCIA!$E$5</f>
        <v/>
      </c>
      <c r="R74" s="51">
        <f>CONFIG_REFERENCIA!$E$6</f>
        <v/>
      </c>
      <c r="S74" s="52">
        <f>IF($F74="","",INDEX(CONFIG_REFERENCIA!$B$3:$B$6,MATCH($F74,CONFIG_REFERENCIA!$A$3:$A$6,0)))</f>
        <v/>
      </c>
      <c r="T74" s="53" t="n"/>
      <c r="U74" s="53" t="n"/>
      <c r="V74" s="53" t="n"/>
      <c r="W74" s="53" t="n"/>
      <c r="X74" s="54">
        <f>IF(COUNTA($T74:$W74)&lt;4,"",$S74*($O74*$T74+$P74*$U74+$Q74*$V74+$R74*$W74))</f>
        <v/>
      </c>
      <c r="Y74" s="53" t="n"/>
      <c r="Z74" s="53" t="n"/>
      <c r="AA74" s="55" t="n"/>
      <c r="AB74" s="55" t="n"/>
      <c r="AC74" s="49" t="n"/>
      <c r="AD74" s="49" t="n"/>
      <c r="AE74" s="49" t="n"/>
      <c r="AF74" s="49" t="n"/>
      <c r="AG74" s="49" t="n"/>
      <c r="AH74" s="49" t="n"/>
      <c r="AI74" s="49" t="n"/>
      <c r="AJ74" s="49" t="n"/>
      <c r="AK74" s="49" t="n"/>
    </row>
    <row r="75" ht="15" customHeight="1" s="27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51">
        <f>CONFIG_REFERENCIA!$E$3</f>
        <v/>
      </c>
      <c r="P75" s="51">
        <f>CONFIG_REFERENCIA!$E$4</f>
        <v/>
      </c>
      <c r="Q75" s="51">
        <f>CONFIG_REFERENCIA!$E$5</f>
        <v/>
      </c>
      <c r="R75" s="51">
        <f>CONFIG_REFERENCIA!$E$6</f>
        <v/>
      </c>
      <c r="S75" s="52">
        <f>IF($F75="","",INDEX(CONFIG_REFERENCIA!$B$3:$B$6,MATCH($F75,CONFIG_REFERENCIA!$A$3:$A$6,0)))</f>
        <v/>
      </c>
      <c r="T75" s="53" t="n"/>
      <c r="U75" s="53" t="n"/>
      <c r="V75" s="53" t="n"/>
      <c r="W75" s="53" t="n"/>
      <c r="X75" s="54">
        <f>IF(COUNTA($T75:$W75)&lt;4,"",$S75*($O75*$T75+$P75*$U75+$Q75*$V75+$R75*$W75))</f>
        <v/>
      </c>
      <c r="Y75" s="53" t="n"/>
      <c r="Z75" s="53" t="n"/>
      <c r="AA75" s="55" t="n"/>
      <c r="AB75" s="55" t="n"/>
      <c r="AC75" s="49" t="n"/>
      <c r="AD75" s="49" t="n"/>
      <c r="AE75" s="49" t="n"/>
      <c r="AF75" s="49" t="n"/>
      <c r="AG75" s="49" t="n"/>
      <c r="AH75" s="49" t="n"/>
      <c r="AI75" s="49" t="n"/>
      <c r="AJ75" s="49" t="n"/>
      <c r="AK75" s="49" t="n"/>
    </row>
    <row r="76" ht="15" customHeight="1" s="27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51">
        <f>CONFIG_REFERENCIA!$E$3</f>
        <v/>
      </c>
      <c r="P76" s="51">
        <f>CONFIG_REFERENCIA!$E$4</f>
        <v/>
      </c>
      <c r="Q76" s="51">
        <f>CONFIG_REFERENCIA!$E$5</f>
        <v/>
      </c>
      <c r="R76" s="51">
        <f>CONFIG_REFERENCIA!$E$6</f>
        <v/>
      </c>
      <c r="S76" s="52">
        <f>IF($F76="","",INDEX(CONFIG_REFERENCIA!$B$3:$B$6,MATCH($F76,CONFIG_REFERENCIA!$A$3:$A$6,0)))</f>
        <v/>
      </c>
      <c r="T76" s="53" t="n"/>
      <c r="U76" s="53" t="n"/>
      <c r="V76" s="53" t="n"/>
      <c r="W76" s="53" t="n"/>
      <c r="X76" s="54">
        <f>IF(COUNTA($T76:$W76)&lt;4,"",$S76*($O76*$T76+$P76*$U76+$Q76*$V76+$R76*$W76))</f>
        <v/>
      </c>
      <c r="Y76" s="53" t="n"/>
      <c r="Z76" s="53" t="n"/>
      <c r="AA76" s="55" t="n"/>
      <c r="AB76" s="55" t="n"/>
      <c r="AC76" s="49" t="n"/>
      <c r="AD76" s="49" t="n"/>
      <c r="AE76" s="49" t="n"/>
      <c r="AF76" s="49" t="n"/>
      <c r="AG76" s="49" t="n"/>
      <c r="AH76" s="49" t="n"/>
      <c r="AI76" s="49" t="n"/>
      <c r="AJ76" s="49" t="n"/>
      <c r="AK76" s="49" t="n"/>
    </row>
    <row r="77" ht="15" customHeight="1" s="27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51">
        <f>CONFIG_REFERENCIA!$E$3</f>
        <v/>
      </c>
      <c r="P77" s="51">
        <f>CONFIG_REFERENCIA!$E$4</f>
        <v/>
      </c>
      <c r="Q77" s="51">
        <f>CONFIG_REFERENCIA!$E$5</f>
        <v/>
      </c>
      <c r="R77" s="51">
        <f>CONFIG_REFERENCIA!$E$6</f>
        <v/>
      </c>
      <c r="S77" s="52">
        <f>IF($F77="","",INDEX(CONFIG_REFERENCIA!$B$3:$B$6,MATCH($F77,CONFIG_REFERENCIA!$A$3:$A$6,0)))</f>
        <v/>
      </c>
      <c r="T77" s="53" t="n"/>
      <c r="U77" s="53" t="n"/>
      <c r="V77" s="53" t="n"/>
      <c r="W77" s="53" t="n"/>
      <c r="X77" s="54">
        <f>IF(COUNTA($T77:$W77)&lt;4,"",$S77*($O77*$T77+$P77*$U77+$Q77*$V77+$R77*$W77))</f>
        <v/>
      </c>
      <c r="Y77" s="53" t="n"/>
      <c r="Z77" s="53" t="n"/>
      <c r="AA77" s="55" t="n"/>
      <c r="AB77" s="55" t="n"/>
      <c r="AC77" s="49" t="n"/>
      <c r="AD77" s="49" t="n"/>
      <c r="AE77" s="49" t="n"/>
      <c r="AF77" s="49" t="n"/>
      <c r="AG77" s="49" t="n"/>
      <c r="AH77" s="49" t="n"/>
      <c r="AI77" s="49" t="n"/>
      <c r="AJ77" s="49" t="n"/>
      <c r="AK77" s="49" t="n"/>
    </row>
    <row r="78" ht="15" customHeight="1" s="27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51">
        <f>CONFIG_REFERENCIA!$E$3</f>
        <v/>
      </c>
      <c r="P78" s="51">
        <f>CONFIG_REFERENCIA!$E$4</f>
        <v/>
      </c>
      <c r="Q78" s="51">
        <f>CONFIG_REFERENCIA!$E$5</f>
        <v/>
      </c>
      <c r="R78" s="51">
        <f>CONFIG_REFERENCIA!$E$6</f>
        <v/>
      </c>
      <c r="S78" s="52">
        <f>IF($F78="","",INDEX(CONFIG_REFERENCIA!$B$3:$B$6,MATCH($F78,CONFIG_REFERENCIA!$A$3:$A$6,0)))</f>
        <v/>
      </c>
      <c r="T78" s="53" t="n"/>
      <c r="U78" s="53" t="n"/>
      <c r="V78" s="53" t="n"/>
      <c r="W78" s="53" t="n"/>
      <c r="X78" s="54">
        <f>IF(COUNTA($T78:$W78)&lt;4,"",$S78*($O78*$T78+$P78*$U78+$Q78*$V78+$R78*$W78))</f>
        <v/>
      </c>
      <c r="Y78" s="53" t="n"/>
      <c r="Z78" s="53" t="n"/>
      <c r="AA78" s="55" t="n"/>
      <c r="AB78" s="55" t="n"/>
      <c r="AC78" s="49" t="n"/>
      <c r="AD78" s="49" t="n"/>
      <c r="AE78" s="49" t="n"/>
      <c r="AF78" s="49" t="n"/>
      <c r="AG78" s="49" t="n"/>
      <c r="AH78" s="49" t="n"/>
      <c r="AI78" s="49" t="n"/>
      <c r="AJ78" s="49" t="n"/>
      <c r="AK78" s="49" t="n"/>
    </row>
    <row r="79" ht="15" customHeight="1" s="27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51">
        <f>CONFIG_REFERENCIA!$E$3</f>
        <v/>
      </c>
      <c r="P79" s="51">
        <f>CONFIG_REFERENCIA!$E$4</f>
        <v/>
      </c>
      <c r="Q79" s="51">
        <f>CONFIG_REFERENCIA!$E$5</f>
        <v/>
      </c>
      <c r="R79" s="51">
        <f>CONFIG_REFERENCIA!$E$6</f>
        <v/>
      </c>
      <c r="S79" s="52">
        <f>IF($F79="","",INDEX(CONFIG_REFERENCIA!$B$3:$B$6,MATCH($F79,CONFIG_REFERENCIA!$A$3:$A$6,0)))</f>
        <v/>
      </c>
      <c r="T79" s="53" t="n"/>
      <c r="U79" s="53" t="n"/>
      <c r="V79" s="53" t="n"/>
      <c r="W79" s="53" t="n"/>
      <c r="X79" s="54">
        <f>IF(COUNTA($T79:$W79)&lt;4,"",$S79*($O79*$T79+$P79*$U79+$Q79*$V79+$R79*$W79))</f>
        <v/>
      </c>
      <c r="Y79" s="53" t="n"/>
      <c r="Z79" s="53" t="n"/>
      <c r="AA79" s="55" t="n"/>
      <c r="AB79" s="55" t="n"/>
      <c r="AC79" s="49" t="n"/>
      <c r="AD79" s="49" t="n"/>
      <c r="AE79" s="49" t="n"/>
      <c r="AF79" s="49" t="n"/>
      <c r="AG79" s="49" t="n"/>
      <c r="AH79" s="49" t="n"/>
      <c r="AI79" s="49" t="n"/>
      <c r="AJ79" s="49" t="n"/>
      <c r="AK79" s="49" t="n"/>
    </row>
    <row r="80" ht="15" customHeight="1" s="27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51">
        <f>CONFIG_REFERENCIA!$E$3</f>
        <v/>
      </c>
      <c r="P80" s="51">
        <f>CONFIG_REFERENCIA!$E$4</f>
        <v/>
      </c>
      <c r="Q80" s="51">
        <f>CONFIG_REFERENCIA!$E$5</f>
        <v/>
      </c>
      <c r="R80" s="51">
        <f>CONFIG_REFERENCIA!$E$6</f>
        <v/>
      </c>
      <c r="S80" s="52">
        <f>IF($F80="","",INDEX(CONFIG_REFERENCIA!$B$3:$B$6,MATCH($F80,CONFIG_REFERENCIA!$A$3:$A$6,0)))</f>
        <v/>
      </c>
      <c r="T80" s="53" t="n"/>
      <c r="U80" s="53" t="n"/>
      <c r="V80" s="53" t="n"/>
      <c r="W80" s="53" t="n"/>
      <c r="X80" s="54">
        <f>IF(COUNTA($T80:$W80)&lt;4,"",$S80*($O80*$T80+$P80*$U80+$Q80*$V80+$R80*$W80))</f>
        <v/>
      </c>
      <c r="Y80" s="53" t="n"/>
      <c r="Z80" s="53" t="n"/>
      <c r="AA80" s="55" t="n"/>
      <c r="AB80" s="55" t="n"/>
      <c r="AC80" s="49" t="n"/>
      <c r="AD80" s="49" t="n"/>
      <c r="AE80" s="49" t="n"/>
      <c r="AF80" s="49" t="n"/>
      <c r="AG80" s="49" t="n"/>
      <c r="AH80" s="49" t="n"/>
      <c r="AI80" s="49" t="n"/>
      <c r="AJ80" s="49" t="n"/>
      <c r="AK80" s="49" t="n"/>
    </row>
    <row r="81" ht="15" customHeight="1" s="27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51">
        <f>CONFIG_REFERENCIA!$E$3</f>
        <v/>
      </c>
      <c r="P81" s="51">
        <f>CONFIG_REFERENCIA!$E$4</f>
        <v/>
      </c>
      <c r="Q81" s="51">
        <f>CONFIG_REFERENCIA!$E$5</f>
        <v/>
      </c>
      <c r="R81" s="51">
        <f>CONFIG_REFERENCIA!$E$6</f>
        <v/>
      </c>
      <c r="S81" s="52">
        <f>IF($F81="","",INDEX(CONFIG_REFERENCIA!$B$3:$B$6,MATCH($F81,CONFIG_REFERENCIA!$A$3:$A$6,0)))</f>
        <v/>
      </c>
      <c r="T81" s="53" t="n"/>
      <c r="U81" s="53" t="n"/>
      <c r="V81" s="53" t="n"/>
      <c r="W81" s="53" t="n"/>
      <c r="X81" s="54">
        <f>IF(COUNTA($T81:$W81)&lt;4,"",$S81*($O81*$T81+$P81*$U81+$Q81*$V81+$R81*$W81))</f>
        <v/>
      </c>
      <c r="Y81" s="53" t="n"/>
      <c r="Z81" s="53" t="n"/>
      <c r="AA81" s="55" t="n"/>
      <c r="AB81" s="55" t="n"/>
      <c r="AC81" s="49" t="n"/>
      <c r="AD81" s="49" t="n"/>
      <c r="AE81" s="49" t="n"/>
      <c r="AF81" s="49" t="n"/>
      <c r="AG81" s="49" t="n"/>
      <c r="AH81" s="49" t="n"/>
      <c r="AI81" s="49" t="n"/>
      <c r="AJ81" s="49" t="n"/>
      <c r="AK81" s="49" t="n"/>
    </row>
    <row r="82" ht="15" customHeight="1" s="27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51">
        <f>CONFIG_REFERENCIA!$E$3</f>
        <v/>
      </c>
      <c r="P82" s="51">
        <f>CONFIG_REFERENCIA!$E$4</f>
        <v/>
      </c>
      <c r="Q82" s="51">
        <f>CONFIG_REFERENCIA!$E$5</f>
        <v/>
      </c>
      <c r="R82" s="51">
        <f>CONFIG_REFERENCIA!$E$6</f>
        <v/>
      </c>
      <c r="S82" s="52">
        <f>IF($F82="","",INDEX(CONFIG_REFERENCIA!$B$3:$B$6,MATCH($F82,CONFIG_REFERENCIA!$A$3:$A$6,0)))</f>
        <v/>
      </c>
      <c r="T82" s="53" t="n"/>
      <c r="U82" s="53" t="n"/>
      <c r="V82" s="53" t="n"/>
      <c r="W82" s="53" t="n"/>
      <c r="X82" s="54">
        <f>IF(COUNTA($T82:$W82)&lt;4,"",$S82*($O82*$T82+$P82*$U82+$Q82*$V82+$R82*$W82))</f>
        <v/>
      </c>
      <c r="Y82" s="53" t="n"/>
      <c r="Z82" s="53" t="n"/>
      <c r="AA82" s="55" t="n"/>
      <c r="AB82" s="55" t="n"/>
      <c r="AC82" s="49" t="n"/>
      <c r="AD82" s="49" t="n"/>
      <c r="AE82" s="49" t="n"/>
      <c r="AF82" s="49" t="n"/>
      <c r="AG82" s="49" t="n"/>
      <c r="AH82" s="49" t="n"/>
      <c r="AI82" s="49" t="n"/>
      <c r="AJ82" s="49" t="n"/>
      <c r="AK82" s="49" t="n"/>
    </row>
    <row r="83" ht="15" customHeight="1" s="27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51">
        <f>CONFIG_REFERENCIA!$E$3</f>
        <v/>
      </c>
      <c r="P83" s="51">
        <f>CONFIG_REFERENCIA!$E$4</f>
        <v/>
      </c>
      <c r="Q83" s="51">
        <f>CONFIG_REFERENCIA!$E$5</f>
        <v/>
      </c>
      <c r="R83" s="51">
        <f>CONFIG_REFERENCIA!$E$6</f>
        <v/>
      </c>
      <c r="S83" s="52">
        <f>IF($F83="","",INDEX(CONFIG_REFERENCIA!$B$3:$B$6,MATCH($F83,CONFIG_REFERENCIA!$A$3:$A$6,0)))</f>
        <v/>
      </c>
      <c r="T83" s="53" t="n"/>
      <c r="U83" s="53" t="n"/>
      <c r="V83" s="53" t="n"/>
      <c r="W83" s="53" t="n"/>
      <c r="X83" s="54">
        <f>IF(COUNTA($T83:$W83)&lt;4,"",$S83*($O83*$T83+$P83*$U83+$Q83*$V83+$R83*$W83))</f>
        <v/>
      </c>
      <c r="Y83" s="53" t="n"/>
      <c r="Z83" s="53" t="n"/>
      <c r="AA83" s="55" t="n"/>
      <c r="AB83" s="55" t="n"/>
      <c r="AC83" s="49" t="n"/>
      <c r="AD83" s="49" t="n"/>
      <c r="AE83" s="49" t="n"/>
      <c r="AF83" s="49" t="n"/>
      <c r="AG83" s="49" t="n"/>
      <c r="AH83" s="49" t="n"/>
      <c r="AI83" s="49" t="n"/>
      <c r="AJ83" s="49" t="n"/>
      <c r="AK83" s="49" t="n"/>
    </row>
    <row r="84" ht="15" customHeight="1" s="27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51">
        <f>CONFIG_REFERENCIA!$E$3</f>
        <v/>
      </c>
      <c r="P84" s="51">
        <f>CONFIG_REFERENCIA!$E$4</f>
        <v/>
      </c>
      <c r="Q84" s="51">
        <f>CONFIG_REFERENCIA!$E$5</f>
        <v/>
      </c>
      <c r="R84" s="51">
        <f>CONFIG_REFERENCIA!$E$6</f>
        <v/>
      </c>
      <c r="S84" s="52">
        <f>IF($F84="","",INDEX(CONFIG_REFERENCIA!$B$3:$B$6,MATCH($F84,CONFIG_REFERENCIA!$A$3:$A$6,0)))</f>
        <v/>
      </c>
      <c r="T84" s="53" t="n"/>
      <c r="U84" s="53" t="n"/>
      <c r="V84" s="53" t="n"/>
      <c r="W84" s="53" t="n"/>
      <c r="X84" s="54">
        <f>IF(COUNTA($T84:$W84)&lt;4,"",$S84*($O84*$T84+$P84*$U84+$Q84*$V84+$R84*$W84))</f>
        <v/>
      </c>
      <c r="Y84" s="53" t="n"/>
      <c r="Z84" s="53" t="n"/>
      <c r="AA84" s="55" t="n"/>
      <c r="AB84" s="55" t="n"/>
      <c r="AC84" s="49" t="n"/>
      <c r="AD84" s="49" t="n"/>
      <c r="AE84" s="49" t="n"/>
      <c r="AF84" s="49" t="n"/>
      <c r="AG84" s="49" t="n"/>
      <c r="AH84" s="49" t="n"/>
      <c r="AI84" s="49" t="n"/>
      <c r="AJ84" s="49" t="n"/>
      <c r="AK84" s="49" t="n"/>
    </row>
    <row r="85" ht="15" customHeight="1" s="27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51">
        <f>CONFIG_REFERENCIA!$E$3</f>
        <v/>
      </c>
      <c r="P85" s="51">
        <f>CONFIG_REFERENCIA!$E$4</f>
        <v/>
      </c>
      <c r="Q85" s="51">
        <f>CONFIG_REFERENCIA!$E$5</f>
        <v/>
      </c>
      <c r="R85" s="51">
        <f>CONFIG_REFERENCIA!$E$6</f>
        <v/>
      </c>
      <c r="S85" s="52">
        <f>IF($F85="","",INDEX(CONFIG_REFERENCIA!$B$3:$B$6,MATCH($F85,CONFIG_REFERENCIA!$A$3:$A$6,0)))</f>
        <v/>
      </c>
      <c r="T85" s="53" t="n"/>
      <c r="U85" s="53" t="n"/>
      <c r="V85" s="53" t="n"/>
      <c r="W85" s="53" t="n"/>
      <c r="X85" s="54">
        <f>IF(COUNTA($T85:$W85)&lt;4,"",$S85*($O85*$T85+$P85*$U85+$Q85*$V85+$R85*$W85))</f>
        <v/>
      </c>
      <c r="Y85" s="53" t="n"/>
      <c r="Z85" s="53" t="n"/>
      <c r="AA85" s="55" t="n"/>
      <c r="AB85" s="55" t="n"/>
      <c r="AC85" s="49" t="n"/>
      <c r="AD85" s="49" t="n"/>
      <c r="AE85" s="49" t="n"/>
      <c r="AF85" s="49" t="n"/>
      <c r="AG85" s="49" t="n"/>
      <c r="AH85" s="49" t="n"/>
      <c r="AI85" s="49" t="n"/>
      <c r="AJ85" s="49" t="n"/>
      <c r="AK85" s="49" t="n"/>
    </row>
    <row r="86" ht="15" customHeight="1" s="27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51">
        <f>CONFIG_REFERENCIA!$E$3</f>
        <v/>
      </c>
      <c r="P86" s="51">
        <f>CONFIG_REFERENCIA!$E$4</f>
        <v/>
      </c>
      <c r="Q86" s="51">
        <f>CONFIG_REFERENCIA!$E$5</f>
        <v/>
      </c>
      <c r="R86" s="51">
        <f>CONFIG_REFERENCIA!$E$6</f>
        <v/>
      </c>
      <c r="S86" s="52">
        <f>IF($F86="","",INDEX(CONFIG_REFERENCIA!$B$3:$B$6,MATCH($F86,CONFIG_REFERENCIA!$A$3:$A$6,0)))</f>
        <v/>
      </c>
      <c r="T86" s="53" t="n"/>
      <c r="U86" s="53" t="n"/>
      <c r="V86" s="53" t="n"/>
      <c r="W86" s="53" t="n"/>
      <c r="X86" s="54">
        <f>IF(COUNTA($T86:$W86)&lt;4,"",$S86*($O86*$T86+$P86*$U86+$Q86*$V86+$R86*$W86))</f>
        <v/>
      </c>
      <c r="Y86" s="53" t="n"/>
      <c r="Z86" s="53" t="n"/>
      <c r="AA86" s="55" t="n"/>
      <c r="AB86" s="55" t="n"/>
      <c r="AC86" s="49" t="n"/>
      <c r="AD86" s="49" t="n"/>
      <c r="AE86" s="49" t="n"/>
      <c r="AF86" s="49" t="n"/>
      <c r="AG86" s="49" t="n"/>
      <c r="AH86" s="49" t="n"/>
      <c r="AI86" s="49" t="n"/>
      <c r="AJ86" s="49" t="n"/>
      <c r="AK86" s="49" t="n"/>
    </row>
    <row r="87" ht="15" customHeight="1" s="27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51">
        <f>CONFIG_REFERENCIA!$E$3</f>
        <v/>
      </c>
      <c r="P87" s="51">
        <f>CONFIG_REFERENCIA!$E$4</f>
        <v/>
      </c>
      <c r="Q87" s="51">
        <f>CONFIG_REFERENCIA!$E$5</f>
        <v/>
      </c>
      <c r="R87" s="51">
        <f>CONFIG_REFERENCIA!$E$6</f>
        <v/>
      </c>
      <c r="S87" s="52">
        <f>IF($F87="","",INDEX(CONFIG_REFERENCIA!$B$3:$B$6,MATCH($F87,CONFIG_REFERENCIA!$A$3:$A$6,0)))</f>
        <v/>
      </c>
      <c r="T87" s="53" t="n"/>
      <c r="U87" s="53" t="n"/>
      <c r="V87" s="53" t="n"/>
      <c r="W87" s="53" t="n"/>
      <c r="X87" s="54">
        <f>IF(COUNTA($T87:$W87)&lt;4,"",$S87*($O87*$T87+$P87*$U87+$Q87*$V87+$R87*$W87))</f>
        <v/>
      </c>
      <c r="Y87" s="53" t="n"/>
      <c r="Z87" s="53" t="n"/>
      <c r="AA87" s="55" t="n"/>
      <c r="AB87" s="55" t="n"/>
      <c r="AC87" s="49" t="n"/>
      <c r="AD87" s="49" t="n"/>
      <c r="AE87" s="49" t="n"/>
      <c r="AF87" s="49" t="n"/>
      <c r="AG87" s="49" t="n"/>
      <c r="AH87" s="49" t="n"/>
      <c r="AI87" s="49" t="n"/>
      <c r="AJ87" s="49" t="n"/>
      <c r="AK87" s="49" t="n"/>
    </row>
    <row r="88" ht="15" customHeight="1" s="27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51">
        <f>CONFIG_REFERENCIA!$E$3</f>
        <v/>
      </c>
      <c r="P88" s="51">
        <f>CONFIG_REFERENCIA!$E$4</f>
        <v/>
      </c>
      <c r="Q88" s="51">
        <f>CONFIG_REFERENCIA!$E$5</f>
        <v/>
      </c>
      <c r="R88" s="51">
        <f>CONFIG_REFERENCIA!$E$6</f>
        <v/>
      </c>
      <c r="S88" s="52">
        <f>IF($F88="","",INDEX(CONFIG_REFERENCIA!$B$3:$B$6,MATCH($F88,CONFIG_REFERENCIA!$A$3:$A$6,0)))</f>
        <v/>
      </c>
      <c r="T88" s="53" t="n"/>
      <c r="U88" s="53" t="n"/>
      <c r="V88" s="53" t="n"/>
      <c r="W88" s="53" t="n"/>
      <c r="X88" s="54">
        <f>IF(COUNTA($T88:$W88)&lt;4,"",$S88*($O88*$T88+$P88*$U88+$Q88*$V88+$R88*$W88))</f>
        <v/>
      </c>
      <c r="Y88" s="53" t="n"/>
      <c r="Z88" s="53" t="n"/>
      <c r="AA88" s="55" t="n"/>
      <c r="AB88" s="55" t="n"/>
      <c r="AC88" s="49" t="n"/>
      <c r="AD88" s="49" t="n"/>
      <c r="AE88" s="49" t="n"/>
      <c r="AF88" s="49" t="n"/>
      <c r="AG88" s="49" t="n"/>
      <c r="AH88" s="49" t="n"/>
      <c r="AI88" s="49" t="n"/>
      <c r="AJ88" s="49" t="n"/>
      <c r="AK88" s="49" t="n"/>
    </row>
    <row r="89" ht="15" customHeight="1" s="27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51">
        <f>CONFIG_REFERENCIA!$E$3</f>
        <v/>
      </c>
      <c r="P89" s="51">
        <f>CONFIG_REFERENCIA!$E$4</f>
        <v/>
      </c>
      <c r="Q89" s="51">
        <f>CONFIG_REFERENCIA!$E$5</f>
        <v/>
      </c>
      <c r="R89" s="51">
        <f>CONFIG_REFERENCIA!$E$6</f>
        <v/>
      </c>
      <c r="S89" s="52">
        <f>IF($F89="","",INDEX(CONFIG_REFERENCIA!$B$3:$B$6,MATCH($F89,CONFIG_REFERENCIA!$A$3:$A$6,0)))</f>
        <v/>
      </c>
      <c r="T89" s="53" t="n"/>
      <c r="U89" s="53" t="n"/>
      <c r="V89" s="53" t="n"/>
      <c r="W89" s="53" t="n"/>
      <c r="X89" s="54">
        <f>IF(COUNTA($T89:$W89)&lt;4,"",$S89*($O89*$T89+$P89*$U89+$Q89*$V89+$R89*$W89))</f>
        <v/>
      </c>
      <c r="Y89" s="53" t="n"/>
      <c r="Z89" s="53" t="n"/>
      <c r="AA89" s="55" t="n"/>
      <c r="AB89" s="55" t="n"/>
      <c r="AC89" s="49" t="n"/>
      <c r="AD89" s="49" t="n"/>
      <c r="AE89" s="49" t="n"/>
      <c r="AF89" s="49" t="n"/>
      <c r="AG89" s="49" t="n"/>
      <c r="AH89" s="49" t="n"/>
      <c r="AI89" s="49" t="n"/>
      <c r="AJ89" s="49" t="n"/>
      <c r="AK89" s="49" t="n"/>
    </row>
    <row r="90" ht="15" customHeight="1" s="27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51">
        <f>CONFIG_REFERENCIA!$E$3</f>
        <v/>
      </c>
      <c r="P90" s="51">
        <f>CONFIG_REFERENCIA!$E$4</f>
        <v/>
      </c>
      <c r="Q90" s="51">
        <f>CONFIG_REFERENCIA!$E$5</f>
        <v/>
      </c>
      <c r="R90" s="51">
        <f>CONFIG_REFERENCIA!$E$6</f>
        <v/>
      </c>
      <c r="S90" s="52">
        <f>IF($F90="","",INDEX(CONFIG_REFERENCIA!$B$3:$B$6,MATCH($F90,CONFIG_REFERENCIA!$A$3:$A$6,0)))</f>
        <v/>
      </c>
      <c r="T90" s="53" t="n"/>
      <c r="U90" s="53" t="n"/>
      <c r="V90" s="53" t="n"/>
      <c r="W90" s="53" t="n"/>
      <c r="X90" s="54">
        <f>IF(COUNTA($T90:$W90)&lt;4,"",$S90*($O90*$T90+$P90*$U90+$Q90*$V90+$R90*$W90))</f>
        <v/>
      </c>
      <c r="Y90" s="53" t="n"/>
      <c r="Z90" s="53" t="n"/>
      <c r="AA90" s="55" t="n"/>
      <c r="AB90" s="55" t="n"/>
      <c r="AC90" s="49" t="n"/>
      <c r="AD90" s="49" t="n"/>
      <c r="AE90" s="49" t="n"/>
      <c r="AF90" s="49" t="n"/>
      <c r="AG90" s="49" t="n"/>
      <c r="AH90" s="49" t="n"/>
      <c r="AI90" s="49" t="n"/>
      <c r="AJ90" s="49" t="n"/>
      <c r="AK90" s="49" t="n"/>
    </row>
    <row r="91" ht="15" customHeight="1" s="27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51">
        <f>CONFIG_REFERENCIA!$E$3</f>
        <v/>
      </c>
      <c r="P91" s="51">
        <f>CONFIG_REFERENCIA!$E$4</f>
        <v/>
      </c>
      <c r="Q91" s="51">
        <f>CONFIG_REFERENCIA!$E$5</f>
        <v/>
      </c>
      <c r="R91" s="51">
        <f>CONFIG_REFERENCIA!$E$6</f>
        <v/>
      </c>
      <c r="S91" s="52">
        <f>IF($F91="","",INDEX(CONFIG_REFERENCIA!$B$3:$B$6,MATCH($F91,CONFIG_REFERENCIA!$A$3:$A$6,0)))</f>
        <v/>
      </c>
      <c r="T91" s="53" t="n"/>
      <c r="U91" s="53" t="n"/>
      <c r="V91" s="53" t="n"/>
      <c r="W91" s="53" t="n"/>
      <c r="X91" s="54">
        <f>IF(COUNTA($T91:$W91)&lt;4,"",$S91*($O91*$T91+$P91*$U91+$Q91*$V91+$R91*$W91))</f>
        <v/>
      </c>
      <c r="Y91" s="53" t="n"/>
      <c r="Z91" s="53" t="n"/>
      <c r="AA91" s="55" t="n"/>
      <c r="AB91" s="55" t="n"/>
      <c r="AC91" s="49" t="n"/>
      <c r="AD91" s="49" t="n"/>
      <c r="AE91" s="49" t="n"/>
      <c r="AF91" s="49" t="n"/>
      <c r="AG91" s="49" t="n"/>
      <c r="AH91" s="49" t="n"/>
      <c r="AI91" s="49" t="n"/>
      <c r="AJ91" s="49" t="n"/>
      <c r="AK91" s="49" t="n"/>
    </row>
    <row r="92" ht="15" customHeight="1" s="27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51">
        <f>CONFIG_REFERENCIA!$E$3</f>
        <v/>
      </c>
      <c r="P92" s="51">
        <f>CONFIG_REFERENCIA!$E$4</f>
        <v/>
      </c>
      <c r="Q92" s="51">
        <f>CONFIG_REFERENCIA!$E$5</f>
        <v/>
      </c>
      <c r="R92" s="51">
        <f>CONFIG_REFERENCIA!$E$6</f>
        <v/>
      </c>
      <c r="S92" s="52">
        <f>IF($F92="","",INDEX(CONFIG_REFERENCIA!$B$3:$B$6,MATCH($F92,CONFIG_REFERENCIA!$A$3:$A$6,0)))</f>
        <v/>
      </c>
      <c r="T92" s="53" t="n"/>
      <c r="U92" s="53" t="n"/>
      <c r="V92" s="53" t="n"/>
      <c r="W92" s="53" t="n"/>
      <c r="X92" s="54">
        <f>IF(COUNTA($T92:$W92)&lt;4,"",$S92*($O92*$T92+$P92*$U92+$Q92*$V92+$R92*$W92))</f>
        <v/>
      </c>
      <c r="Y92" s="53" t="n"/>
      <c r="Z92" s="53" t="n"/>
      <c r="AA92" s="55" t="n"/>
      <c r="AB92" s="55" t="n"/>
      <c r="AC92" s="49" t="n"/>
      <c r="AD92" s="49" t="n"/>
      <c r="AE92" s="49" t="n"/>
      <c r="AF92" s="49" t="n"/>
      <c r="AG92" s="49" t="n"/>
      <c r="AH92" s="49" t="n"/>
      <c r="AI92" s="49" t="n"/>
      <c r="AJ92" s="49" t="n"/>
      <c r="AK92" s="49" t="n"/>
    </row>
    <row r="93" ht="15" customHeight="1" s="27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51">
        <f>CONFIG_REFERENCIA!$E$3</f>
        <v/>
      </c>
      <c r="P93" s="51">
        <f>CONFIG_REFERENCIA!$E$4</f>
        <v/>
      </c>
      <c r="Q93" s="51">
        <f>CONFIG_REFERENCIA!$E$5</f>
        <v/>
      </c>
      <c r="R93" s="51">
        <f>CONFIG_REFERENCIA!$E$6</f>
        <v/>
      </c>
      <c r="S93" s="52">
        <f>IF($F93="","",INDEX(CONFIG_REFERENCIA!$B$3:$B$6,MATCH($F93,CONFIG_REFERENCIA!$A$3:$A$6,0)))</f>
        <v/>
      </c>
      <c r="T93" s="53" t="n"/>
      <c r="U93" s="53" t="n"/>
      <c r="V93" s="53" t="n"/>
      <c r="W93" s="53" t="n"/>
      <c r="X93" s="54">
        <f>IF(COUNTA($T93:$W93)&lt;4,"",$S93*($O93*$T93+$P93*$U93+$Q93*$V93+$R93*$W93))</f>
        <v/>
      </c>
      <c r="Y93" s="53" t="n"/>
      <c r="Z93" s="53" t="n"/>
      <c r="AA93" s="55" t="n"/>
      <c r="AB93" s="55" t="n"/>
      <c r="AC93" s="49" t="n"/>
      <c r="AD93" s="49" t="n"/>
      <c r="AE93" s="49" t="n"/>
      <c r="AF93" s="49" t="n"/>
      <c r="AG93" s="49" t="n"/>
      <c r="AH93" s="49" t="n"/>
      <c r="AI93" s="49" t="n"/>
      <c r="AJ93" s="49" t="n"/>
      <c r="AK93" s="49" t="n"/>
    </row>
    <row r="94" ht="15" customHeight="1" s="27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51">
        <f>CONFIG_REFERENCIA!$E$3</f>
        <v/>
      </c>
      <c r="P94" s="51">
        <f>CONFIG_REFERENCIA!$E$4</f>
        <v/>
      </c>
      <c r="Q94" s="51">
        <f>CONFIG_REFERENCIA!$E$5</f>
        <v/>
      </c>
      <c r="R94" s="51">
        <f>CONFIG_REFERENCIA!$E$6</f>
        <v/>
      </c>
      <c r="S94" s="52">
        <f>IF($F94="","",INDEX(CONFIG_REFERENCIA!$B$3:$B$6,MATCH($F94,CONFIG_REFERENCIA!$A$3:$A$6,0)))</f>
        <v/>
      </c>
      <c r="T94" s="53" t="n"/>
      <c r="U94" s="53" t="n"/>
      <c r="V94" s="53" t="n"/>
      <c r="W94" s="53" t="n"/>
      <c r="X94" s="54">
        <f>IF(COUNTA($T94:$W94)&lt;4,"",$S94*($O94*$T94+$P94*$U94+$Q94*$V94+$R94*$W94))</f>
        <v/>
      </c>
      <c r="Y94" s="53" t="n"/>
      <c r="Z94" s="53" t="n"/>
      <c r="AA94" s="55" t="n"/>
      <c r="AB94" s="55" t="n"/>
      <c r="AC94" s="49" t="n"/>
      <c r="AD94" s="49" t="n"/>
      <c r="AE94" s="49" t="n"/>
      <c r="AF94" s="49" t="n"/>
      <c r="AG94" s="49" t="n"/>
      <c r="AH94" s="49" t="n"/>
      <c r="AI94" s="49" t="n"/>
      <c r="AJ94" s="49" t="n"/>
      <c r="AK94" s="49" t="n"/>
    </row>
    <row r="95" ht="15" customHeight="1" s="27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51">
        <f>CONFIG_REFERENCIA!$E$3</f>
        <v/>
      </c>
      <c r="P95" s="51">
        <f>CONFIG_REFERENCIA!$E$4</f>
        <v/>
      </c>
      <c r="Q95" s="51">
        <f>CONFIG_REFERENCIA!$E$5</f>
        <v/>
      </c>
      <c r="R95" s="51">
        <f>CONFIG_REFERENCIA!$E$6</f>
        <v/>
      </c>
      <c r="S95" s="52">
        <f>IF($F95="","",INDEX(CONFIG_REFERENCIA!$B$3:$B$6,MATCH($F95,CONFIG_REFERENCIA!$A$3:$A$6,0)))</f>
        <v/>
      </c>
      <c r="T95" s="53" t="n"/>
      <c r="U95" s="53" t="n"/>
      <c r="V95" s="53" t="n"/>
      <c r="W95" s="53" t="n"/>
      <c r="X95" s="54">
        <f>IF(COUNTA($T95:$W95)&lt;4,"",$S95*($O95*$T95+$P95*$U95+$Q95*$V95+$R95*$W95))</f>
        <v/>
      </c>
      <c r="Y95" s="53" t="n"/>
      <c r="Z95" s="53" t="n"/>
      <c r="AA95" s="55" t="n"/>
      <c r="AB95" s="55" t="n"/>
      <c r="AC95" s="49" t="n"/>
      <c r="AD95" s="49" t="n"/>
      <c r="AE95" s="49" t="n"/>
      <c r="AF95" s="49" t="n"/>
      <c r="AG95" s="49" t="n"/>
      <c r="AH95" s="49" t="n"/>
      <c r="AI95" s="49" t="n"/>
      <c r="AJ95" s="49" t="n"/>
      <c r="AK95" s="49" t="n"/>
    </row>
    <row r="96" ht="15" customHeight="1" s="27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51">
        <f>CONFIG_REFERENCIA!$E$3</f>
        <v/>
      </c>
      <c r="P96" s="51">
        <f>CONFIG_REFERENCIA!$E$4</f>
        <v/>
      </c>
      <c r="Q96" s="51">
        <f>CONFIG_REFERENCIA!$E$5</f>
        <v/>
      </c>
      <c r="R96" s="51">
        <f>CONFIG_REFERENCIA!$E$6</f>
        <v/>
      </c>
      <c r="S96" s="52">
        <f>IF($F96="","",INDEX(CONFIG_REFERENCIA!$B$3:$B$6,MATCH($F96,CONFIG_REFERENCIA!$A$3:$A$6,0)))</f>
        <v/>
      </c>
      <c r="T96" s="53" t="n"/>
      <c r="U96" s="53" t="n"/>
      <c r="V96" s="53" t="n"/>
      <c r="W96" s="53" t="n"/>
      <c r="X96" s="54">
        <f>IF(COUNTA($T96:$W96)&lt;4,"",$S96*($O96*$T96+$P96*$U96+$Q96*$V96+$R96*$W96))</f>
        <v/>
      </c>
      <c r="Y96" s="53" t="n"/>
      <c r="Z96" s="53" t="n"/>
      <c r="AA96" s="55" t="n"/>
      <c r="AB96" s="55" t="n"/>
      <c r="AC96" s="49" t="n"/>
      <c r="AD96" s="49" t="n"/>
      <c r="AE96" s="49" t="n"/>
      <c r="AF96" s="49" t="n"/>
      <c r="AG96" s="49" t="n"/>
      <c r="AH96" s="49" t="n"/>
      <c r="AI96" s="49" t="n"/>
      <c r="AJ96" s="49" t="n"/>
      <c r="AK96" s="49" t="n"/>
    </row>
    <row r="97" ht="15" customHeight="1" s="27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51">
        <f>CONFIG_REFERENCIA!$E$3</f>
        <v/>
      </c>
      <c r="P97" s="51">
        <f>CONFIG_REFERENCIA!$E$4</f>
        <v/>
      </c>
      <c r="Q97" s="51">
        <f>CONFIG_REFERENCIA!$E$5</f>
        <v/>
      </c>
      <c r="R97" s="51">
        <f>CONFIG_REFERENCIA!$E$6</f>
        <v/>
      </c>
      <c r="S97" s="52">
        <f>IF($F97="","",INDEX(CONFIG_REFERENCIA!$B$3:$B$6,MATCH($F97,CONFIG_REFERENCIA!$A$3:$A$6,0)))</f>
        <v/>
      </c>
      <c r="T97" s="53" t="n"/>
      <c r="U97" s="53" t="n"/>
      <c r="V97" s="53" t="n"/>
      <c r="W97" s="53" t="n"/>
      <c r="X97" s="54">
        <f>IF(COUNTA($T97:$W97)&lt;4,"",$S97*($O97*$T97+$P97*$U97+$Q97*$V97+$R97*$W97))</f>
        <v/>
      </c>
      <c r="Y97" s="53" t="n"/>
      <c r="Z97" s="53" t="n"/>
      <c r="AA97" s="55" t="n"/>
      <c r="AB97" s="55" t="n"/>
      <c r="AC97" s="49" t="n"/>
      <c r="AD97" s="49" t="n"/>
      <c r="AE97" s="49" t="n"/>
      <c r="AF97" s="49" t="n"/>
      <c r="AG97" s="49" t="n"/>
      <c r="AH97" s="49" t="n"/>
      <c r="AI97" s="49" t="n"/>
      <c r="AJ97" s="49" t="n"/>
      <c r="AK97" s="49" t="n"/>
    </row>
    <row r="98" ht="15" customHeight="1" s="27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51">
        <f>CONFIG_REFERENCIA!$E$3</f>
        <v/>
      </c>
      <c r="P98" s="51">
        <f>CONFIG_REFERENCIA!$E$4</f>
        <v/>
      </c>
      <c r="Q98" s="51">
        <f>CONFIG_REFERENCIA!$E$5</f>
        <v/>
      </c>
      <c r="R98" s="51">
        <f>CONFIG_REFERENCIA!$E$6</f>
        <v/>
      </c>
      <c r="S98" s="52">
        <f>IF($F98="","",INDEX(CONFIG_REFERENCIA!$B$3:$B$6,MATCH($F98,CONFIG_REFERENCIA!$A$3:$A$6,0)))</f>
        <v/>
      </c>
      <c r="T98" s="53" t="n"/>
      <c r="U98" s="53" t="n"/>
      <c r="V98" s="53" t="n"/>
      <c r="W98" s="53" t="n"/>
      <c r="X98" s="54">
        <f>IF(COUNTA($T98:$W98)&lt;4,"",$S98*($O98*$T98+$P98*$U98+$Q98*$V98+$R98*$W98))</f>
        <v/>
      </c>
      <c r="Y98" s="53" t="n"/>
      <c r="Z98" s="53" t="n"/>
      <c r="AA98" s="55" t="n"/>
      <c r="AB98" s="55" t="n"/>
      <c r="AC98" s="49" t="n"/>
      <c r="AD98" s="49" t="n"/>
      <c r="AE98" s="49" t="n"/>
      <c r="AF98" s="49" t="n"/>
      <c r="AG98" s="49" t="n"/>
      <c r="AH98" s="49" t="n"/>
      <c r="AI98" s="49" t="n"/>
      <c r="AJ98" s="49" t="n"/>
      <c r="AK98" s="49" t="n"/>
    </row>
    <row r="99" ht="15" customHeight="1" s="27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51">
        <f>CONFIG_REFERENCIA!$E$3</f>
        <v/>
      </c>
      <c r="P99" s="51">
        <f>CONFIG_REFERENCIA!$E$4</f>
        <v/>
      </c>
      <c r="Q99" s="51">
        <f>CONFIG_REFERENCIA!$E$5</f>
        <v/>
      </c>
      <c r="R99" s="51">
        <f>CONFIG_REFERENCIA!$E$6</f>
        <v/>
      </c>
      <c r="S99" s="52">
        <f>IF($F99="","",INDEX(CONFIG_REFERENCIA!$B$3:$B$6,MATCH($F99,CONFIG_REFERENCIA!$A$3:$A$6,0)))</f>
        <v/>
      </c>
      <c r="T99" s="53" t="n"/>
      <c r="U99" s="53" t="n"/>
      <c r="V99" s="53" t="n"/>
      <c r="W99" s="53" t="n"/>
      <c r="X99" s="54">
        <f>IF(COUNTA($T99:$W99)&lt;4,"",$S99*($O99*$T99+$P99*$U99+$Q99*$V99+$R99*$W99))</f>
        <v/>
      </c>
      <c r="Y99" s="53" t="n"/>
      <c r="Z99" s="53" t="n"/>
      <c r="AA99" s="55" t="n"/>
      <c r="AB99" s="55" t="n"/>
      <c r="AC99" s="49" t="n"/>
      <c r="AD99" s="49" t="n"/>
      <c r="AE99" s="49" t="n"/>
      <c r="AF99" s="49" t="n"/>
      <c r="AG99" s="49" t="n"/>
      <c r="AH99" s="49" t="n"/>
      <c r="AI99" s="49" t="n"/>
      <c r="AJ99" s="49" t="n"/>
      <c r="AK99" s="49" t="n"/>
    </row>
    <row r="100" ht="15" customHeight="1" s="27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51">
        <f>CONFIG_REFERENCIA!$E$3</f>
        <v/>
      </c>
      <c r="P100" s="51">
        <f>CONFIG_REFERENCIA!$E$4</f>
        <v/>
      </c>
      <c r="Q100" s="51">
        <f>CONFIG_REFERENCIA!$E$5</f>
        <v/>
      </c>
      <c r="R100" s="51">
        <f>CONFIG_REFERENCIA!$E$6</f>
        <v/>
      </c>
      <c r="S100" s="52">
        <f>IF($F100="","",INDEX(CONFIG_REFERENCIA!$B$3:$B$6,MATCH($F100,CONFIG_REFERENCIA!$A$3:$A$6,0)))</f>
        <v/>
      </c>
      <c r="T100" s="53" t="n"/>
      <c r="U100" s="53" t="n"/>
      <c r="V100" s="53" t="n"/>
      <c r="W100" s="53" t="n"/>
      <c r="X100" s="54">
        <f>IF(COUNTA($T100:$W100)&lt;4,"",$S100*($O100*$T100+$P100*$U100+$Q100*$V100+$R100*$W100))</f>
        <v/>
      </c>
      <c r="Y100" s="53" t="n"/>
      <c r="Z100" s="53" t="n"/>
      <c r="AA100" s="55" t="n"/>
      <c r="AB100" s="55" t="n"/>
      <c r="AC100" s="49" t="n"/>
      <c r="AD100" s="49" t="n"/>
      <c r="AE100" s="49" t="n"/>
      <c r="AF100" s="49" t="n"/>
      <c r="AG100" s="49" t="n"/>
      <c r="AH100" s="49" t="n"/>
      <c r="AI100" s="49" t="n"/>
      <c r="AJ100" s="49" t="n"/>
      <c r="AK100" s="49" t="n"/>
    </row>
    <row r="101" ht="15" customHeight="1" s="27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51">
        <f>CONFIG_REFERENCIA!$E$3</f>
        <v/>
      </c>
      <c r="P101" s="51">
        <f>CONFIG_REFERENCIA!$E$4</f>
        <v/>
      </c>
      <c r="Q101" s="51">
        <f>CONFIG_REFERENCIA!$E$5</f>
        <v/>
      </c>
      <c r="R101" s="51">
        <f>CONFIG_REFERENCIA!$E$6</f>
        <v/>
      </c>
      <c r="S101" s="52">
        <f>IF($F101="","",INDEX(CONFIG_REFERENCIA!$B$3:$B$6,MATCH($F101,CONFIG_REFERENCIA!$A$3:$A$6,0)))</f>
        <v/>
      </c>
      <c r="T101" s="53" t="n"/>
      <c r="U101" s="53" t="n"/>
      <c r="V101" s="53" t="n"/>
      <c r="W101" s="53" t="n"/>
      <c r="X101" s="54">
        <f>IF(COUNTA($T101:$W101)&lt;4,"",$S101*($O101*$T101+$P101*$U101+$Q101*$V101+$R101*$W101))</f>
        <v/>
      </c>
      <c r="Y101" s="53" t="n"/>
      <c r="Z101" s="53" t="n"/>
      <c r="AA101" s="55" t="n"/>
      <c r="AB101" s="55" t="n"/>
      <c r="AC101" s="49" t="n"/>
      <c r="AD101" s="49" t="n"/>
      <c r="AE101" s="49" t="n"/>
      <c r="AF101" s="49" t="n"/>
      <c r="AG101" s="49" t="n"/>
      <c r="AH101" s="49" t="n"/>
      <c r="AI101" s="49" t="n"/>
      <c r="AJ101" s="49" t="n"/>
      <c r="AK101" s="49" t="n"/>
    </row>
    <row r="102" ht="15" customHeight="1" s="27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51">
        <f>CONFIG_REFERENCIA!$E$3</f>
        <v/>
      </c>
      <c r="P102" s="51">
        <f>CONFIG_REFERENCIA!$E$4</f>
        <v/>
      </c>
      <c r="Q102" s="51">
        <f>CONFIG_REFERENCIA!$E$5</f>
        <v/>
      </c>
      <c r="R102" s="51">
        <f>CONFIG_REFERENCIA!$E$6</f>
        <v/>
      </c>
      <c r="S102" s="52">
        <f>IF($F102="","",INDEX(CONFIG_REFERENCIA!$B$3:$B$6,MATCH($F102,CONFIG_REFERENCIA!$A$3:$A$6,0)))</f>
        <v/>
      </c>
      <c r="T102" s="53" t="n"/>
      <c r="U102" s="53" t="n"/>
      <c r="V102" s="53" t="n"/>
      <c r="W102" s="53" t="n"/>
      <c r="X102" s="54">
        <f>IF(COUNTA($T102:$W102)&lt;4,"",$S102*($O102*$T102+$P102*$U102+$Q102*$V102+$R102*$W102))</f>
        <v/>
      </c>
      <c r="Y102" s="53" t="n"/>
      <c r="Z102" s="53" t="n"/>
      <c r="AA102" s="55" t="n"/>
      <c r="AB102" s="55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</row>
    <row r="103" ht="15" customHeight="1" s="27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51">
        <f>CONFIG_REFERENCIA!$E$3</f>
        <v/>
      </c>
      <c r="P103" s="51">
        <f>CONFIG_REFERENCIA!$E$4</f>
        <v/>
      </c>
      <c r="Q103" s="51">
        <f>CONFIG_REFERENCIA!$E$5</f>
        <v/>
      </c>
      <c r="R103" s="51">
        <f>CONFIG_REFERENCIA!$E$6</f>
        <v/>
      </c>
      <c r="S103" s="52">
        <f>IF($F103="","",INDEX(CONFIG_REFERENCIA!$B$3:$B$6,MATCH($F103,CONFIG_REFERENCIA!$A$3:$A$6,0)))</f>
        <v/>
      </c>
      <c r="T103" s="53" t="n"/>
      <c r="U103" s="53" t="n"/>
      <c r="V103" s="53" t="n"/>
      <c r="W103" s="53" t="n"/>
      <c r="X103" s="54">
        <f>IF(COUNTA($T103:$W103)&lt;4,"",$S103*($O103*$T103+$P103*$U103+$Q103*$V103+$R103*$W103))</f>
        <v/>
      </c>
      <c r="Y103" s="53" t="n"/>
      <c r="Z103" s="53" t="n"/>
      <c r="AA103" s="55" t="n"/>
      <c r="AB103" s="55" t="n"/>
      <c r="AC103" s="49" t="n"/>
      <c r="AD103" s="49" t="n"/>
      <c r="AE103" s="49" t="n"/>
      <c r="AF103" s="49" t="n"/>
      <c r="AG103" s="49" t="n"/>
      <c r="AH103" s="49" t="n"/>
      <c r="AI103" s="49" t="n"/>
      <c r="AJ103" s="49" t="n"/>
      <c r="AK103" s="49" t="n"/>
    </row>
    <row r="104" ht="15" customHeight="1" s="27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51">
        <f>CONFIG_REFERENCIA!$E$3</f>
        <v/>
      </c>
      <c r="P104" s="51">
        <f>CONFIG_REFERENCIA!$E$4</f>
        <v/>
      </c>
      <c r="Q104" s="51">
        <f>CONFIG_REFERENCIA!$E$5</f>
        <v/>
      </c>
      <c r="R104" s="51">
        <f>CONFIG_REFERENCIA!$E$6</f>
        <v/>
      </c>
      <c r="S104" s="52">
        <f>IF($F104="","",INDEX(CONFIG_REFERENCIA!$B$3:$B$6,MATCH($F104,CONFIG_REFERENCIA!$A$3:$A$6,0)))</f>
        <v/>
      </c>
      <c r="T104" s="53" t="n"/>
      <c r="U104" s="53" t="n"/>
      <c r="V104" s="53" t="n"/>
      <c r="W104" s="53" t="n"/>
      <c r="X104" s="54">
        <f>IF(COUNTA($T104:$W104)&lt;4,"",$S104*($O104*$T104+$P104*$U104+$Q104*$V104+$R104*$W104))</f>
        <v/>
      </c>
      <c r="Y104" s="53" t="n"/>
      <c r="Z104" s="53" t="n"/>
      <c r="AA104" s="55" t="n"/>
      <c r="AB104" s="55" t="n"/>
      <c r="AC104" s="49" t="n"/>
      <c r="AD104" s="49" t="n"/>
      <c r="AE104" s="49" t="n"/>
      <c r="AF104" s="49" t="n"/>
      <c r="AG104" s="49" t="n"/>
      <c r="AH104" s="49" t="n"/>
      <c r="AI104" s="49" t="n"/>
      <c r="AJ104" s="49" t="n"/>
      <c r="AK104" s="49" t="n"/>
    </row>
    <row r="105" ht="15" customHeight="1" s="27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51">
        <f>CONFIG_REFERENCIA!$E$3</f>
        <v/>
      </c>
      <c r="P105" s="51">
        <f>CONFIG_REFERENCIA!$E$4</f>
        <v/>
      </c>
      <c r="Q105" s="51">
        <f>CONFIG_REFERENCIA!$E$5</f>
        <v/>
      </c>
      <c r="R105" s="51">
        <f>CONFIG_REFERENCIA!$E$6</f>
        <v/>
      </c>
      <c r="S105" s="52">
        <f>IF($F105="","",INDEX(CONFIG_REFERENCIA!$B$3:$B$6,MATCH($F105,CONFIG_REFERENCIA!$A$3:$A$6,0)))</f>
        <v/>
      </c>
      <c r="T105" s="53" t="n"/>
      <c r="U105" s="53" t="n"/>
      <c r="V105" s="53" t="n"/>
      <c r="W105" s="53" t="n"/>
      <c r="X105" s="54">
        <f>IF(COUNTA($T105:$W105)&lt;4,"",$S105*($O105*$T105+$P105*$U105+$Q105*$V105+$R105*$W105))</f>
        <v/>
      </c>
      <c r="Y105" s="53" t="n"/>
      <c r="Z105" s="53" t="n"/>
      <c r="AA105" s="55" t="n"/>
      <c r="AB105" s="55" t="n"/>
      <c r="AC105" s="49" t="n"/>
      <c r="AD105" s="49" t="n"/>
      <c r="AE105" s="49" t="n"/>
      <c r="AF105" s="49" t="n"/>
      <c r="AG105" s="49" t="n"/>
      <c r="AH105" s="49" t="n"/>
      <c r="AI105" s="49" t="n"/>
      <c r="AJ105" s="49" t="n"/>
      <c r="AK105" s="49" t="n"/>
    </row>
    <row r="106" ht="15" customHeight="1" s="27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51">
        <f>CONFIG_REFERENCIA!$E$3</f>
        <v/>
      </c>
      <c r="P106" s="51">
        <f>CONFIG_REFERENCIA!$E$4</f>
        <v/>
      </c>
      <c r="Q106" s="51">
        <f>CONFIG_REFERENCIA!$E$5</f>
        <v/>
      </c>
      <c r="R106" s="51">
        <f>CONFIG_REFERENCIA!$E$6</f>
        <v/>
      </c>
      <c r="S106" s="52">
        <f>IF($F106="","",INDEX(CONFIG_REFERENCIA!$B$3:$B$6,MATCH($F106,CONFIG_REFERENCIA!$A$3:$A$6,0)))</f>
        <v/>
      </c>
      <c r="T106" s="53" t="n"/>
      <c r="U106" s="53" t="n"/>
      <c r="V106" s="53" t="n"/>
      <c r="W106" s="53" t="n"/>
      <c r="X106" s="54">
        <f>IF(COUNTA($T106:$W106)&lt;4,"",$S106*($O106*$T106+$P106*$U106+$Q106*$V106+$R106*$W106))</f>
        <v/>
      </c>
      <c r="Y106" s="53" t="n"/>
      <c r="Z106" s="53" t="n"/>
      <c r="AA106" s="55" t="n"/>
      <c r="AB106" s="55" t="n"/>
      <c r="AC106" s="49" t="n"/>
      <c r="AD106" s="49" t="n"/>
      <c r="AE106" s="49" t="n"/>
      <c r="AF106" s="49" t="n"/>
      <c r="AG106" s="49" t="n"/>
      <c r="AH106" s="49" t="n"/>
      <c r="AI106" s="49" t="n"/>
      <c r="AJ106" s="49" t="n"/>
      <c r="AK106" s="49" t="n"/>
    </row>
    <row r="107" ht="15" customHeight="1" s="27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51">
        <f>CONFIG_REFERENCIA!$E$3</f>
        <v/>
      </c>
      <c r="P107" s="51">
        <f>CONFIG_REFERENCIA!$E$4</f>
        <v/>
      </c>
      <c r="Q107" s="51">
        <f>CONFIG_REFERENCIA!$E$5</f>
        <v/>
      </c>
      <c r="R107" s="51">
        <f>CONFIG_REFERENCIA!$E$6</f>
        <v/>
      </c>
      <c r="S107" s="52">
        <f>IF($F107="","",INDEX(CONFIG_REFERENCIA!$B$3:$B$6,MATCH($F107,CONFIG_REFERENCIA!$A$3:$A$6,0)))</f>
        <v/>
      </c>
      <c r="T107" s="53" t="n"/>
      <c r="U107" s="53" t="n"/>
      <c r="V107" s="53" t="n"/>
      <c r="W107" s="53" t="n"/>
      <c r="X107" s="54">
        <f>IF(COUNTA($T107:$W107)&lt;4,"",$S107*($O107*$T107+$P107*$U107+$Q107*$V107+$R107*$W107))</f>
        <v/>
      </c>
      <c r="Y107" s="53" t="n"/>
      <c r="Z107" s="53" t="n"/>
      <c r="AA107" s="55" t="n"/>
      <c r="AB107" s="55" t="n"/>
      <c r="AC107" s="49" t="n"/>
      <c r="AD107" s="49" t="n"/>
      <c r="AE107" s="49" t="n"/>
      <c r="AF107" s="49" t="n"/>
      <c r="AG107" s="49" t="n"/>
      <c r="AH107" s="49" t="n"/>
      <c r="AI107" s="49" t="n"/>
      <c r="AJ107" s="49" t="n"/>
      <c r="AK107" s="49" t="n"/>
    </row>
    <row r="108" ht="15" customHeight="1" s="27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51">
        <f>CONFIG_REFERENCIA!$E$3</f>
        <v/>
      </c>
      <c r="P108" s="51">
        <f>CONFIG_REFERENCIA!$E$4</f>
        <v/>
      </c>
      <c r="Q108" s="51">
        <f>CONFIG_REFERENCIA!$E$5</f>
        <v/>
      </c>
      <c r="R108" s="51">
        <f>CONFIG_REFERENCIA!$E$6</f>
        <v/>
      </c>
      <c r="S108" s="52">
        <f>IF($F108="","",INDEX(CONFIG_REFERENCIA!$B$3:$B$6,MATCH($F108,CONFIG_REFERENCIA!$A$3:$A$6,0)))</f>
        <v/>
      </c>
      <c r="T108" s="53" t="n"/>
      <c r="U108" s="53" t="n"/>
      <c r="V108" s="53" t="n"/>
      <c r="W108" s="53" t="n"/>
      <c r="X108" s="54">
        <f>IF(COUNTA($T108:$W108)&lt;4,"",$S108*($O108*$T108+$P108*$U108+$Q108*$V108+$R108*$W108))</f>
        <v/>
      </c>
      <c r="Y108" s="53" t="n"/>
      <c r="Z108" s="53" t="n"/>
      <c r="AA108" s="55" t="n"/>
      <c r="AB108" s="55" t="n"/>
      <c r="AC108" s="49" t="n"/>
      <c r="AD108" s="49" t="n"/>
      <c r="AE108" s="49" t="n"/>
      <c r="AF108" s="49" t="n"/>
      <c r="AG108" s="49" t="n"/>
      <c r="AH108" s="49" t="n"/>
      <c r="AI108" s="49" t="n"/>
      <c r="AJ108" s="49" t="n"/>
      <c r="AK108" s="49" t="n"/>
    </row>
    <row r="109" ht="15" customHeight="1" s="27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51">
        <f>CONFIG_REFERENCIA!$E$3</f>
        <v/>
      </c>
      <c r="P109" s="51">
        <f>CONFIG_REFERENCIA!$E$4</f>
        <v/>
      </c>
      <c r="Q109" s="51">
        <f>CONFIG_REFERENCIA!$E$5</f>
        <v/>
      </c>
      <c r="R109" s="51">
        <f>CONFIG_REFERENCIA!$E$6</f>
        <v/>
      </c>
      <c r="S109" s="52">
        <f>IF($F109="","",INDEX(CONFIG_REFERENCIA!$B$3:$B$6,MATCH($F109,CONFIG_REFERENCIA!$A$3:$A$6,0)))</f>
        <v/>
      </c>
      <c r="T109" s="53" t="n"/>
      <c r="U109" s="53" t="n"/>
      <c r="V109" s="53" t="n"/>
      <c r="W109" s="53" t="n"/>
      <c r="X109" s="54">
        <f>IF(COUNTA($T109:$W109)&lt;4,"",$S109*($O109*$T109+$P109*$U109+$Q109*$V109+$R109*$W109))</f>
        <v/>
      </c>
      <c r="Y109" s="53" t="n"/>
      <c r="Z109" s="53" t="n"/>
      <c r="AA109" s="55" t="n"/>
      <c r="AB109" s="55" t="n"/>
      <c r="AC109" s="49" t="n"/>
      <c r="AD109" s="49" t="n"/>
      <c r="AE109" s="49" t="n"/>
      <c r="AF109" s="49" t="n"/>
      <c r="AG109" s="49" t="n"/>
      <c r="AH109" s="49" t="n"/>
      <c r="AI109" s="49" t="n"/>
      <c r="AJ109" s="49" t="n"/>
      <c r="AK109" s="49" t="n"/>
    </row>
    <row r="110" ht="15" customHeight="1" s="27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51">
        <f>CONFIG_REFERENCIA!$E$3</f>
        <v/>
      </c>
      <c r="P110" s="51">
        <f>CONFIG_REFERENCIA!$E$4</f>
        <v/>
      </c>
      <c r="Q110" s="51">
        <f>CONFIG_REFERENCIA!$E$5</f>
        <v/>
      </c>
      <c r="R110" s="51">
        <f>CONFIG_REFERENCIA!$E$6</f>
        <v/>
      </c>
      <c r="S110" s="52">
        <f>IF($F110="","",INDEX(CONFIG_REFERENCIA!$B$3:$B$6,MATCH($F110,CONFIG_REFERENCIA!$A$3:$A$6,0)))</f>
        <v/>
      </c>
      <c r="T110" s="53" t="n"/>
      <c r="U110" s="53" t="n"/>
      <c r="V110" s="53" t="n"/>
      <c r="W110" s="53" t="n"/>
      <c r="X110" s="54">
        <f>IF(COUNTA($T110:$W110)&lt;4,"",$S110*($O110*$T110+$P110*$U110+$Q110*$V110+$R110*$W110))</f>
        <v/>
      </c>
      <c r="Y110" s="53" t="n"/>
      <c r="Z110" s="53" t="n"/>
      <c r="AA110" s="55" t="n"/>
      <c r="AB110" s="55" t="n"/>
      <c r="AC110" s="49" t="n"/>
      <c r="AD110" s="49" t="n"/>
      <c r="AE110" s="49" t="n"/>
      <c r="AF110" s="49" t="n"/>
      <c r="AG110" s="49" t="n"/>
      <c r="AH110" s="49" t="n"/>
      <c r="AI110" s="49" t="n"/>
      <c r="AJ110" s="49" t="n"/>
      <c r="AK110" s="49" t="n"/>
    </row>
    <row r="111" ht="15" customHeight="1" s="27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51">
        <f>CONFIG_REFERENCIA!$E$3</f>
        <v/>
      </c>
      <c r="P111" s="51">
        <f>CONFIG_REFERENCIA!$E$4</f>
        <v/>
      </c>
      <c r="Q111" s="51">
        <f>CONFIG_REFERENCIA!$E$5</f>
        <v/>
      </c>
      <c r="R111" s="51">
        <f>CONFIG_REFERENCIA!$E$6</f>
        <v/>
      </c>
      <c r="S111" s="52">
        <f>IF($F111="","",INDEX(CONFIG_REFERENCIA!$B$3:$B$6,MATCH($F111,CONFIG_REFERENCIA!$A$3:$A$6,0)))</f>
        <v/>
      </c>
      <c r="T111" s="53" t="n"/>
      <c r="U111" s="53" t="n"/>
      <c r="V111" s="53" t="n"/>
      <c r="W111" s="53" t="n"/>
      <c r="X111" s="54">
        <f>IF(COUNTA($T111:$W111)&lt;4,"",$S111*($O111*$T111+$P111*$U111+$Q111*$V111+$R111*$W111))</f>
        <v/>
      </c>
      <c r="Y111" s="53" t="n"/>
      <c r="Z111" s="53" t="n"/>
      <c r="AA111" s="55" t="n"/>
      <c r="AB111" s="55" t="n"/>
      <c r="AC111" s="49" t="n"/>
      <c r="AD111" s="49" t="n"/>
      <c r="AE111" s="49" t="n"/>
      <c r="AF111" s="49" t="n"/>
      <c r="AG111" s="49" t="n"/>
      <c r="AH111" s="49" t="n"/>
      <c r="AI111" s="49" t="n"/>
      <c r="AJ111" s="49" t="n"/>
      <c r="AK111" s="49" t="n"/>
    </row>
    <row r="112" ht="15" customHeight="1" s="27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51">
        <f>CONFIG_REFERENCIA!$E$3</f>
        <v/>
      </c>
      <c r="P112" s="51">
        <f>CONFIG_REFERENCIA!$E$4</f>
        <v/>
      </c>
      <c r="Q112" s="51">
        <f>CONFIG_REFERENCIA!$E$5</f>
        <v/>
      </c>
      <c r="R112" s="51">
        <f>CONFIG_REFERENCIA!$E$6</f>
        <v/>
      </c>
      <c r="S112" s="52">
        <f>IF($F112="","",INDEX(CONFIG_REFERENCIA!$B$3:$B$6,MATCH($F112,CONFIG_REFERENCIA!$A$3:$A$6,0)))</f>
        <v/>
      </c>
      <c r="T112" s="53" t="n"/>
      <c r="U112" s="53" t="n"/>
      <c r="V112" s="53" t="n"/>
      <c r="W112" s="53" t="n"/>
      <c r="X112" s="54">
        <f>IF(COUNTA($T112:$W112)&lt;4,"",$S112*($O112*$T112+$P112*$U112+$Q112*$V112+$R112*$W112))</f>
        <v/>
      </c>
      <c r="Y112" s="53" t="n"/>
      <c r="Z112" s="53" t="n"/>
      <c r="AA112" s="55" t="n"/>
      <c r="AB112" s="55" t="n"/>
      <c r="AC112" s="49" t="n"/>
      <c r="AD112" s="49" t="n"/>
      <c r="AE112" s="49" t="n"/>
      <c r="AF112" s="49" t="n"/>
      <c r="AG112" s="49" t="n"/>
      <c r="AH112" s="49" t="n"/>
      <c r="AI112" s="49" t="n"/>
      <c r="AJ112" s="49" t="n"/>
      <c r="AK112" s="49" t="n"/>
    </row>
    <row r="113" ht="15" customHeight="1" s="27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51">
        <f>CONFIG_REFERENCIA!$E$3</f>
        <v/>
      </c>
      <c r="P113" s="51">
        <f>CONFIG_REFERENCIA!$E$4</f>
        <v/>
      </c>
      <c r="Q113" s="51">
        <f>CONFIG_REFERENCIA!$E$5</f>
        <v/>
      </c>
      <c r="R113" s="51">
        <f>CONFIG_REFERENCIA!$E$6</f>
        <v/>
      </c>
      <c r="S113" s="52">
        <f>IF($F113="","",INDEX(CONFIG_REFERENCIA!$B$3:$B$6,MATCH($F113,CONFIG_REFERENCIA!$A$3:$A$6,0)))</f>
        <v/>
      </c>
      <c r="T113" s="53" t="n"/>
      <c r="U113" s="53" t="n"/>
      <c r="V113" s="53" t="n"/>
      <c r="W113" s="53" t="n"/>
      <c r="X113" s="54">
        <f>IF(COUNTA($T113:$W113)&lt;4,"",$S113*($O113*$T113+$P113*$U113+$Q113*$V113+$R113*$W113))</f>
        <v/>
      </c>
      <c r="Y113" s="53" t="n"/>
      <c r="Z113" s="53" t="n"/>
      <c r="AA113" s="55" t="n"/>
      <c r="AB113" s="55" t="n"/>
      <c r="AC113" s="49" t="n"/>
      <c r="AD113" s="49" t="n"/>
      <c r="AE113" s="49" t="n"/>
      <c r="AF113" s="49" t="n"/>
      <c r="AG113" s="49" t="n"/>
      <c r="AH113" s="49" t="n"/>
      <c r="AI113" s="49" t="n"/>
      <c r="AJ113" s="49" t="n"/>
      <c r="AK113" s="49" t="n"/>
    </row>
    <row r="114" ht="15" customHeight="1" s="27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51">
        <f>CONFIG_REFERENCIA!$E$3</f>
        <v/>
      </c>
      <c r="P114" s="51">
        <f>CONFIG_REFERENCIA!$E$4</f>
        <v/>
      </c>
      <c r="Q114" s="51">
        <f>CONFIG_REFERENCIA!$E$5</f>
        <v/>
      </c>
      <c r="R114" s="51">
        <f>CONFIG_REFERENCIA!$E$6</f>
        <v/>
      </c>
      <c r="S114" s="52">
        <f>IF($F114="","",INDEX(CONFIG_REFERENCIA!$B$3:$B$6,MATCH($F114,CONFIG_REFERENCIA!$A$3:$A$6,0)))</f>
        <v/>
      </c>
      <c r="T114" s="53" t="n"/>
      <c r="U114" s="53" t="n"/>
      <c r="V114" s="53" t="n"/>
      <c r="W114" s="53" t="n"/>
      <c r="X114" s="54">
        <f>IF(COUNTA($T114:$W114)&lt;4,"",$S114*($O114*$T114+$P114*$U114+$Q114*$V114+$R114*$W114))</f>
        <v/>
      </c>
      <c r="Y114" s="53" t="n"/>
      <c r="Z114" s="53" t="n"/>
      <c r="AA114" s="55" t="n"/>
      <c r="AB114" s="55" t="n"/>
      <c r="AC114" s="49" t="n"/>
      <c r="AD114" s="49" t="n"/>
      <c r="AE114" s="49" t="n"/>
      <c r="AF114" s="49" t="n"/>
      <c r="AG114" s="49" t="n"/>
      <c r="AH114" s="49" t="n"/>
      <c r="AI114" s="49" t="n"/>
      <c r="AJ114" s="49" t="n"/>
      <c r="AK114" s="49" t="n"/>
    </row>
    <row r="115" ht="15" customHeight="1" s="27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51">
        <f>CONFIG_REFERENCIA!$E$3</f>
        <v/>
      </c>
      <c r="P115" s="51">
        <f>CONFIG_REFERENCIA!$E$4</f>
        <v/>
      </c>
      <c r="Q115" s="51">
        <f>CONFIG_REFERENCIA!$E$5</f>
        <v/>
      </c>
      <c r="R115" s="51">
        <f>CONFIG_REFERENCIA!$E$6</f>
        <v/>
      </c>
      <c r="S115" s="52">
        <f>IF($F115="","",INDEX(CONFIG_REFERENCIA!$B$3:$B$6,MATCH($F115,CONFIG_REFERENCIA!$A$3:$A$6,0)))</f>
        <v/>
      </c>
      <c r="T115" s="53" t="n"/>
      <c r="U115" s="53" t="n"/>
      <c r="V115" s="53" t="n"/>
      <c r="W115" s="53" t="n"/>
      <c r="X115" s="54">
        <f>IF(COUNTA($T115:$W115)&lt;4,"",$S115*($O115*$T115+$P115*$U115+$Q115*$V115+$R115*$W115))</f>
        <v/>
      </c>
      <c r="Y115" s="53" t="n"/>
      <c r="Z115" s="53" t="n"/>
      <c r="AA115" s="55" t="n"/>
      <c r="AB115" s="55" t="n"/>
      <c r="AC115" s="49" t="n"/>
      <c r="AD115" s="49" t="n"/>
      <c r="AE115" s="49" t="n"/>
      <c r="AF115" s="49" t="n"/>
      <c r="AG115" s="49" t="n"/>
      <c r="AH115" s="49" t="n"/>
      <c r="AI115" s="49" t="n"/>
      <c r="AJ115" s="49" t="n"/>
      <c r="AK115" s="49" t="n"/>
    </row>
    <row r="116" ht="15" customHeight="1" s="27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51">
        <f>CONFIG_REFERENCIA!$E$3</f>
        <v/>
      </c>
      <c r="P116" s="51">
        <f>CONFIG_REFERENCIA!$E$4</f>
        <v/>
      </c>
      <c r="Q116" s="51">
        <f>CONFIG_REFERENCIA!$E$5</f>
        <v/>
      </c>
      <c r="R116" s="51">
        <f>CONFIG_REFERENCIA!$E$6</f>
        <v/>
      </c>
      <c r="S116" s="52">
        <f>IF($F116="","",INDEX(CONFIG_REFERENCIA!$B$3:$B$6,MATCH($F116,CONFIG_REFERENCIA!$A$3:$A$6,0)))</f>
        <v/>
      </c>
      <c r="T116" s="53" t="n"/>
      <c r="U116" s="53" t="n"/>
      <c r="V116" s="53" t="n"/>
      <c r="W116" s="53" t="n"/>
      <c r="X116" s="54">
        <f>IF(COUNTA($T116:$W116)&lt;4,"",$S116*($O116*$T116+$P116*$U116+$Q116*$V116+$R116*$W116))</f>
        <v/>
      </c>
      <c r="Y116" s="53" t="n"/>
      <c r="Z116" s="53" t="n"/>
      <c r="AA116" s="55" t="n"/>
      <c r="AB116" s="55" t="n"/>
      <c r="AC116" s="49" t="n"/>
      <c r="AD116" s="49" t="n"/>
      <c r="AE116" s="49" t="n"/>
      <c r="AF116" s="49" t="n"/>
      <c r="AG116" s="49" t="n"/>
      <c r="AH116" s="49" t="n"/>
      <c r="AI116" s="49" t="n"/>
      <c r="AJ116" s="49" t="n"/>
      <c r="AK116" s="49" t="n"/>
    </row>
    <row r="117" ht="15" customHeight="1" s="27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51">
        <f>CONFIG_REFERENCIA!$E$3</f>
        <v/>
      </c>
      <c r="P117" s="51">
        <f>CONFIG_REFERENCIA!$E$4</f>
        <v/>
      </c>
      <c r="Q117" s="51">
        <f>CONFIG_REFERENCIA!$E$5</f>
        <v/>
      </c>
      <c r="R117" s="51">
        <f>CONFIG_REFERENCIA!$E$6</f>
        <v/>
      </c>
      <c r="S117" s="52">
        <f>IF($F117="","",INDEX(CONFIG_REFERENCIA!$B$3:$B$6,MATCH($F117,CONFIG_REFERENCIA!$A$3:$A$6,0)))</f>
        <v/>
      </c>
      <c r="T117" s="53" t="n"/>
      <c r="U117" s="53" t="n"/>
      <c r="V117" s="53" t="n"/>
      <c r="W117" s="53" t="n"/>
      <c r="X117" s="54">
        <f>IF(COUNTA($T117:$W117)&lt;4,"",$S117*($O117*$T117+$P117*$U117+$Q117*$V117+$R117*$W117))</f>
        <v/>
      </c>
      <c r="Y117" s="53" t="n"/>
      <c r="Z117" s="53" t="n"/>
      <c r="AA117" s="55" t="n"/>
      <c r="AB117" s="55" t="n"/>
      <c r="AC117" s="49" t="n"/>
      <c r="AD117" s="49" t="n"/>
      <c r="AE117" s="49" t="n"/>
      <c r="AF117" s="49" t="n"/>
      <c r="AG117" s="49" t="n"/>
      <c r="AH117" s="49" t="n"/>
      <c r="AI117" s="49" t="n"/>
      <c r="AJ117" s="49" t="n"/>
      <c r="AK117" s="49" t="n"/>
    </row>
    <row r="118" ht="15" customHeight="1" s="27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51">
        <f>CONFIG_REFERENCIA!$E$3</f>
        <v/>
      </c>
      <c r="P118" s="51">
        <f>CONFIG_REFERENCIA!$E$4</f>
        <v/>
      </c>
      <c r="Q118" s="51">
        <f>CONFIG_REFERENCIA!$E$5</f>
        <v/>
      </c>
      <c r="R118" s="51">
        <f>CONFIG_REFERENCIA!$E$6</f>
        <v/>
      </c>
      <c r="S118" s="52">
        <f>IF($F118="","",INDEX(CONFIG_REFERENCIA!$B$3:$B$6,MATCH($F118,CONFIG_REFERENCIA!$A$3:$A$6,0)))</f>
        <v/>
      </c>
      <c r="T118" s="53" t="n"/>
      <c r="U118" s="53" t="n"/>
      <c r="V118" s="53" t="n"/>
      <c r="W118" s="53" t="n"/>
      <c r="X118" s="54">
        <f>IF(COUNTA($T118:$W118)&lt;4,"",$S118*($O118*$T118+$P118*$U118+$Q118*$V118+$R118*$W118))</f>
        <v/>
      </c>
      <c r="Y118" s="53" t="n"/>
      <c r="Z118" s="53" t="n"/>
      <c r="AA118" s="55" t="n"/>
      <c r="AB118" s="55" t="n"/>
      <c r="AC118" s="49" t="n"/>
      <c r="AD118" s="49" t="n"/>
      <c r="AE118" s="49" t="n"/>
      <c r="AF118" s="49" t="n"/>
      <c r="AG118" s="49" t="n"/>
      <c r="AH118" s="49" t="n"/>
      <c r="AI118" s="49" t="n"/>
      <c r="AJ118" s="49" t="n"/>
      <c r="AK118" s="49" t="n"/>
    </row>
    <row r="119" ht="15" customHeight="1" s="27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51">
        <f>CONFIG_REFERENCIA!$E$3</f>
        <v/>
      </c>
      <c r="P119" s="51">
        <f>CONFIG_REFERENCIA!$E$4</f>
        <v/>
      </c>
      <c r="Q119" s="51">
        <f>CONFIG_REFERENCIA!$E$5</f>
        <v/>
      </c>
      <c r="R119" s="51">
        <f>CONFIG_REFERENCIA!$E$6</f>
        <v/>
      </c>
      <c r="S119" s="52">
        <f>IF($F119="","",INDEX(CONFIG_REFERENCIA!$B$3:$B$6,MATCH($F119,CONFIG_REFERENCIA!$A$3:$A$6,0)))</f>
        <v/>
      </c>
      <c r="T119" s="53" t="n"/>
      <c r="U119" s="53" t="n"/>
      <c r="V119" s="53" t="n"/>
      <c r="W119" s="53" t="n"/>
      <c r="X119" s="54">
        <f>IF(COUNTA($T119:$W119)&lt;4,"",$S119*($O119*$T119+$P119*$U119+$Q119*$V119+$R119*$W119))</f>
        <v/>
      </c>
      <c r="Y119" s="53" t="n"/>
      <c r="Z119" s="53" t="n"/>
      <c r="AA119" s="55" t="n"/>
      <c r="AB119" s="55" t="n"/>
      <c r="AC119" s="49" t="n"/>
      <c r="AD119" s="49" t="n"/>
      <c r="AE119" s="49" t="n"/>
      <c r="AF119" s="49" t="n"/>
      <c r="AG119" s="49" t="n"/>
      <c r="AH119" s="49" t="n"/>
      <c r="AI119" s="49" t="n"/>
      <c r="AJ119" s="49" t="n"/>
      <c r="AK119" s="49" t="n"/>
    </row>
    <row r="120" ht="15" customHeight="1" s="27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51">
        <f>CONFIG_REFERENCIA!$E$3</f>
        <v/>
      </c>
      <c r="P120" s="51">
        <f>CONFIG_REFERENCIA!$E$4</f>
        <v/>
      </c>
      <c r="Q120" s="51">
        <f>CONFIG_REFERENCIA!$E$5</f>
        <v/>
      </c>
      <c r="R120" s="51">
        <f>CONFIG_REFERENCIA!$E$6</f>
        <v/>
      </c>
      <c r="S120" s="52">
        <f>IF($F120="","",INDEX(CONFIG_REFERENCIA!$B$3:$B$6,MATCH($F120,CONFIG_REFERENCIA!$A$3:$A$6,0)))</f>
        <v/>
      </c>
      <c r="T120" s="53" t="n"/>
      <c r="U120" s="53" t="n"/>
      <c r="V120" s="53" t="n"/>
      <c r="W120" s="53" t="n"/>
      <c r="X120" s="54">
        <f>IF(COUNTA($T120:$W120)&lt;4,"",$S120*($O120*$T120+$P120*$U120+$Q120*$V120+$R120*$W120))</f>
        <v/>
      </c>
      <c r="Y120" s="53" t="n"/>
      <c r="Z120" s="53" t="n"/>
      <c r="AA120" s="55" t="n"/>
      <c r="AB120" s="55" t="n"/>
      <c r="AC120" s="49" t="n"/>
      <c r="AD120" s="49" t="n"/>
      <c r="AE120" s="49" t="n"/>
      <c r="AF120" s="49" t="n"/>
      <c r="AG120" s="49" t="n"/>
      <c r="AH120" s="49" t="n"/>
      <c r="AI120" s="49" t="n"/>
      <c r="AJ120" s="49" t="n"/>
      <c r="AK120" s="49" t="n"/>
    </row>
    <row r="121" ht="15" customHeight="1" s="27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51">
        <f>CONFIG_REFERENCIA!$E$3</f>
        <v/>
      </c>
      <c r="P121" s="51">
        <f>CONFIG_REFERENCIA!$E$4</f>
        <v/>
      </c>
      <c r="Q121" s="51">
        <f>CONFIG_REFERENCIA!$E$5</f>
        <v/>
      </c>
      <c r="R121" s="51">
        <f>CONFIG_REFERENCIA!$E$6</f>
        <v/>
      </c>
      <c r="S121" s="52">
        <f>IF($F121="","",INDEX(CONFIG_REFERENCIA!$B$3:$B$6,MATCH($F121,CONFIG_REFERENCIA!$A$3:$A$6,0)))</f>
        <v/>
      </c>
      <c r="T121" s="53" t="n"/>
      <c r="U121" s="53" t="n"/>
      <c r="V121" s="53" t="n"/>
      <c r="W121" s="53" t="n"/>
      <c r="X121" s="54">
        <f>IF(COUNTA($T121:$W121)&lt;4,"",$S121*($O121*$T121+$P121*$U121+$Q121*$V121+$R121*$W121))</f>
        <v/>
      </c>
      <c r="Y121" s="53" t="n"/>
      <c r="Z121" s="53" t="n"/>
      <c r="AA121" s="55" t="n"/>
      <c r="AB121" s="55" t="n"/>
      <c r="AC121" s="49" t="n"/>
      <c r="AD121" s="49" t="n"/>
      <c r="AE121" s="49" t="n"/>
      <c r="AF121" s="49" t="n"/>
      <c r="AG121" s="49" t="n"/>
      <c r="AH121" s="49" t="n"/>
      <c r="AI121" s="49" t="n"/>
      <c r="AJ121" s="49" t="n"/>
      <c r="AK121" s="49" t="n"/>
    </row>
    <row r="122" ht="15" customHeight="1" s="27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51">
        <f>CONFIG_REFERENCIA!$E$3</f>
        <v/>
      </c>
      <c r="P122" s="51">
        <f>CONFIG_REFERENCIA!$E$4</f>
        <v/>
      </c>
      <c r="Q122" s="51">
        <f>CONFIG_REFERENCIA!$E$5</f>
        <v/>
      </c>
      <c r="R122" s="51">
        <f>CONFIG_REFERENCIA!$E$6</f>
        <v/>
      </c>
      <c r="S122" s="52">
        <f>IF($F122="","",INDEX(CONFIG_REFERENCIA!$B$3:$B$6,MATCH($F122,CONFIG_REFERENCIA!$A$3:$A$6,0)))</f>
        <v/>
      </c>
      <c r="T122" s="53" t="n"/>
      <c r="U122" s="53" t="n"/>
      <c r="V122" s="53" t="n"/>
      <c r="W122" s="53" t="n"/>
      <c r="X122" s="54">
        <f>IF(COUNTA($T122:$W122)&lt;4,"",$S122*($O122*$T122+$P122*$U122+$Q122*$V122+$R122*$W122))</f>
        <v/>
      </c>
      <c r="Y122" s="53" t="n"/>
      <c r="Z122" s="53" t="n"/>
      <c r="AA122" s="55" t="n"/>
      <c r="AB122" s="55" t="n"/>
      <c r="AC122" s="49" t="n"/>
      <c r="AD122" s="49" t="n"/>
      <c r="AE122" s="49" t="n"/>
      <c r="AF122" s="49" t="n"/>
      <c r="AG122" s="49" t="n"/>
      <c r="AH122" s="49" t="n"/>
      <c r="AI122" s="49" t="n"/>
      <c r="AJ122" s="49" t="n"/>
      <c r="AK122" s="49" t="n"/>
    </row>
    <row r="123" ht="15" customHeight="1" s="27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51">
        <f>CONFIG_REFERENCIA!$E$3</f>
        <v/>
      </c>
      <c r="P123" s="51">
        <f>CONFIG_REFERENCIA!$E$4</f>
        <v/>
      </c>
      <c r="Q123" s="51">
        <f>CONFIG_REFERENCIA!$E$5</f>
        <v/>
      </c>
      <c r="R123" s="51">
        <f>CONFIG_REFERENCIA!$E$6</f>
        <v/>
      </c>
      <c r="S123" s="52">
        <f>IF($F123="","",INDEX(CONFIG_REFERENCIA!$B$3:$B$6,MATCH($F123,CONFIG_REFERENCIA!$A$3:$A$6,0)))</f>
        <v/>
      </c>
      <c r="T123" s="53" t="n"/>
      <c r="U123" s="53" t="n"/>
      <c r="V123" s="53" t="n"/>
      <c r="W123" s="53" t="n"/>
      <c r="X123" s="54">
        <f>IF(COUNTA($T123:$W123)&lt;4,"",$S123*($O123*$T123+$P123*$U123+$Q123*$V123+$R123*$W123))</f>
        <v/>
      </c>
      <c r="Y123" s="53" t="n"/>
      <c r="Z123" s="53" t="n"/>
      <c r="AA123" s="55" t="n"/>
      <c r="AB123" s="55" t="n"/>
      <c r="AC123" s="49" t="n"/>
      <c r="AD123" s="49" t="n"/>
      <c r="AE123" s="49" t="n"/>
      <c r="AF123" s="49" t="n"/>
      <c r="AG123" s="49" t="n"/>
      <c r="AH123" s="49" t="n"/>
      <c r="AI123" s="49" t="n"/>
      <c r="AJ123" s="49" t="n"/>
      <c r="AK123" s="49" t="n"/>
    </row>
    <row r="124" ht="15" customHeight="1" s="27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51">
        <f>CONFIG_REFERENCIA!$E$3</f>
        <v/>
      </c>
      <c r="P124" s="51">
        <f>CONFIG_REFERENCIA!$E$4</f>
        <v/>
      </c>
      <c r="Q124" s="51">
        <f>CONFIG_REFERENCIA!$E$5</f>
        <v/>
      </c>
      <c r="R124" s="51">
        <f>CONFIG_REFERENCIA!$E$6</f>
        <v/>
      </c>
      <c r="S124" s="52">
        <f>IF($F124="","",INDEX(CONFIG_REFERENCIA!$B$3:$B$6,MATCH($F124,CONFIG_REFERENCIA!$A$3:$A$6,0)))</f>
        <v/>
      </c>
      <c r="T124" s="53" t="n"/>
      <c r="U124" s="53" t="n"/>
      <c r="V124" s="53" t="n"/>
      <c r="W124" s="53" t="n"/>
      <c r="X124" s="54">
        <f>IF(COUNTA($T124:$W124)&lt;4,"",$S124*($O124*$T124+$P124*$U124+$Q124*$V124+$R124*$W124))</f>
        <v/>
      </c>
      <c r="Y124" s="53" t="n"/>
      <c r="Z124" s="53" t="n"/>
      <c r="AA124" s="55" t="n"/>
      <c r="AB124" s="55" t="n"/>
      <c r="AC124" s="49" t="n"/>
      <c r="AD124" s="49" t="n"/>
      <c r="AE124" s="49" t="n"/>
      <c r="AF124" s="49" t="n"/>
      <c r="AG124" s="49" t="n"/>
      <c r="AH124" s="49" t="n"/>
      <c r="AI124" s="49" t="n"/>
      <c r="AJ124" s="49" t="n"/>
      <c r="AK124" s="49" t="n"/>
    </row>
    <row r="125" ht="15" customHeight="1" s="27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51">
        <f>CONFIG_REFERENCIA!$E$3</f>
        <v/>
      </c>
      <c r="P125" s="51">
        <f>CONFIG_REFERENCIA!$E$4</f>
        <v/>
      </c>
      <c r="Q125" s="51">
        <f>CONFIG_REFERENCIA!$E$5</f>
        <v/>
      </c>
      <c r="R125" s="51">
        <f>CONFIG_REFERENCIA!$E$6</f>
        <v/>
      </c>
      <c r="S125" s="52">
        <f>IF($F125="","",INDEX(CONFIG_REFERENCIA!$B$3:$B$6,MATCH($F125,CONFIG_REFERENCIA!$A$3:$A$6,0)))</f>
        <v/>
      </c>
      <c r="T125" s="53" t="n"/>
      <c r="U125" s="53" t="n"/>
      <c r="V125" s="53" t="n"/>
      <c r="W125" s="53" t="n"/>
      <c r="X125" s="54">
        <f>IF(COUNTA($T125:$W125)&lt;4,"",$S125*($O125*$T125+$P125*$U125+$Q125*$V125+$R125*$W125))</f>
        <v/>
      </c>
      <c r="Y125" s="53" t="n"/>
      <c r="Z125" s="53" t="n"/>
      <c r="AA125" s="55" t="n"/>
      <c r="AB125" s="55" t="n"/>
      <c r="AC125" s="49" t="n"/>
      <c r="AD125" s="49" t="n"/>
      <c r="AE125" s="49" t="n"/>
      <c r="AF125" s="49" t="n"/>
      <c r="AG125" s="49" t="n"/>
      <c r="AH125" s="49" t="n"/>
      <c r="AI125" s="49" t="n"/>
      <c r="AJ125" s="49" t="n"/>
      <c r="AK125" s="49" t="n"/>
    </row>
    <row r="126" ht="15" customHeight="1" s="27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51">
        <f>CONFIG_REFERENCIA!$E$3</f>
        <v/>
      </c>
      <c r="P126" s="51">
        <f>CONFIG_REFERENCIA!$E$4</f>
        <v/>
      </c>
      <c r="Q126" s="51">
        <f>CONFIG_REFERENCIA!$E$5</f>
        <v/>
      </c>
      <c r="R126" s="51">
        <f>CONFIG_REFERENCIA!$E$6</f>
        <v/>
      </c>
      <c r="S126" s="52">
        <f>IF($F126="","",INDEX(CONFIG_REFERENCIA!$B$3:$B$6,MATCH($F126,CONFIG_REFERENCIA!$A$3:$A$6,0)))</f>
        <v/>
      </c>
      <c r="T126" s="53" t="n"/>
      <c r="U126" s="53" t="n"/>
      <c r="V126" s="53" t="n"/>
      <c r="W126" s="53" t="n"/>
      <c r="X126" s="54">
        <f>IF(COUNTA($T126:$W126)&lt;4,"",$S126*($O126*$T126+$P126*$U126+$Q126*$V126+$R126*$W126))</f>
        <v/>
      </c>
      <c r="Y126" s="53" t="n"/>
      <c r="Z126" s="53" t="n"/>
      <c r="AA126" s="55" t="n"/>
      <c r="AB126" s="55" t="n"/>
      <c r="AC126" s="49" t="n"/>
      <c r="AD126" s="49" t="n"/>
      <c r="AE126" s="49" t="n"/>
      <c r="AF126" s="49" t="n"/>
      <c r="AG126" s="49" t="n"/>
      <c r="AH126" s="49" t="n"/>
      <c r="AI126" s="49" t="n"/>
      <c r="AJ126" s="49" t="n"/>
      <c r="AK126" s="49" t="n"/>
    </row>
    <row r="127" ht="15" customHeight="1" s="27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51">
        <f>CONFIG_REFERENCIA!$E$3</f>
        <v/>
      </c>
      <c r="P127" s="51">
        <f>CONFIG_REFERENCIA!$E$4</f>
        <v/>
      </c>
      <c r="Q127" s="51">
        <f>CONFIG_REFERENCIA!$E$5</f>
        <v/>
      </c>
      <c r="R127" s="51">
        <f>CONFIG_REFERENCIA!$E$6</f>
        <v/>
      </c>
      <c r="S127" s="52">
        <f>IF($F127="","",INDEX(CONFIG_REFERENCIA!$B$3:$B$6,MATCH($F127,CONFIG_REFERENCIA!$A$3:$A$6,0)))</f>
        <v/>
      </c>
      <c r="T127" s="53" t="n"/>
      <c r="U127" s="53" t="n"/>
      <c r="V127" s="53" t="n"/>
      <c r="W127" s="53" t="n"/>
      <c r="X127" s="54">
        <f>IF(COUNTA($T127:$W127)&lt;4,"",$S127*($O127*$T127+$P127*$U127+$Q127*$V127+$R127*$W127))</f>
        <v/>
      </c>
      <c r="Y127" s="53" t="n"/>
      <c r="Z127" s="53" t="n"/>
      <c r="AA127" s="55" t="n"/>
      <c r="AB127" s="55" t="n"/>
      <c r="AC127" s="49" t="n"/>
      <c r="AD127" s="49" t="n"/>
      <c r="AE127" s="49" t="n"/>
      <c r="AF127" s="49" t="n"/>
      <c r="AG127" s="49" t="n"/>
      <c r="AH127" s="49" t="n"/>
      <c r="AI127" s="49" t="n"/>
      <c r="AJ127" s="49" t="n"/>
      <c r="AK127" s="49" t="n"/>
    </row>
    <row r="128" ht="15" customHeight="1" s="27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51">
        <f>CONFIG_REFERENCIA!$E$3</f>
        <v/>
      </c>
      <c r="P128" s="51">
        <f>CONFIG_REFERENCIA!$E$4</f>
        <v/>
      </c>
      <c r="Q128" s="51">
        <f>CONFIG_REFERENCIA!$E$5</f>
        <v/>
      </c>
      <c r="R128" s="51">
        <f>CONFIG_REFERENCIA!$E$6</f>
        <v/>
      </c>
      <c r="S128" s="52">
        <f>IF($F128="","",INDEX(CONFIG_REFERENCIA!$B$3:$B$6,MATCH($F128,CONFIG_REFERENCIA!$A$3:$A$6,0)))</f>
        <v/>
      </c>
      <c r="T128" s="53" t="n"/>
      <c r="U128" s="53" t="n"/>
      <c r="V128" s="53" t="n"/>
      <c r="W128" s="53" t="n"/>
      <c r="X128" s="54">
        <f>IF(COUNTA($T128:$W128)&lt;4,"",$S128*($O128*$T128+$P128*$U128+$Q128*$V128+$R128*$W128))</f>
        <v/>
      </c>
      <c r="Y128" s="53" t="n"/>
      <c r="Z128" s="53" t="n"/>
      <c r="AA128" s="55" t="n"/>
      <c r="AB128" s="55" t="n"/>
      <c r="AC128" s="49" t="n"/>
      <c r="AD128" s="49" t="n"/>
      <c r="AE128" s="49" t="n"/>
      <c r="AF128" s="49" t="n"/>
      <c r="AG128" s="49" t="n"/>
      <c r="AH128" s="49" t="n"/>
      <c r="AI128" s="49" t="n"/>
      <c r="AJ128" s="49" t="n"/>
      <c r="AK128" s="49" t="n"/>
    </row>
    <row r="129" ht="15" customHeight="1" s="27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51">
        <f>CONFIG_REFERENCIA!$E$3</f>
        <v/>
      </c>
      <c r="P129" s="51">
        <f>CONFIG_REFERENCIA!$E$4</f>
        <v/>
      </c>
      <c r="Q129" s="51">
        <f>CONFIG_REFERENCIA!$E$5</f>
        <v/>
      </c>
      <c r="R129" s="51">
        <f>CONFIG_REFERENCIA!$E$6</f>
        <v/>
      </c>
      <c r="S129" s="52">
        <f>IF($F129="","",INDEX(CONFIG_REFERENCIA!$B$3:$B$6,MATCH($F129,CONFIG_REFERENCIA!$A$3:$A$6,0)))</f>
        <v/>
      </c>
      <c r="T129" s="53" t="n"/>
      <c r="U129" s="53" t="n"/>
      <c r="V129" s="53" t="n"/>
      <c r="W129" s="53" t="n"/>
      <c r="X129" s="54">
        <f>IF(COUNTA($T129:$W129)&lt;4,"",$S129*($O129*$T129+$P129*$U129+$Q129*$V129+$R129*$W129))</f>
        <v/>
      </c>
      <c r="Y129" s="53" t="n"/>
      <c r="Z129" s="53" t="n"/>
      <c r="AA129" s="55" t="n"/>
      <c r="AB129" s="55" t="n"/>
      <c r="AC129" s="49" t="n"/>
      <c r="AD129" s="49" t="n"/>
      <c r="AE129" s="49" t="n"/>
      <c r="AF129" s="49" t="n"/>
      <c r="AG129" s="49" t="n"/>
      <c r="AH129" s="49" t="n"/>
      <c r="AI129" s="49" t="n"/>
      <c r="AJ129" s="49" t="n"/>
      <c r="AK129" s="49" t="n"/>
    </row>
    <row r="130" ht="15" customHeight="1" s="27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51">
        <f>CONFIG_REFERENCIA!$E$3</f>
        <v/>
      </c>
      <c r="P130" s="51">
        <f>CONFIG_REFERENCIA!$E$4</f>
        <v/>
      </c>
      <c r="Q130" s="51">
        <f>CONFIG_REFERENCIA!$E$5</f>
        <v/>
      </c>
      <c r="R130" s="51">
        <f>CONFIG_REFERENCIA!$E$6</f>
        <v/>
      </c>
      <c r="S130" s="52">
        <f>IF($F130="","",INDEX(CONFIG_REFERENCIA!$B$3:$B$6,MATCH($F130,CONFIG_REFERENCIA!$A$3:$A$6,0)))</f>
        <v/>
      </c>
      <c r="T130" s="53" t="n"/>
      <c r="U130" s="53" t="n"/>
      <c r="V130" s="53" t="n"/>
      <c r="W130" s="53" t="n"/>
      <c r="X130" s="54">
        <f>IF(COUNTA($T130:$W130)&lt;4,"",$S130*($O130*$T130+$P130*$U130+$Q130*$V130+$R130*$W130))</f>
        <v/>
      </c>
      <c r="Y130" s="53" t="n"/>
      <c r="Z130" s="53" t="n"/>
      <c r="AA130" s="55" t="n"/>
      <c r="AB130" s="55" t="n"/>
      <c r="AC130" s="49" t="n"/>
      <c r="AD130" s="49" t="n"/>
      <c r="AE130" s="49" t="n"/>
      <c r="AF130" s="49" t="n"/>
      <c r="AG130" s="49" t="n"/>
      <c r="AH130" s="49" t="n"/>
      <c r="AI130" s="49" t="n"/>
      <c r="AJ130" s="49" t="n"/>
      <c r="AK130" s="49" t="n"/>
    </row>
    <row r="131" ht="15" customHeight="1" s="27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51">
        <f>CONFIG_REFERENCIA!$E$3</f>
        <v/>
      </c>
      <c r="P131" s="51">
        <f>CONFIG_REFERENCIA!$E$4</f>
        <v/>
      </c>
      <c r="Q131" s="51">
        <f>CONFIG_REFERENCIA!$E$5</f>
        <v/>
      </c>
      <c r="R131" s="51">
        <f>CONFIG_REFERENCIA!$E$6</f>
        <v/>
      </c>
      <c r="S131" s="52">
        <f>IF($F131="","",INDEX(CONFIG_REFERENCIA!$B$3:$B$6,MATCH($F131,CONFIG_REFERENCIA!$A$3:$A$6,0)))</f>
        <v/>
      </c>
      <c r="T131" s="53" t="n"/>
      <c r="U131" s="53" t="n"/>
      <c r="V131" s="53" t="n"/>
      <c r="W131" s="53" t="n"/>
      <c r="X131" s="54">
        <f>IF(COUNTA($T131:$W131)&lt;4,"",$S131*($O131*$T131+$P131*$U131+$Q131*$V131+$R131*$W131))</f>
        <v/>
      </c>
      <c r="Y131" s="53" t="n"/>
      <c r="Z131" s="53" t="n"/>
      <c r="AA131" s="55" t="n"/>
      <c r="AB131" s="55" t="n"/>
      <c r="AC131" s="49" t="n"/>
      <c r="AD131" s="49" t="n"/>
      <c r="AE131" s="49" t="n"/>
      <c r="AF131" s="49" t="n"/>
      <c r="AG131" s="49" t="n"/>
      <c r="AH131" s="49" t="n"/>
      <c r="AI131" s="49" t="n"/>
      <c r="AJ131" s="49" t="n"/>
      <c r="AK131" s="49" t="n"/>
    </row>
    <row r="132" ht="15" customHeight="1" s="27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51">
        <f>CONFIG_REFERENCIA!$E$3</f>
        <v/>
      </c>
      <c r="P132" s="51">
        <f>CONFIG_REFERENCIA!$E$4</f>
        <v/>
      </c>
      <c r="Q132" s="51">
        <f>CONFIG_REFERENCIA!$E$5</f>
        <v/>
      </c>
      <c r="R132" s="51">
        <f>CONFIG_REFERENCIA!$E$6</f>
        <v/>
      </c>
      <c r="S132" s="52">
        <f>IF($F132="","",INDEX(CONFIG_REFERENCIA!$B$3:$B$6,MATCH($F132,CONFIG_REFERENCIA!$A$3:$A$6,0)))</f>
        <v/>
      </c>
      <c r="T132" s="53" t="n"/>
      <c r="U132" s="53" t="n"/>
      <c r="V132" s="53" t="n"/>
      <c r="W132" s="53" t="n"/>
      <c r="X132" s="54">
        <f>IF(COUNTA($T132:$W132)&lt;4,"",$S132*($O132*$T132+$P132*$U132+$Q132*$V132+$R132*$W132))</f>
        <v/>
      </c>
      <c r="Y132" s="53" t="n"/>
      <c r="Z132" s="53" t="n"/>
      <c r="AA132" s="55" t="n"/>
      <c r="AB132" s="55" t="n"/>
      <c r="AC132" s="49" t="n"/>
      <c r="AD132" s="49" t="n"/>
      <c r="AE132" s="49" t="n"/>
      <c r="AF132" s="49" t="n"/>
      <c r="AG132" s="49" t="n"/>
      <c r="AH132" s="49" t="n"/>
      <c r="AI132" s="49" t="n"/>
      <c r="AJ132" s="49" t="n"/>
      <c r="AK132" s="49" t="n"/>
    </row>
    <row r="133" ht="15" customHeight="1" s="27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51">
        <f>CONFIG_REFERENCIA!$E$3</f>
        <v/>
      </c>
      <c r="P133" s="51">
        <f>CONFIG_REFERENCIA!$E$4</f>
        <v/>
      </c>
      <c r="Q133" s="51">
        <f>CONFIG_REFERENCIA!$E$5</f>
        <v/>
      </c>
      <c r="R133" s="51">
        <f>CONFIG_REFERENCIA!$E$6</f>
        <v/>
      </c>
      <c r="S133" s="52">
        <f>IF($F133="","",INDEX(CONFIG_REFERENCIA!$B$3:$B$6,MATCH($F133,CONFIG_REFERENCIA!$A$3:$A$6,0)))</f>
        <v/>
      </c>
      <c r="T133" s="53" t="n"/>
      <c r="U133" s="53" t="n"/>
      <c r="V133" s="53" t="n"/>
      <c r="W133" s="53" t="n"/>
      <c r="X133" s="54">
        <f>IF(COUNTA($T133:$W133)&lt;4,"",$S133*($O133*$T133+$P133*$U133+$Q133*$V133+$R133*$W133))</f>
        <v/>
      </c>
      <c r="Y133" s="53" t="n"/>
      <c r="Z133" s="53" t="n"/>
      <c r="AA133" s="55" t="n"/>
      <c r="AB133" s="55" t="n"/>
      <c r="AC133" s="49" t="n"/>
      <c r="AD133" s="49" t="n"/>
      <c r="AE133" s="49" t="n"/>
      <c r="AF133" s="49" t="n"/>
      <c r="AG133" s="49" t="n"/>
      <c r="AH133" s="49" t="n"/>
      <c r="AI133" s="49" t="n"/>
      <c r="AJ133" s="49" t="n"/>
      <c r="AK133" s="49" t="n"/>
    </row>
    <row r="134" ht="15" customHeight="1" s="27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51">
        <f>CONFIG_REFERENCIA!$E$3</f>
        <v/>
      </c>
      <c r="P134" s="51">
        <f>CONFIG_REFERENCIA!$E$4</f>
        <v/>
      </c>
      <c r="Q134" s="51">
        <f>CONFIG_REFERENCIA!$E$5</f>
        <v/>
      </c>
      <c r="R134" s="51">
        <f>CONFIG_REFERENCIA!$E$6</f>
        <v/>
      </c>
      <c r="S134" s="52">
        <f>IF($F134="","",INDEX(CONFIG_REFERENCIA!$B$3:$B$6,MATCH($F134,CONFIG_REFERENCIA!$A$3:$A$6,0)))</f>
        <v/>
      </c>
      <c r="T134" s="53" t="n"/>
      <c r="U134" s="53" t="n"/>
      <c r="V134" s="53" t="n"/>
      <c r="W134" s="53" t="n"/>
      <c r="X134" s="54">
        <f>IF(COUNTA($T134:$W134)&lt;4,"",$S134*($O134*$T134+$P134*$U134+$Q134*$V134+$R134*$W134))</f>
        <v/>
      </c>
      <c r="Y134" s="53" t="n"/>
      <c r="Z134" s="53" t="n"/>
      <c r="AA134" s="55" t="n"/>
      <c r="AB134" s="55" t="n"/>
      <c r="AC134" s="49" t="n"/>
      <c r="AD134" s="49" t="n"/>
      <c r="AE134" s="49" t="n"/>
      <c r="AF134" s="49" t="n"/>
      <c r="AG134" s="49" t="n"/>
      <c r="AH134" s="49" t="n"/>
      <c r="AI134" s="49" t="n"/>
      <c r="AJ134" s="49" t="n"/>
      <c r="AK134" s="49" t="n"/>
    </row>
    <row r="135" ht="15" customHeight="1" s="27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51">
        <f>CONFIG_REFERENCIA!$E$3</f>
        <v/>
      </c>
      <c r="P135" s="51">
        <f>CONFIG_REFERENCIA!$E$4</f>
        <v/>
      </c>
      <c r="Q135" s="51">
        <f>CONFIG_REFERENCIA!$E$5</f>
        <v/>
      </c>
      <c r="R135" s="51">
        <f>CONFIG_REFERENCIA!$E$6</f>
        <v/>
      </c>
      <c r="S135" s="52">
        <f>IF($F135="","",INDEX(CONFIG_REFERENCIA!$B$3:$B$6,MATCH($F135,CONFIG_REFERENCIA!$A$3:$A$6,0)))</f>
        <v/>
      </c>
      <c r="T135" s="53" t="n"/>
      <c r="U135" s="53" t="n"/>
      <c r="V135" s="53" t="n"/>
      <c r="W135" s="53" t="n"/>
      <c r="X135" s="54">
        <f>IF(COUNTA($T135:$W135)&lt;4,"",$S135*($O135*$T135+$P135*$U135+$Q135*$V135+$R135*$W135))</f>
        <v/>
      </c>
      <c r="Y135" s="53" t="n"/>
      <c r="Z135" s="53" t="n"/>
      <c r="AA135" s="55" t="n"/>
      <c r="AB135" s="55" t="n"/>
      <c r="AC135" s="49" t="n"/>
      <c r="AD135" s="49" t="n"/>
      <c r="AE135" s="49" t="n"/>
      <c r="AF135" s="49" t="n"/>
      <c r="AG135" s="49" t="n"/>
      <c r="AH135" s="49" t="n"/>
      <c r="AI135" s="49" t="n"/>
      <c r="AJ135" s="49" t="n"/>
      <c r="AK135" s="49" t="n"/>
    </row>
    <row r="136" ht="15" customHeight="1" s="27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51">
        <f>CONFIG_REFERENCIA!$E$3</f>
        <v/>
      </c>
      <c r="P136" s="51">
        <f>CONFIG_REFERENCIA!$E$4</f>
        <v/>
      </c>
      <c r="Q136" s="51">
        <f>CONFIG_REFERENCIA!$E$5</f>
        <v/>
      </c>
      <c r="R136" s="51">
        <f>CONFIG_REFERENCIA!$E$6</f>
        <v/>
      </c>
      <c r="S136" s="52">
        <f>IF($F136="","",INDEX(CONFIG_REFERENCIA!$B$3:$B$6,MATCH($F136,CONFIG_REFERENCIA!$A$3:$A$6,0)))</f>
        <v/>
      </c>
      <c r="T136" s="53" t="n"/>
      <c r="U136" s="53" t="n"/>
      <c r="V136" s="53" t="n"/>
      <c r="W136" s="53" t="n"/>
      <c r="X136" s="54">
        <f>IF(COUNTA($T136:$W136)&lt;4,"",$S136*($O136*$T136+$P136*$U136+$Q136*$V136+$R136*$W136))</f>
        <v/>
      </c>
      <c r="Y136" s="53" t="n"/>
      <c r="Z136" s="53" t="n"/>
      <c r="AA136" s="55" t="n"/>
      <c r="AB136" s="55" t="n"/>
      <c r="AC136" s="49" t="n"/>
      <c r="AD136" s="49" t="n"/>
      <c r="AE136" s="49" t="n"/>
      <c r="AF136" s="49" t="n"/>
      <c r="AG136" s="49" t="n"/>
      <c r="AH136" s="49" t="n"/>
      <c r="AI136" s="49" t="n"/>
      <c r="AJ136" s="49" t="n"/>
      <c r="AK136" s="49" t="n"/>
    </row>
    <row r="137" ht="15" customHeight="1" s="27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51">
        <f>CONFIG_REFERENCIA!$E$3</f>
        <v/>
      </c>
      <c r="P137" s="51">
        <f>CONFIG_REFERENCIA!$E$4</f>
        <v/>
      </c>
      <c r="Q137" s="51">
        <f>CONFIG_REFERENCIA!$E$5</f>
        <v/>
      </c>
      <c r="R137" s="51">
        <f>CONFIG_REFERENCIA!$E$6</f>
        <v/>
      </c>
      <c r="S137" s="52">
        <f>IF($F137="","",INDEX(CONFIG_REFERENCIA!$B$3:$B$6,MATCH($F137,CONFIG_REFERENCIA!$A$3:$A$6,0)))</f>
        <v/>
      </c>
      <c r="T137" s="53" t="n"/>
      <c r="U137" s="53" t="n"/>
      <c r="V137" s="53" t="n"/>
      <c r="W137" s="53" t="n"/>
      <c r="X137" s="54">
        <f>IF(COUNTA($T137:$W137)&lt;4,"",$S137*($O137*$T137+$P137*$U137+$Q137*$V137+$R137*$W137))</f>
        <v/>
      </c>
      <c r="Y137" s="53" t="n"/>
      <c r="Z137" s="53" t="n"/>
      <c r="AA137" s="55" t="n"/>
      <c r="AB137" s="55" t="n"/>
      <c r="AC137" s="49" t="n"/>
      <c r="AD137" s="49" t="n"/>
      <c r="AE137" s="49" t="n"/>
      <c r="AF137" s="49" t="n"/>
      <c r="AG137" s="49" t="n"/>
      <c r="AH137" s="49" t="n"/>
      <c r="AI137" s="49" t="n"/>
      <c r="AJ137" s="49" t="n"/>
      <c r="AK137" s="49" t="n"/>
    </row>
    <row r="138" ht="15" customHeight="1" s="27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51">
        <f>CONFIG_REFERENCIA!$E$3</f>
        <v/>
      </c>
      <c r="P138" s="51">
        <f>CONFIG_REFERENCIA!$E$4</f>
        <v/>
      </c>
      <c r="Q138" s="51">
        <f>CONFIG_REFERENCIA!$E$5</f>
        <v/>
      </c>
      <c r="R138" s="51">
        <f>CONFIG_REFERENCIA!$E$6</f>
        <v/>
      </c>
      <c r="S138" s="52">
        <f>IF($F138="","",INDEX(CONFIG_REFERENCIA!$B$3:$B$6,MATCH($F138,CONFIG_REFERENCIA!$A$3:$A$6,0)))</f>
        <v/>
      </c>
      <c r="T138" s="53" t="n"/>
      <c r="U138" s="53" t="n"/>
      <c r="V138" s="53" t="n"/>
      <c r="W138" s="53" t="n"/>
      <c r="X138" s="54">
        <f>IF(COUNTA($T138:$W138)&lt;4,"",$S138*($O138*$T138+$P138*$U138+$Q138*$V138+$R138*$W138))</f>
        <v/>
      </c>
      <c r="Y138" s="53" t="n"/>
      <c r="Z138" s="53" t="n"/>
      <c r="AA138" s="55" t="n"/>
      <c r="AB138" s="55" t="n"/>
      <c r="AC138" s="49" t="n"/>
      <c r="AD138" s="49" t="n"/>
      <c r="AE138" s="49" t="n"/>
      <c r="AF138" s="49" t="n"/>
      <c r="AG138" s="49" t="n"/>
      <c r="AH138" s="49" t="n"/>
      <c r="AI138" s="49" t="n"/>
      <c r="AJ138" s="49" t="n"/>
      <c r="AK138" s="49" t="n"/>
    </row>
    <row r="139" ht="15" customHeight="1" s="27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51">
        <f>CONFIG_REFERENCIA!$E$3</f>
        <v/>
      </c>
      <c r="P139" s="51">
        <f>CONFIG_REFERENCIA!$E$4</f>
        <v/>
      </c>
      <c r="Q139" s="51">
        <f>CONFIG_REFERENCIA!$E$5</f>
        <v/>
      </c>
      <c r="R139" s="51">
        <f>CONFIG_REFERENCIA!$E$6</f>
        <v/>
      </c>
      <c r="S139" s="52">
        <f>IF($F139="","",INDEX(CONFIG_REFERENCIA!$B$3:$B$6,MATCH($F139,CONFIG_REFERENCIA!$A$3:$A$6,0)))</f>
        <v/>
      </c>
      <c r="T139" s="53" t="n"/>
      <c r="U139" s="53" t="n"/>
      <c r="V139" s="53" t="n"/>
      <c r="W139" s="53" t="n"/>
      <c r="X139" s="54">
        <f>IF(COUNTA($T139:$W139)&lt;4,"",$S139*($O139*$T139+$P139*$U139+$Q139*$V139+$R139*$W139))</f>
        <v/>
      </c>
      <c r="Y139" s="53" t="n"/>
      <c r="Z139" s="53" t="n"/>
      <c r="AA139" s="55" t="n"/>
      <c r="AB139" s="55" t="n"/>
      <c r="AC139" s="49" t="n"/>
      <c r="AD139" s="49" t="n"/>
      <c r="AE139" s="49" t="n"/>
      <c r="AF139" s="49" t="n"/>
      <c r="AG139" s="49" t="n"/>
      <c r="AH139" s="49" t="n"/>
      <c r="AI139" s="49" t="n"/>
      <c r="AJ139" s="49" t="n"/>
      <c r="AK139" s="49" t="n"/>
    </row>
    <row r="140" ht="15" customHeight="1" s="27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51">
        <f>CONFIG_REFERENCIA!$E$3</f>
        <v/>
      </c>
      <c r="P140" s="51">
        <f>CONFIG_REFERENCIA!$E$4</f>
        <v/>
      </c>
      <c r="Q140" s="51">
        <f>CONFIG_REFERENCIA!$E$5</f>
        <v/>
      </c>
      <c r="R140" s="51">
        <f>CONFIG_REFERENCIA!$E$6</f>
        <v/>
      </c>
      <c r="S140" s="52">
        <f>IF($F140="","",INDEX(CONFIG_REFERENCIA!$B$3:$B$6,MATCH($F140,CONFIG_REFERENCIA!$A$3:$A$6,0)))</f>
        <v/>
      </c>
      <c r="T140" s="53" t="n"/>
      <c r="U140" s="53" t="n"/>
      <c r="V140" s="53" t="n"/>
      <c r="W140" s="53" t="n"/>
      <c r="X140" s="54">
        <f>IF(COUNTA($T140:$W140)&lt;4,"",$S140*($O140*$T140+$P140*$U140+$Q140*$V140+$R140*$W140))</f>
        <v/>
      </c>
      <c r="Y140" s="53" t="n"/>
      <c r="Z140" s="53" t="n"/>
      <c r="AA140" s="55" t="n"/>
      <c r="AB140" s="55" t="n"/>
      <c r="AC140" s="49" t="n"/>
      <c r="AD140" s="49" t="n"/>
      <c r="AE140" s="49" t="n"/>
      <c r="AF140" s="49" t="n"/>
      <c r="AG140" s="49" t="n"/>
      <c r="AH140" s="49" t="n"/>
      <c r="AI140" s="49" t="n"/>
      <c r="AJ140" s="49" t="n"/>
      <c r="AK140" s="49" t="n"/>
    </row>
    <row r="141" ht="15" customHeight="1" s="27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51">
        <f>CONFIG_REFERENCIA!$E$3</f>
        <v/>
      </c>
      <c r="P141" s="51">
        <f>CONFIG_REFERENCIA!$E$4</f>
        <v/>
      </c>
      <c r="Q141" s="51">
        <f>CONFIG_REFERENCIA!$E$5</f>
        <v/>
      </c>
      <c r="R141" s="51">
        <f>CONFIG_REFERENCIA!$E$6</f>
        <v/>
      </c>
      <c r="S141" s="52">
        <f>IF($F141="","",INDEX(CONFIG_REFERENCIA!$B$3:$B$6,MATCH($F141,CONFIG_REFERENCIA!$A$3:$A$6,0)))</f>
        <v/>
      </c>
      <c r="T141" s="53" t="n"/>
      <c r="U141" s="53" t="n"/>
      <c r="V141" s="53" t="n"/>
      <c r="W141" s="53" t="n"/>
      <c r="X141" s="54">
        <f>IF(COUNTA($T141:$W141)&lt;4,"",$S141*($O141*$T141+$P141*$U141+$Q141*$V141+$R141*$W141))</f>
        <v/>
      </c>
      <c r="Y141" s="53" t="n"/>
      <c r="Z141" s="53" t="n"/>
      <c r="AA141" s="55" t="n"/>
      <c r="AB141" s="55" t="n"/>
      <c r="AC141" s="49" t="n"/>
      <c r="AD141" s="49" t="n"/>
      <c r="AE141" s="49" t="n"/>
      <c r="AF141" s="49" t="n"/>
      <c r="AG141" s="49" t="n"/>
      <c r="AH141" s="49" t="n"/>
      <c r="AI141" s="49" t="n"/>
      <c r="AJ141" s="49" t="n"/>
      <c r="AK141" s="49" t="n"/>
    </row>
    <row r="142" ht="15" customHeight="1" s="27">
      <c r="A142" s="49" t="inlineStr">
        <is>
          <t>2026-03-21 06:37:15</t>
        </is>
      </c>
      <c r="B142" s="49" t="inlineStr">
        <is>
          <t>E1_v2</t>
        </is>
      </c>
      <c r="C142" s="50" t="inlineStr">
        <is>
          <t>E1</t>
        </is>
      </c>
      <c r="D142" s="50" t="inlineStr">
        <is>
          <t>lineal</t>
        </is>
      </c>
      <c r="E142" s="50" t="inlineStr">
        <is>
          <t>RidgeCV</t>
        </is>
      </c>
      <c r="F142" s="50" t="n">
        <v>1</v>
      </c>
      <c r="G142" s="49" t="inlineStr">
        <is>
          <t>nivel</t>
        </is>
      </c>
      <c r="H142" s="50" t="inlineStr">
        <is>
          <t>y_t + lags 1..4</t>
        </is>
      </c>
      <c r="I14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2" s="50" t="inlineStr">
        <is>
          <t>estandarizada</t>
        </is>
      </c>
      <c r="K142" s="50" t="inlineStr">
        <is>
          <t>todas</t>
        </is>
      </c>
      <c r="L142" s="50" t="inlineStr">
        <is>
          <t>walk-forward_expanding</t>
        </is>
      </c>
      <c r="M142" s="49" t="inlineStr">
        <is>
          <t>2024-10-14 a 2026-03-02</t>
        </is>
      </c>
      <c r="N142" s="49" t="inlineStr">
        <is>
          <t>RidgeCV con 59 features, lags=[1, 2, 3, 4], initial_train_size=40</t>
        </is>
      </c>
      <c r="O142" s="51" t="n">
        <v>0.35</v>
      </c>
      <c r="P142" s="51" t="n">
        <v>0.25</v>
      </c>
      <c r="Q142" s="51" t="n">
        <v>0.25</v>
      </c>
      <c r="R142" s="51" t="n">
        <v>0.1</v>
      </c>
      <c r="S142" s="52" t="n">
        <v>0.3</v>
      </c>
      <c r="T142" s="53" t="n">
        <v>0.1763774184078989</v>
      </c>
      <c r="U142" s="53" t="n">
        <v>0.1785714285714286</v>
      </c>
      <c r="V142" s="53" t="n">
        <v>0.2307692307692307</v>
      </c>
      <c r="W142" s="53" t="n">
        <v>0.7857142857142857</v>
      </c>
      <c r="X142" s="54" t="n">
        <v>0.07279160695480741</v>
      </c>
      <c r="Y142" s="53" t="n">
        <v>0.1085222154195119</v>
      </c>
      <c r="Z142" s="53" t="n">
        <v>0.1364781165293461</v>
      </c>
      <c r="AA142" s="55" t="n">
        <v>0.8214285714285714</v>
      </c>
      <c r="AB142" s="55" t="n">
        <v>0.7692307692307693</v>
      </c>
      <c r="AC142" s="49" t="inlineStr">
        <is>
          <t>corrido</t>
        </is>
      </c>
      <c r="AD142" s="49" t="inlineStr">
        <is>
          <t>Retrointegrado desde metricas_horizonte.json para persistir resumen numerico.</t>
        </is>
      </c>
      <c r="AE142" s="49" t="inlineStr">
        <is>
          <t>run_e1_ridge.py</t>
        </is>
      </c>
      <c r="AF142" s="49" t="inlineStr">
        <is>
          <t>Scripts/Modeling/run_e1_ridge.py</t>
        </is>
      </c>
      <c r="AG142" s="49" t="inlineStr">
        <is>
          <t>Experimentos/runs/E1_v2_20260321_063715</t>
        </is>
      </c>
      <c r="AH142" s="49" t="inlineStr">
        <is>
          <t>Experimentos/runs/E1_v2_20260321_063715/scripts/run_e1_ridge.py</t>
        </is>
      </c>
      <c r="AI142" s="49" t="inlineStr">
        <is>
          <t>Experimentos/runs/E1_v2_20260321_063715/parametros_run.json</t>
        </is>
      </c>
      <c r="AJ142" s="49" t="inlineStr">
        <is>
          <t>Experimentos/runs/E1_v2_20260321_063715/metricas_horizonte.json</t>
        </is>
      </c>
      <c r="AK142" s="49" t="inlineStr">
        <is>
          <t>2026-03-21 06:37:15</t>
        </is>
      </c>
    </row>
    <row r="143" ht="15" customHeight="1" s="27">
      <c r="A143" s="49" t="inlineStr">
        <is>
          <t>2026-03-21 06:37:15</t>
        </is>
      </c>
      <c r="B143" s="49" t="inlineStr">
        <is>
          <t>E1_v2</t>
        </is>
      </c>
      <c r="C143" s="50" t="inlineStr">
        <is>
          <t>E1</t>
        </is>
      </c>
      <c r="D143" s="50" t="inlineStr">
        <is>
          <t>lineal</t>
        </is>
      </c>
      <c r="E143" s="50" t="inlineStr">
        <is>
          <t>RidgeCV</t>
        </is>
      </c>
      <c r="F143" s="50" t="n">
        <v>2</v>
      </c>
      <c r="G143" s="49" t="inlineStr">
        <is>
          <t>nivel</t>
        </is>
      </c>
      <c r="H143" s="50" t="inlineStr">
        <is>
          <t>y_t + lags 1..4</t>
        </is>
      </c>
      <c r="I14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3" s="50" t="inlineStr">
        <is>
          <t>estandarizada</t>
        </is>
      </c>
      <c r="K143" s="50" t="inlineStr">
        <is>
          <t>todas</t>
        </is>
      </c>
      <c r="L143" s="50" t="inlineStr">
        <is>
          <t>walk-forward_expanding</t>
        </is>
      </c>
      <c r="M143" s="49" t="inlineStr">
        <is>
          <t>2024-10-14 a 2026-03-02</t>
        </is>
      </c>
      <c r="N143" s="49" t="inlineStr">
        <is>
          <t>RidgeCV con 59 features, lags=[1, 2, 3, 4], initial_train_size=40</t>
        </is>
      </c>
      <c r="O143" s="51" t="n">
        <v>0.35</v>
      </c>
      <c r="P143" s="51" t="n">
        <v>0.25</v>
      </c>
      <c r="Q143" s="51" t="n">
        <v>0.25</v>
      </c>
      <c r="R143" s="51" t="n">
        <v>0.1</v>
      </c>
      <c r="S143" s="52" t="n">
        <v>0.25</v>
      </c>
      <c r="T143" s="53" t="n">
        <v>0.1677301984085808</v>
      </c>
      <c r="U143" s="53" t="n">
        <v>0.4074074074074074</v>
      </c>
      <c r="V143" s="53" t="n">
        <v>0.4166666666666666</v>
      </c>
      <c r="W143" s="53" t="n">
        <v>0.7777777777777778</v>
      </c>
      <c r="X143" s="54" t="n">
        <v>0.0856254664348249</v>
      </c>
      <c r="Y143" s="53" t="n">
        <v>0.1032017187254528</v>
      </c>
      <c r="Z143" s="53" t="n">
        <v>0.1316608391736882</v>
      </c>
      <c r="AA143" s="55" t="n">
        <v>0.5925925925925926</v>
      </c>
      <c r="AB143" s="55" t="n">
        <v>0.5833333333333334</v>
      </c>
      <c r="AC143" s="49" t="inlineStr">
        <is>
          <t>corrido</t>
        </is>
      </c>
      <c r="AD143" s="49" t="inlineStr">
        <is>
          <t>Retrointegrado desde metricas_horizonte.json para persistir resumen numerico.</t>
        </is>
      </c>
      <c r="AE143" s="49" t="inlineStr">
        <is>
          <t>run_e1_ridge.py</t>
        </is>
      </c>
      <c r="AF143" s="49" t="inlineStr">
        <is>
          <t>Scripts/Modeling/run_e1_ridge.py</t>
        </is>
      </c>
      <c r="AG143" s="49" t="inlineStr">
        <is>
          <t>Experimentos/runs/E1_v2_20260321_063715</t>
        </is>
      </c>
      <c r="AH143" s="49" t="inlineStr">
        <is>
          <t>Experimentos/runs/E1_v2_20260321_063715/scripts/run_e1_ridge.py</t>
        </is>
      </c>
      <c r="AI143" s="49" t="inlineStr">
        <is>
          <t>Experimentos/runs/E1_v2_20260321_063715/parametros_run.json</t>
        </is>
      </c>
      <c r="AJ143" s="49" t="inlineStr">
        <is>
          <t>Experimentos/runs/E1_v2_20260321_063715/metricas_horizonte.json</t>
        </is>
      </c>
      <c r="AK143" s="49" t="inlineStr">
        <is>
          <t>2026-03-21 06:37:15</t>
        </is>
      </c>
    </row>
    <row r="144" ht="15" customHeight="1" s="27">
      <c r="A144" s="49" t="inlineStr">
        <is>
          <t>2026-03-21 06:37:15</t>
        </is>
      </c>
      <c r="B144" s="49" t="inlineStr">
        <is>
          <t>E1_v2</t>
        </is>
      </c>
      <c r="C144" s="50" t="inlineStr">
        <is>
          <t>E1</t>
        </is>
      </c>
      <c r="D144" s="50" t="inlineStr">
        <is>
          <t>lineal</t>
        </is>
      </c>
      <c r="E144" s="50" t="inlineStr">
        <is>
          <t>RidgeCV</t>
        </is>
      </c>
      <c r="F144" s="50" t="n">
        <v>3</v>
      </c>
      <c r="G144" s="49" t="inlineStr">
        <is>
          <t>nivel</t>
        </is>
      </c>
      <c r="H144" s="50" t="inlineStr">
        <is>
          <t>y_t + lags 1..4</t>
        </is>
      </c>
      <c r="I14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4" s="50" t="inlineStr">
        <is>
          <t>estandarizada</t>
        </is>
      </c>
      <c r="K144" s="50" t="inlineStr">
        <is>
          <t>todas</t>
        </is>
      </c>
      <c r="L144" s="50" t="inlineStr">
        <is>
          <t>walk-forward_expanding</t>
        </is>
      </c>
      <c r="M144" s="49" t="inlineStr">
        <is>
          <t>2024-10-14 a 2026-03-02</t>
        </is>
      </c>
      <c r="N144" s="49" t="inlineStr">
        <is>
          <t>RidgeCV con 59 features, lags=[1, 2, 3, 4], initial_train_size=40</t>
        </is>
      </c>
      <c r="O144" s="51" t="n">
        <v>0.35</v>
      </c>
      <c r="P144" s="51" t="n">
        <v>0.25</v>
      </c>
      <c r="Q144" s="51" t="n">
        <v>0.25</v>
      </c>
      <c r="R144" s="51" t="n">
        <v>0.1</v>
      </c>
      <c r="S144" s="52" t="n">
        <v>0.3</v>
      </c>
      <c r="T144" s="53" t="n">
        <v>0.1716764812922544</v>
      </c>
      <c r="U144" s="53" t="n">
        <v>0.1538461538461539</v>
      </c>
      <c r="V144" s="53" t="n">
        <v>0.1666666666666666</v>
      </c>
      <c r="W144" s="53" t="n">
        <v>0.7692307692307693</v>
      </c>
      <c r="X144" s="54" t="n">
        <v>0.06514141515107132</v>
      </c>
      <c r="Y144" s="53" t="n">
        <v>0.1056298037097672</v>
      </c>
      <c r="Z144" s="53" t="n">
        <v>0.1371961916014883</v>
      </c>
      <c r="AA144" s="55" t="n">
        <v>0.8461538461538461</v>
      </c>
      <c r="AB144" s="55" t="n">
        <v>0.8333333333333334</v>
      </c>
      <c r="AC144" s="49" t="inlineStr">
        <is>
          <t>corrido</t>
        </is>
      </c>
      <c r="AD144" s="49" t="inlineStr">
        <is>
          <t>Retrointegrado desde metricas_horizonte.json para persistir resumen numerico.</t>
        </is>
      </c>
      <c r="AE144" s="49" t="inlineStr">
        <is>
          <t>run_e1_ridge.py</t>
        </is>
      </c>
      <c r="AF144" s="49" t="inlineStr">
        <is>
          <t>Scripts/Modeling/run_e1_ridge.py</t>
        </is>
      </c>
      <c r="AG144" s="49" t="inlineStr">
        <is>
          <t>Experimentos/runs/E1_v2_20260321_063715</t>
        </is>
      </c>
      <c r="AH144" s="49" t="inlineStr">
        <is>
          <t>Experimentos/runs/E1_v2_20260321_063715/scripts/run_e1_ridge.py</t>
        </is>
      </c>
      <c r="AI144" s="49" t="inlineStr">
        <is>
          <t>Experimentos/runs/E1_v2_20260321_063715/parametros_run.json</t>
        </is>
      </c>
      <c r="AJ144" s="49" t="inlineStr">
        <is>
          <t>Experimentos/runs/E1_v2_20260321_063715/metricas_horizonte.json</t>
        </is>
      </c>
      <c r="AK144" s="49" t="inlineStr">
        <is>
          <t>2026-03-21 06:37:15</t>
        </is>
      </c>
    </row>
    <row r="145" ht="15" customHeight="1" s="27">
      <c r="A145" s="49" t="inlineStr">
        <is>
          <t>2026-03-21 06:37:15</t>
        </is>
      </c>
      <c r="B145" s="49" t="inlineStr">
        <is>
          <t>E1_v2</t>
        </is>
      </c>
      <c r="C145" s="50" t="inlineStr">
        <is>
          <t>E1</t>
        </is>
      </c>
      <c r="D145" s="50" t="inlineStr">
        <is>
          <t>lineal</t>
        </is>
      </c>
      <c r="E145" s="50" t="inlineStr">
        <is>
          <t>RidgeCV</t>
        </is>
      </c>
      <c r="F145" s="50" t="n">
        <v>4</v>
      </c>
      <c r="G145" s="49" t="inlineStr">
        <is>
          <t>nivel</t>
        </is>
      </c>
      <c r="H145" s="50" t="inlineStr">
        <is>
          <t>y_t + lags 1..4</t>
        </is>
      </c>
      <c r="I14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5" s="50" t="inlineStr">
        <is>
          <t>estandarizada</t>
        </is>
      </c>
      <c r="K145" s="50" t="inlineStr">
        <is>
          <t>todas</t>
        </is>
      </c>
      <c r="L145" s="50" t="inlineStr">
        <is>
          <t>walk-forward_expanding</t>
        </is>
      </c>
      <c r="M145" s="49" t="inlineStr">
        <is>
          <t>2024-10-14 a 2026-03-02</t>
        </is>
      </c>
      <c r="N145" s="49" t="inlineStr">
        <is>
          <t>RidgeCV con 59 features, lags=[1, 2, 3, 4], initial_train_size=40</t>
        </is>
      </c>
      <c r="O145" s="51" t="n">
        <v>0.35</v>
      </c>
      <c r="P145" s="51" t="n">
        <v>0.25</v>
      </c>
      <c r="Q145" s="51" t="n">
        <v>0.25</v>
      </c>
      <c r="R145" s="51" t="n">
        <v>0.1</v>
      </c>
      <c r="S145" s="52" t="n">
        <v>0.15</v>
      </c>
      <c r="T145" s="53" t="n">
        <v>0.1657678226368655</v>
      </c>
      <c r="U145" s="53" t="n">
        <v>0.28</v>
      </c>
      <c r="V145" s="53" t="n">
        <v>0.2</v>
      </c>
      <c r="W145" s="53" t="n">
        <v>0.72</v>
      </c>
      <c r="X145" s="54" t="n">
        <v>0.03750281068843544</v>
      </c>
      <c r="Y145" s="53" t="n">
        <v>0.1019943001785977</v>
      </c>
      <c r="Z145" s="53" t="n">
        <v>0.1356427850388481</v>
      </c>
      <c r="AA145" s="55" t="n">
        <v>0.72</v>
      </c>
      <c r="AB145" s="55" t="n">
        <v>0.8</v>
      </c>
      <c r="AC145" s="49" t="inlineStr">
        <is>
          <t>corrido</t>
        </is>
      </c>
      <c r="AD145" s="49" t="inlineStr">
        <is>
          <t>Retrointegrado desde metricas_horizonte.json para persistir resumen numerico.</t>
        </is>
      </c>
      <c r="AE145" s="49" t="inlineStr">
        <is>
          <t>run_e1_ridge.py</t>
        </is>
      </c>
      <c r="AF145" s="49" t="inlineStr">
        <is>
          <t>Scripts/Modeling/run_e1_ridge.py</t>
        </is>
      </c>
      <c r="AG145" s="49" t="inlineStr">
        <is>
          <t>Experimentos/runs/E1_v2_20260321_063715</t>
        </is>
      </c>
      <c r="AH145" s="49" t="inlineStr">
        <is>
          <t>Experimentos/runs/E1_v2_20260321_063715/scripts/run_e1_ridge.py</t>
        </is>
      </c>
      <c r="AI145" s="49" t="inlineStr">
        <is>
          <t>Experimentos/runs/E1_v2_20260321_063715/parametros_run.json</t>
        </is>
      </c>
      <c r="AJ145" s="49" t="inlineStr">
        <is>
          <t>Experimentos/runs/E1_v2_20260321_063715/metricas_horizonte.json</t>
        </is>
      </c>
      <c r="AK145" s="49" t="inlineStr">
        <is>
          <t>2026-03-21 06:37:15</t>
        </is>
      </c>
    </row>
  </sheetData>
  <conditionalFormatting sqref="T2:W141">
    <cfRule type="expression" rank="0" priority="2" equalAverage="0" aboveAverage="0" dxfId="0" text="" percent="0" bottom="0">
      <formula>AND($AC2="corrido",T2="")</formula>
    </cfRule>
  </conditionalFormatting>
  <conditionalFormatting sqref="X2:X141">
    <cfRule type="colorScale" priority="3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dataValidations count="8">
    <dataValidation sqref="C2:C141" showDropDown="0" showInputMessage="0" showErrorMessage="0" allowBlank="0" type="list" errorStyle="stop" operator="between">
      <formula1>"E1,E2,E3,E4,E5,E6,E7,E8,E9,E10"</formula1>
      <formula2>0</formula2>
    </dataValidation>
    <dataValidation sqref="D2:D141" showDropDown="0" showInputMessage="0" showErrorMessage="0" allowBlank="0" type="list" errorStyle="stop" operator="between">
      <formula1>"lineal,robusto,boosting,temporal,hibrido,ensemble"</formula1>
      <formula2>0</formula2>
    </dataValidation>
    <dataValidation sqref="F2:F141" showDropDown="0" showInputMessage="0" showErrorMessage="0" allowBlank="0" type="list" errorStyle="stop" operator="between">
      <formula1>"1,2,3,4"</formula1>
      <formula2>0</formula2>
    </dataValidation>
    <dataValidation sqref="G2:G141" showDropDown="0" showInputMessage="0" showErrorMessage="0" allowBlank="0" type="list" errorStyle="stop" operator="between">
      <formula1>"nivel,delta,ambos"</formula1>
      <formula2>0</formula2>
    </dataValidation>
    <dataValidation sqref="J2:J141" showDropDown="0" showInputMessage="0" showErrorMessage="0" allowBlank="0" type="list" errorStyle="stop" operator="between">
      <formula1>"original,estandarizada,log,robusta,winsorizada"</formula1>
      <formula2>0</formula2>
    </dataValidation>
    <dataValidation sqref="K2:K141" showDropDown="0" showInputMessage="0" showErrorMessage="0" allowBlank="0" type="list" errorStyle="stop" operator="between">
      <formula1>"todas,correlacion,lasso,importancia_arboles"</formula1>
      <formula2>0</formula2>
    </dataValidation>
    <dataValidation sqref="L2:L141" showDropDown="0" showInputMessage="0" showErrorMessage="0" allowBlank="0" type="list" errorStyle="stop" operator="between">
      <formula1>"walk-forward,expanding_window,rolling_window"</formula1>
      <formula2>0</formula2>
    </dataValidation>
    <dataValidation sqref="AC2:AC141" showDropDown="0" showInputMessage="0" showErrorMessage="0" allowBlank="0" type="list" errorStyle="stop" operator="between">
      <formula1>"pendiente,correr,corrido,revisar"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W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14" customWidth="1" style="26" min="1" max="1"/>
    <col width="13" customWidth="1" style="26" min="2" max="2"/>
    <col width="28" customWidth="1" style="26" min="3" max="3"/>
    <col width="14" customWidth="1" style="26" min="4" max="4"/>
    <col width="15" customWidth="1" style="26" min="5" max="5"/>
    <col width="18" customWidth="1" style="26" min="6" max="6"/>
    <col width="10" customWidth="1" style="26" min="7" max="7"/>
    <col width="8" customWidth="1" style="26" min="8" max="8"/>
    <col width="14" customWidth="1" style="26" min="9" max="9"/>
    <col width="10" customWidth="1" style="26" min="10" max="11"/>
    <col width="12" customWidth="1" style="26" min="12" max="12"/>
    <col width="14" customWidth="1" style="26" min="13" max="13"/>
    <col width="12" customWidth="1" style="26" min="14" max="14"/>
    <col width="9" customWidth="1" style="26" min="15" max="15"/>
    <col width="30" customWidth="1" style="26" min="16" max="16"/>
    <col width="24" customWidth="1" style="26" min="17" max="17"/>
    <col width="42" customWidth="1" style="26" min="18" max="18"/>
    <col width="40" customWidth="1" style="26" min="19" max="19"/>
    <col width="42" customWidth="1" style="26" min="20" max="20"/>
    <col width="38" customWidth="1" style="26" min="21" max="22"/>
    <col width="22" customWidth="1" style="26" min="23" max="23"/>
  </cols>
  <sheetData>
    <row r="1" ht="27.7" customHeight="1" s="27">
      <c r="A1" s="34" t="inlineStr">
        <is>
          <t>Run_ID</t>
        </is>
      </c>
      <c r="B1" s="34" t="inlineStr">
        <is>
          <t>Experiment_ID</t>
        </is>
      </c>
      <c r="C1" s="34" t="inlineStr">
        <is>
          <t>Modelo</t>
        </is>
      </c>
      <c r="D1" s="34" t="inlineStr">
        <is>
          <t>Familia</t>
        </is>
      </c>
      <c r="E1" s="34" t="inlineStr">
        <is>
          <t>Horizons_loaded</t>
        </is>
      </c>
      <c r="F1" s="34" t="inlineStr">
        <is>
          <t>Sum_weighted_Loss_h</t>
        </is>
      </c>
      <c r="G1" s="34" t="inlineStr">
        <is>
          <t>L_coh</t>
        </is>
      </c>
      <c r="H1" s="34" t="inlineStr">
        <is>
          <t>eta</t>
        </is>
      </c>
      <c r="I1" s="34" t="inlineStr">
        <is>
          <t>L_total_Radar</t>
        </is>
      </c>
      <c r="J1" s="34" t="inlineStr">
        <is>
          <t>Avg_MAE</t>
        </is>
      </c>
      <c r="K1" s="34" t="inlineStr">
        <is>
          <t>Avg_RMSE</t>
        </is>
      </c>
      <c r="L1" s="34" t="inlineStr">
        <is>
          <t>Dir_acc_prom</t>
        </is>
      </c>
      <c r="M1" s="34" t="inlineStr">
        <is>
          <t>Det_caidas_prom</t>
        </is>
      </c>
      <c r="N1" s="34" t="inlineStr">
        <is>
          <t>Decision</t>
        </is>
      </c>
      <c r="O1" s="34" t="inlineStr">
        <is>
          <t>Ranking</t>
        </is>
      </c>
      <c r="P1" s="34" t="inlineStr">
        <is>
          <t>Comentarios</t>
        </is>
      </c>
      <c r="Q1" s="34" t="inlineStr">
        <is>
          <t>Script_nombre</t>
        </is>
      </c>
      <c r="R1" s="34" t="inlineStr">
        <is>
          <t>Script_ruta</t>
        </is>
      </c>
      <c r="S1" s="34" t="inlineStr">
        <is>
          <t>Run_dir</t>
        </is>
      </c>
      <c r="T1" s="34" t="inlineStr">
        <is>
          <t>Snapshot_script</t>
        </is>
      </c>
      <c r="U1" s="34" t="inlineStr">
        <is>
          <t>Parametros_ruta_json</t>
        </is>
      </c>
      <c r="V1" s="34" t="inlineStr">
        <is>
          <t>Resultados_ruta_json</t>
        </is>
      </c>
      <c r="W1" s="34" t="inlineStr">
        <is>
          <t>Timestamp_run</t>
        </is>
      </c>
    </row>
    <row r="2" ht="15" customHeight="1" s="27">
      <c r="A2" s="49" t="inlineStr">
        <is>
          <t>E1_v1</t>
        </is>
      </c>
      <c r="B2" s="57">
        <f>IF($A2="","",IFERROR(INDEX(RESULTADOS_GRID!$C:$C,MATCH($A2,RESULTADOS_GRID!$B:$B,0)),""))</f>
        <v/>
      </c>
      <c r="C2" s="57">
        <f>IF($A2="","",IFERROR(INDEX(RESULTADOS_GRID!$E:$E,MATCH($A2,RESULTADOS_GRID!$B:$B,0)),""))</f>
        <v/>
      </c>
      <c r="D2" s="57">
        <f>IF($A2="","",IFERROR(INDEX(RESULTADOS_GRID!$D:$D,MATCH($A2,RESULTADOS_GRID!$B:$B,0)),""))</f>
        <v/>
      </c>
      <c r="E2" s="57">
        <f>IF($A2="","",COUNTIF(RESULTADOS_GRID!$B:$B,$A2))</f>
        <v/>
      </c>
      <c r="F2" s="54">
        <f>IF($A2="","",SUMIF(RESULTADOS_GRID!$B:$B,$A2,RESULTADOS_GRID!$X:$X))</f>
        <v/>
      </c>
      <c r="G2" s="53" t="n"/>
      <c r="H2" s="58">
        <f>CONFIG_REFERENCIA!$E$7</f>
        <v/>
      </c>
      <c r="I2" s="54">
        <f>IF($A2="","",$F2+N($G2)*$H2)</f>
        <v/>
      </c>
      <c r="J2" s="54">
        <f>IF($A2="","",IF((COUNTIFS(RESULTADOS_GRID!$B:$B,$A2,RESULTADOS_GRID!$Y:$Y,"&gt;=0")+COUNTIFS(RESULTADOS_GRID!$B:$B,$A2,RESULTADOS_GRID!$Y:$Y,"&lt;0"))=0,"",SUMIF(RESULTADOS_GRID!$B:$B,$A2,RESULTADOS_GRID!$Y:$Y)/(COUNTIFS(RESULTADOS_GRID!$B:$B,$A2,RESULTADOS_GRID!$Y:$Y,"&gt;=0")+COUNTIFS(RESULTADOS_GRID!$B:$B,$A2,RESULTADOS_GRID!$Y:$Y,"&lt;0"))))</f>
        <v/>
      </c>
      <c r="K2" s="54">
        <f>IF($A2="","",IF((COUNTIFS(RESULTADOS_GRID!$B:$B,$A2,RESULTADOS_GRID!$Z:$Z,"&gt;=0")+COUNTIFS(RESULTADOS_GRID!$B:$B,$A2,RESULTADOS_GRID!$Z:$Z,"&lt;0"))=0,"",SUMIF(RESULTADOS_GRID!$B:$B,$A2,RESULTADOS_GRID!$Z:$Z)/(COUNTIFS(RESULTADOS_GRID!$B:$B,$A2,RESULTADOS_GRID!$Z:$Z,"&gt;=0")+COUNTIFS(RESULTADOS_GRID!$B:$B,$A2,RESULTADOS_GRID!$Z:$Z,"&lt;0"))))</f>
        <v/>
      </c>
      <c r="L2" s="51">
        <f>IF($A2="","",IF((COUNTIFS(RESULTADOS_GRID!$B:$B,$A2,RESULTADOS_GRID!$AA:$AA,"&gt;=0")+COUNTIFS(RESULTADOS_GRID!$B:$B,$A2,RESULTADOS_GRID!$AA:$AA,"&lt;0"))=0,"",SUMIF(RESULTADOS_GRID!$B:$B,$A2,RESULTADOS_GRID!$AA:$AA)/(COUNTIFS(RESULTADOS_GRID!$B:$B,$A2,RESULTADOS_GRID!$AA:$AA,"&gt;=0")+COUNTIFS(RESULTADOS_GRID!$B:$B,$A2,RESULTADOS_GRID!$AA:$AA,"&lt;0"))))</f>
        <v/>
      </c>
      <c r="M2" s="51">
        <f>IF($A2="","",IF((COUNTIFS(RESULTADOS_GRID!$B:$B,$A2,RESULTADOS_GRID!$AB:$AB,"&gt;=0")+COUNTIFS(RESULTADOS_GRID!$B:$B,$A2,RESULTADOS_GRID!$AB:$AB,"&lt;0"))=0,"",SUMIF(RESULTADOS_GRID!$B:$B,$A2,RESULTADOS_GRID!$AB:$AB)/(COUNTIFS(RESULTADOS_GRID!$B:$B,$A2,RESULTADOS_GRID!$AB:$AB,"&gt;=0")+COUNTIFS(RESULTADOS_GRID!$B:$B,$A2,RESULTADOS_GRID!$AB:$AB,"&lt;0"))))</f>
        <v/>
      </c>
      <c r="N2" s="49" t="n"/>
      <c r="O2" s="57">
        <f>IF($I2="","",COUNTIFS($I$2:$I$101,"&lt;"&amp;$I2)+1)</f>
        <v/>
      </c>
      <c r="P2" s="49" t="n"/>
      <c r="Q2" s="49" t="n"/>
      <c r="R2" s="49" t="n"/>
      <c r="S2" s="49" t="n"/>
      <c r="T2" s="49" t="n"/>
      <c r="U2" s="49" t="n"/>
      <c r="V2" s="49" t="n"/>
      <c r="W2" s="49" t="n"/>
    </row>
    <row r="3" ht="15" customHeight="1" s="27">
      <c r="A3" s="49" t="inlineStr">
        <is>
          <t>E2_v1</t>
        </is>
      </c>
      <c r="B3" s="57">
        <f>IF($A3="","",IFERROR(INDEX(RESULTADOS_GRID!$C:$C,MATCH($A3,RESULTADOS_GRID!$B:$B,0)),""))</f>
        <v/>
      </c>
      <c r="C3" s="57">
        <f>IF($A3="","",IFERROR(INDEX(RESULTADOS_GRID!$E:$E,MATCH($A3,RESULTADOS_GRID!$B:$B,0)),""))</f>
        <v/>
      </c>
      <c r="D3" s="57">
        <f>IF($A3="","",IFERROR(INDEX(RESULTADOS_GRID!$D:$D,MATCH($A3,RESULTADOS_GRID!$B:$B,0)),""))</f>
        <v/>
      </c>
      <c r="E3" s="57">
        <f>IF($A3="","",COUNTIF(RESULTADOS_GRID!$B:$B,$A3))</f>
        <v/>
      </c>
      <c r="F3" s="54">
        <f>IF($A3="","",SUMIF(RESULTADOS_GRID!$B:$B,$A3,RESULTADOS_GRID!$X:$X))</f>
        <v/>
      </c>
      <c r="G3" s="53" t="n"/>
      <c r="H3" s="58">
        <f>CONFIG_REFERENCIA!$E$7</f>
        <v/>
      </c>
      <c r="I3" s="54">
        <f>IF($A3="","",$F3+N($G3)*$H3)</f>
        <v/>
      </c>
      <c r="J3" s="54">
        <f>IF($A3="","",IF((COUNTIFS(RESULTADOS_GRID!$B:$B,$A3,RESULTADOS_GRID!$Y:$Y,"&gt;=0")+COUNTIFS(RESULTADOS_GRID!$B:$B,$A3,RESULTADOS_GRID!$Y:$Y,"&lt;0"))=0,"",SUMIF(RESULTADOS_GRID!$B:$B,$A3,RESULTADOS_GRID!$Y:$Y)/(COUNTIFS(RESULTADOS_GRID!$B:$B,$A3,RESULTADOS_GRID!$Y:$Y,"&gt;=0")+COUNTIFS(RESULTADOS_GRID!$B:$B,$A3,RESULTADOS_GRID!$Y:$Y,"&lt;0"))))</f>
        <v/>
      </c>
      <c r="K3" s="54">
        <f>IF($A3="","",IF((COUNTIFS(RESULTADOS_GRID!$B:$B,$A3,RESULTADOS_GRID!$Z:$Z,"&gt;=0")+COUNTIFS(RESULTADOS_GRID!$B:$B,$A3,RESULTADOS_GRID!$Z:$Z,"&lt;0"))=0,"",SUMIF(RESULTADOS_GRID!$B:$B,$A3,RESULTADOS_GRID!$Z:$Z)/(COUNTIFS(RESULTADOS_GRID!$B:$B,$A3,RESULTADOS_GRID!$Z:$Z,"&gt;=0")+COUNTIFS(RESULTADOS_GRID!$B:$B,$A3,RESULTADOS_GRID!$Z:$Z,"&lt;0"))))</f>
        <v/>
      </c>
      <c r="L3" s="51">
        <f>IF($A3="","",IF((COUNTIFS(RESULTADOS_GRID!$B:$B,$A3,RESULTADOS_GRID!$AA:$AA,"&gt;=0")+COUNTIFS(RESULTADOS_GRID!$B:$B,$A3,RESULTADOS_GRID!$AA:$AA,"&lt;0"))=0,"",SUMIF(RESULTADOS_GRID!$B:$B,$A3,RESULTADOS_GRID!$AA:$AA)/(COUNTIFS(RESULTADOS_GRID!$B:$B,$A3,RESULTADOS_GRID!$AA:$AA,"&gt;=0")+COUNTIFS(RESULTADOS_GRID!$B:$B,$A3,RESULTADOS_GRID!$AA:$AA,"&lt;0"))))</f>
        <v/>
      </c>
      <c r="M3" s="51">
        <f>IF($A3="","",IF((COUNTIFS(RESULTADOS_GRID!$B:$B,$A3,RESULTADOS_GRID!$AB:$AB,"&gt;=0")+COUNTIFS(RESULTADOS_GRID!$B:$B,$A3,RESULTADOS_GRID!$AB:$AB,"&lt;0"))=0,"",SUMIF(RESULTADOS_GRID!$B:$B,$A3,RESULTADOS_GRID!$AB:$AB)/(COUNTIFS(RESULTADOS_GRID!$B:$B,$A3,RESULTADOS_GRID!$AB:$AB,"&gt;=0")+COUNTIFS(RESULTADOS_GRID!$B:$B,$A3,RESULTADOS_GRID!$AB:$AB,"&lt;0"))))</f>
        <v/>
      </c>
      <c r="N3" s="49" t="n"/>
      <c r="O3" s="57">
        <f>IF($I3="","",COUNTIFS($I$2:$I$101,"&lt;"&amp;$I3)+1)</f>
        <v/>
      </c>
      <c r="P3" s="49" t="n"/>
      <c r="Q3" s="49" t="n"/>
      <c r="R3" s="49" t="n"/>
      <c r="S3" s="49" t="n"/>
      <c r="T3" s="49" t="n"/>
      <c r="U3" s="49" t="n"/>
      <c r="V3" s="49" t="n"/>
      <c r="W3" s="49" t="n"/>
    </row>
    <row r="4" ht="15" customHeight="1" s="27">
      <c r="A4" s="49" t="inlineStr">
        <is>
          <t>E3_v1</t>
        </is>
      </c>
      <c r="B4" s="57">
        <f>IF($A4="","",IFERROR(INDEX(RESULTADOS_GRID!$C:$C,MATCH($A4,RESULTADOS_GRID!$B:$B,0)),""))</f>
        <v/>
      </c>
      <c r="C4" s="57">
        <f>IF($A4="","",IFERROR(INDEX(RESULTADOS_GRID!$E:$E,MATCH($A4,RESULTADOS_GRID!$B:$B,0)),""))</f>
        <v/>
      </c>
      <c r="D4" s="57">
        <f>IF($A4="","",IFERROR(INDEX(RESULTADOS_GRID!$D:$D,MATCH($A4,RESULTADOS_GRID!$B:$B,0)),""))</f>
        <v/>
      </c>
      <c r="E4" s="57">
        <f>IF($A4="","",COUNTIF(RESULTADOS_GRID!$B:$B,$A4))</f>
        <v/>
      </c>
      <c r="F4" s="54">
        <f>IF($A4="","",SUMIF(RESULTADOS_GRID!$B:$B,$A4,RESULTADOS_GRID!$X:$X))</f>
        <v/>
      </c>
      <c r="G4" s="53" t="n"/>
      <c r="H4" s="58">
        <f>CONFIG_REFERENCIA!$E$7</f>
        <v/>
      </c>
      <c r="I4" s="54">
        <f>IF($A4="","",$F4+N($G4)*$H4)</f>
        <v/>
      </c>
      <c r="J4" s="54">
        <f>IF($A4="","",IF((COUNTIFS(RESULTADOS_GRID!$B:$B,$A4,RESULTADOS_GRID!$Y:$Y,"&gt;=0")+COUNTIFS(RESULTADOS_GRID!$B:$B,$A4,RESULTADOS_GRID!$Y:$Y,"&lt;0"))=0,"",SUMIF(RESULTADOS_GRID!$B:$B,$A4,RESULTADOS_GRID!$Y:$Y)/(COUNTIFS(RESULTADOS_GRID!$B:$B,$A4,RESULTADOS_GRID!$Y:$Y,"&gt;=0")+COUNTIFS(RESULTADOS_GRID!$B:$B,$A4,RESULTADOS_GRID!$Y:$Y,"&lt;0"))))</f>
        <v/>
      </c>
      <c r="K4" s="54">
        <f>IF($A4="","",IF((COUNTIFS(RESULTADOS_GRID!$B:$B,$A4,RESULTADOS_GRID!$Z:$Z,"&gt;=0")+COUNTIFS(RESULTADOS_GRID!$B:$B,$A4,RESULTADOS_GRID!$Z:$Z,"&lt;0"))=0,"",SUMIF(RESULTADOS_GRID!$B:$B,$A4,RESULTADOS_GRID!$Z:$Z)/(COUNTIFS(RESULTADOS_GRID!$B:$B,$A4,RESULTADOS_GRID!$Z:$Z,"&gt;=0")+COUNTIFS(RESULTADOS_GRID!$B:$B,$A4,RESULTADOS_GRID!$Z:$Z,"&lt;0"))))</f>
        <v/>
      </c>
      <c r="L4" s="51">
        <f>IF($A4="","",IF((COUNTIFS(RESULTADOS_GRID!$B:$B,$A4,RESULTADOS_GRID!$AA:$AA,"&gt;=0")+COUNTIFS(RESULTADOS_GRID!$B:$B,$A4,RESULTADOS_GRID!$AA:$AA,"&lt;0"))=0,"",SUMIF(RESULTADOS_GRID!$B:$B,$A4,RESULTADOS_GRID!$AA:$AA)/(COUNTIFS(RESULTADOS_GRID!$B:$B,$A4,RESULTADOS_GRID!$AA:$AA,"&gt;=0")+COUNTIFS(RESULTADOS_GRID!$B:$B,$A4,RESULTADOS_GRID!$AA:$AA,"&lt;0"))))</f>
        <v/>
      </c>
      <c r="M4" s="51">
        <f>IF($A4="","",IF((COUNTIFS(RESULTADOS_GRID!$B:$B,$A4,RESULTADOS_GRID!$AB:$AB,"&gt;=0")+COUNTIFS(RESULTADOS_GRID!$B:$B,$A4,RESULTADOS_GRID!$AB:$AB,"&lt;0"))=0,"",SUMIF(RESULTADOS_GRID!$B:$B,$A4,RESULTADOS_GRID!$AB:$AB)/(COUNTIFS(RESULTADOS_GRID!$B:$B,$A4,RESULTADOS_GRID!$AB:$AB,"&gt;=0")+COUNTIFS(RESULTADOS_GRID!$B:$B,$A4,RESULTADOS_GRID!$AB:$AB,"&lt;0"))))</f>
        <v/>
      </c>
      <c r="N4" s="49" t="n"/>
      <c r="O4" s="57">
        <f>IF($I4="","",COUNTIFS($I$2:$I$101,"&lt;"&amp;$I4)+1)</f>
        <v/>
      </c>
      <c r="P4" s="49" t="n"/>
      <c r="Q4" s="49" t="n"/>
      <c r="R4" s="49" t="n"/>
      <c r="S4" s="49" t="n"/>
      <c r="T4" s="49" t="n"/>
      <c r="U4" s="49" t="n"/>
      <c r="V4" s="49" t="n"/>
      <c r="W4" s="49" t="n"/>
    </row>
    <row r="5" ht="15" customHeight="1" s="27">
      <c r="A5" s="49" t="inlineStr">
        <is>
          <t>E4_v1</t>
        </is>
      </c>
      <c r="B5" s="57">
        <f>IF($A5="","",IFERROR(INDEX(RESULTADOS_GRID!$C:$C,MATCH($A5,RESULTADOS_GRID!$B:$B,0)),""))</f>
        <v/>
      </c>
      <c r="C5" s="57">
        <f>IF($A5="","",IFERROR(INDEX(RESULTADOS_GRID!$E:$E,MATCH($A5,RESULTADOS_GRID!$B:$B,0)),""))</f>
        <v/>
      </c>
      <c r="D5" s="57">
        <f>IF($A5="","",IFERROR(INDEX(RESULTADOS_GRID!$D:$D,MATCH($A5,RESULTADOS_GRID!$B:$B,0)),""))</f>
        <v/>
      </c>
      <c r="E5" s="57">
        <f>IF($A5="","",COUNTIF(RESULTADOS_GRID!$B:$B,$A5))</f>
        <v/>
      </c>
      <c r="F5" s="54">
        <f>IF($A5="","",SUMIF(RESULTADOS_GRID!$B:$B,$A5,RESULTADOS_GRID!$X:$X))</f>
        <v/>
      </c>
      <c r="G5" s="53" t="n"/>
      <c r="H5" s="58">
        <f>CONFIG_REFERENCIA!$E$7</f>
        <v/>
      </c>
      <c r="I5" s="54">
        <f>IF($A5="","",$F5+N($G5)*$H5)</f>
        <v/>
      </c>
      <c r="J5" s="54">
        <f>IF($A5="","",IF((COUNTIFS(RESULTADOS_GRID!$B:$B,$A5,RESULTADOS_GRID!$Y:$Y,"&gt;=0")+COUNTIFS(RESULTADOS_GRID!$B:$B,$A5,RESULTADOS_GRID!$Y:$Y,"&lt;0"))=0,"",SUMIF(RESULTADOS_GRID!$B:$B,$A5,RESULTADOS_GRID!$Y:$Y)/(COUNTIFS(RESULTADOS_GRID!$B:$B,$A5,RESULTADOS_GRID!$Y:$Y,"&gt;=0")+COUNTIFS(RESULTADOS_GRID!$B:$B,$A5,RESULTADOS_GRID!$Y:$Y,"&lt;0"))))</f>
        <v/>
      </c>
      <c r="K5" s="54">
        <f>IF($A5="","",IF((COUNTIFS(RESULTADOS_GRID!$B:$B,$A5,RESULTADOS_GRID!$Z:$Z,"&gt;=0")+COUNTIFS(RESULTADOS_GRID!$B:$B,$A5,RESULTADOS_GRID!$Z:$Z,"&lt;0"))=0,"",SUMIF(RESULTADOS_GRID!$B:$B,$A5,RESULTADOS_GRID!$Z:$Z)/(COUNTIFS(RESULTADOS_GRID!$B:$B,$A5,RESULTADOS_GRID!$Z:$Z,"&gt;=0")+COUNTIFS(RESULTADOS_GRID!$B:$B,$A5,RESULTADOS_GRID!$Z:$Z,"&lt;0"))))</f>
        <v/>
      </c>
      <c r="L5" s="51">
        <f>IF($A5="","",IF((COUNTIFS(RESULTADOS_GRID!$B:$B,$A5,RESULTADOS_GRID!$AA:$AA,"&gt;=0")+COUNTIFS(RESULTADOS_GRID!$B:$B,$A5,RESULTADOS_GRID!$AA:$AA,"&lt;0"))=0,"",SUMIF(RESULTADOS_GRID!$B:$B,$A5,RESULTADOS_GRID!$AA:$AA)/(COUNTIFS(RESULTADOS_GRID!$B:$B,$A5,RESULTADOS_GRID!$AA:$AA,"&gt;=0")+COUNTIFS(RESULTADOS_GRID!$B:$B,$A5,RESULTADOS_GRID!$AA:$AA,"&lt;0"))))</f>
        <v/>
      </c>
      <c r="M5" s="51">
        <f>IF($A5="","",IF((COUNTIFS(RESULTADOS_GRID!$B:$B,$A5,RESULTADOS_GRID!$AB:$AB,"&gt;=0")+COUNTIFS(RESULTADOS_GRID!$B:$B,$A5,RESULTADOS_GRID!$AB:$AB,"&lt;0"))=0,"",SUMIF(RESULTADOS_GRID!$B:$B,$A5,RESULTADOS_GRID!$AB:$AB)/(COUNTIFS(RESULTADOS_GRID!$B:$B,$A5,RESULTADOS_GRID!$AB:$AB,"&gt;=0")+COUNTIFS(RESULTADOS_GRID!$B:$B,$A5,RESULTADOS_GRID!$AB:$AB,"&lt;0"))))</f>
        <v/>
      </c>
      <c r="N5" s="49" t="n"/>
      <c r="O5" s="57">
        <f>IF($I5="","",COUNTIFS($I$2:$I$101,"&lt;"&amp;$I5)+1)</f>
        <v/>
      </c>
      <c r="P5" s="49" t="n"/>
      <c r="Q5" s="49" t="n"/>
      <c r="R5" s="49" t="n"/>
      <c r="S5" s="49" t="n"/>
      <c r="T5" s="49" t="n"/>
      <c r="U5" s="49" t="n"/>
      <c r="V5" s="49" t="n"/>
      <c r="W5" s="49" t="n"/>
    </row>
    <row r="6" ht="15" customHeight="1" s="27">
      <c r="A6" s="49" t="inlineStr">
        <is>
          <t>E5_v1</t>
        </is>
      </c>
      <c r="B6" s="57">
        <f>IF($A6="","",IFERROR(INDEX(RESULTADOS_GRID!$C:$C,MATCH($A6,RESULTADOS_GRID!$B:$B,0)),""))</f>
        <v/>
      </c>
      <c r="C6" s="57">
        <f>IF($A6="","",IFERROR(INDEX(RESULTADOS_GRID!$E:$E,MATCH($A6,RESULTADOS_GRID!$B:$B,0)),""))</f>
        <v/>
      </c>
      <c r="D6" s="57">
        <f>IF($A6="","",IFERROR(INDEX(RESULTADOS_GRID!$D:$D,MATCH($A6,RESULTADOS_GRID!$B:$B,0)),""))</f>
        <v/>
      </c>
      <c r="E6" s="57">
        <f>IF($A6="","",COUNTIF(RESULTADOS_GRID!$B:$B,$A6))</f>
        <v/>
      </c>
      <c r="F6" s="54">
        <f>IF($A6="","",SUMIF(RESULTADOS_GRID!$B:$B,$A6,RESULTADOS_GRID!$X:$X))</f>
        <v/>
      </c>
      <c r="G6" s="53" t="n"/>
      <c r="H6" s="58">
        <f>CONFIG_REFERENCIA!$E$7</f>
        <v/>
      </c>
      <c r="I6" s="54">
        <f>IF($A6="","",$F6+N($G6)*$H6)</f>
        <v/>
      </c>
      <c r="J6" s="54">
        <f>IF($A6="","",IF((COUNTIFS(RESULTADOS_GRID!$B:$B,$A6,RESULTADOS_GRID!$Y:$Y,"&gt;=0")+COUNTIFS(RESULTADOS_GRID!$B:$B,$A6,RESULTADOS_GRID!$Y:$Y,"&lt;0"))=0,"",SUMIF(RESULTADOS_GRID!$B:$B,$A6,RESULTADOS_GRID!$Y:$Y)/(COUNTIFS(RESULTADOS_GRID!$B:$B,$A6,RESULTADOS_GRID!$Y:$Y,"&gt;=0")+COUNTIFS(RESULTADOS_GRID!$B:$B,$A6,RESULTADOS_GRID!$Y:$Y,"&lt;0"))))</f>
        <v/>
      </c>
      <c r="K6" s="54">
        <f>IF($A6="","",IF((COUNTIFS(RESULTADOS_GRID!$B:$B,$A6,RESULTADOS_GRID!$Z:$Z,"&gt;=0")+COUNTIFS(RESULTADOS_GRID!$B:$B,$A6,RESULTADOS_GRID!$Z:$Z,"&lt;0"))=0,"",SUMIF(RESULTADOS_GRID!$B:$B,$A6,RESULTADOS_GRID!$Z:$Z)/(COUNTIFS(RESULTADOS_GRID!$B:$B,$A6,RESULTADOS_GRID!$Z:$Z,"&gt;=0")+COUNTIFS(RESULTADOS_GRID!$B:$B,$A6,RESULTADOS_GRID!$Z:$Z,"&lt;0"))))</f>
        <v/>
      </c>
      <c r="L6" s="51">
        <f>IF($A6="","",IF((COUNTIFS(RESULTADOS_GRID!$B:$B,$A6,RESULTADOS_GRID!$AA:$AA,"&gt;=0")+COUNTIFS(RESULTADOS_GRID!$B:$B,$A6,RESULTADOS_GRID!$AA:$AA,"&lt;0"))=0,"",SUMIF(RESULTADOS_GRID!$B:$B,$A6,RESULTADOS_GRID!$AA:$AA)/(COUNTIFS(RESULTADOS_GRID!$B:$B,$A6,RESULTADOS_GRID!$AA:$AA,"&gt;=0")+COUNTIFS(RESULTADOS_GRID!$B:$B,$A6,RESULTADOS_GRID!$AA:$AA,"&lt;0"))))</f>
        <v/>
      </c>
      <c r="M6" s="51">
        <f>IF($A6="","",IF((COUNTIFS(RESULTADOS_GRID!$B:$B,$A6,RESULTADOS_GRID!$AB:$AB,"&gt;=0")+COUNTIFS(RESULTADOS_GRID!$B:$B,$A6,RESULTADOS_GRID!$AB:$AB,"&lt;0"))=0,"",SUMIF(RESULTADOS_GRID!$B:$B,$A6,RESULTADOS_GRID!$AB:$AB)/(COUNTIFS(RESULTADOS_GRID!$B:$B,$A6,RESULTADOS_GRID!$AB:$AB,"&gt;=0")+COUNTIFS(RESULTADOS_GRID!$B:$B,$A6,RESULTADOS_GRID!$AB:$AB,"&lt;0"))))</f>
        <v/>
      </c>
      <c r="N6" s="49" t="n"/>
      <c r="O6" s="57">
        <f>IF($I6="","",COUNTIFS($I$2:$I$101,"&lt;"&amp;$I6)+1)</f>
        <v/>
      </c>
      <c r="P6" s="49" t="n"/>
      <c r="Q6" s="49" t="n"/>
      <c r="R6" s="49" t="n"/>
      <c r="S6" s="49" t="n"/>
      <c r="T6" s="49" t="n"/>
      <c r="U6" s="49" t="n"/>
      <c r="V6" s="49" t="n"/>
      <c r="W6" s="49" t="n"/>
    </row>
    <row r="7" ht="15" customHeight="1" s="27">
      <c r="A7" s="49" t="inlineStr">
        <is>
          <t>E6_v1</t>
        </is>
      </c>
      <c r="B7" s="57">
        <f>IF($A7="","",IFERROR(INDEX(RESULTADOS_GRID!$C:$C,MATCH($A7,RESULTADOS_GRID!$B:$B,0)),""))</f>
        <v/>
      </c>
      <c r="C7" s="57">
        <f>IF($A7="","",IFERROR(INDEX(RESULTADOS_GRID!$E:$E,MATCH($A7,RESULTADOS_GRID!$B:$B,0)),""))</f>
        <v/>
      </c>
      <c r="D7" s="57">
        <f>IF($A7="","",IFERROR(INDEX(RESULTADOS_GRID!$D:$D,MATCH($A7,RESULTADOS_GRID!$B:$B,0)),""))</f>
        <v/>
      </c>
      <c r="E7" s="57">
        <f>IF($A7="","",COUNTIF(RESULTADOS_GRID!$B:$B,$A7))</f>
        <v/>
      </c>
      <c r="F7" s="54">
        <f>IF($A7="","",SUMIF(RESULTADOS_GRID!$B:$B,$A7,RESULTADOS_GRID!$X:$X))</f>
        <v/>
      </c>
      <c r="G7" s="53" t="n"/>
      <c r="H7" s="58">
        <f>CONFIG_REFERENCIA!$E$7</f>
        <v/>
      </c>
      <c r="I7" s="54">
        <f>IF($A7="","",$F7+N($G7)*$H7)</f>
        <v/>
      </c>
      <c r="J7" s="54">
        <f>IF($A7="","",IF((COUNTIFS(RESULTADOS_GRID!$B:$B,$A7,RESULTADOS_GRID!$Y:$Y,"&gt;=0")+COUNTIFS(RESULTADOS_GRID!$B:$B,$A7,RESULTADOS_GRID!$Y:$Y,"&lt;0"))=0,"",SUMIF(RESULTADOS_GRID!$B:$B,$A7,RESULTADOS_GRID!$Y:$Y)/(COUNTIFS(RESULTADOS_GRID!$B:$B,$A7,RESULTADOS_GRID!$Y:$Y,"&gt;=0")+COUNTIFS(RESULTADOS_GRID!$B:$B,$A7,RESULTADOS_GRID!$Y:$Y,"&lt;0"))))</f>
        <v/>
      </c>
      <c r="K7" s="54">
        <f>IF($A7="","",IF((COUNTIFS(RESULTADOS_GRID!$B:$B,$A7,RESULTADOS_GRID!$Z:$Z,"&gt;=0")+COUNTIFS(RESULTADOS_GRID!$B:$B,$A7,RESULTADOS_GRID!$Z:$Z,"&lt;0"))=0,"",SUMIF(RESULTADOS_GRID!$B:$B,$A7,RESULTADOS_GRID!$Z:$Z)/(COUNTIFS(RESULTADOS_GRID!$B:$B,$A7,RESULTADOS_GRID!$Z:$Z,"&gt;=0")+COUNTIFS(RESULTADOS_GRID!$B:$B,$A7,RESULTADOS_GRID!$Z:$Z,"&lt;0"))))</f>
        <v/>
      </c>
      <c r="L7" s="51">
        <f>IF($A7="","",IF((COUNTIFS(RESULTADOS_GRID!$B:$B,$A7,RESULTADOS_GRID!$AA:$AA,"&gt;=0")+COUNTIFS(RESULTADOS_GRID!$B:$B,$A7,RESULTADOS_GRID!$AA:$AA,"&lt;0"))=0,"",SUMIF(RESULTADOS_GRID!$B:$B,$A7,RESULTADOS_GRID!$AA:$AA)/(COUNTIFS(RESULTADOS_GRID!$B:$B,$A7,RESULTADOS_GRID!$AA:$AA,"&gt;=0")+COUNTIFS(RESULTADOS_GRID!$B:$B,$A7,RESULTADOS_GRID!$AA:$AA,"&lt;0"))))</f>
        <v/>
      </c>
      <c r="M7" s="51">
        <f>IF($A7="","",IF((COUNTIFS(RESULTADOS_GRID!$B:$B,$A7,RESULTADOS_GRID!$AB:$AB,"&gt;=0")+COUNTIFS(RESULTADOS_GRID!$B:$B,$A7,RESULTADOS_GRID!$AB:$AB,"&lt;0"))=0,"",SUMIF(RESULTADOS_GRID!$B:$B,$A7,RESULTADOS_GRID!$AB:$AB)/(COUNTIFS(RESULTADOS_GRID!$B:$B,$A7,RESULTADOS_GRID!$AB:$AB,"&gt;=0")+COUNTIFS(RESULTADOS_GRID!$B:$B,$A7,RESULTADOS_GRID!$AB:$AB,"&lt;0"))))</f>
        <v/>
      </c>
      <c r="N7" s="49" t="n"/>
      <c r="O7" s="57">
        <f>IF($I7="","",COUNTIFS($I$2:$I$101,"&lt;"&amp;$I7)+1)</f>
        <v/>
      </c>
      <c r="P7" s="49" t="n"/>
      <c r="Q7" s="49" t="n"/>
      <c r="R7" s="49" t="n"/>
      <c r="S7" s="49" t="n"/>
      <c r="T7" s="49" t="n"/>
      <c r="U7" s="49" t="n"/>
      <c r="V7" s="49" t="n"/>
      <c r="W7" s="49" t="n"/>
    </row>
    <row r="8" ht="15" customHeight="1" s="27">
      <c r="A8" s="49" t="inlineStr">
        <is>
          <t>E7_v1</t>
        </is>
      </c>
      <c r="B8" s="57">
        <f>IF($A8="","",IFERROR(INDEX(RESULTADOS_GRID!$C:$C,MATCH($A8,RESULTADOS_GRID!$B:$B,0)),""))</f>
        <v/>
      </c>
      <c r="C8" s="57">
        <f>IF($A8="","",IFERROR(INDEX(RESULTADOS_GRID!$E:$E,MATCH($A8,RESULTADOS_GRID!$B:$B,0)),""))</f>
        <v/>
      </c>
      <c r="D8" s="57">
        <f>IF($A8="","",IFERROR(INDEX(RESULTADOS_GRID!$D:$D,MATCH($A8,RESULTADOS_GRID!$B:$B,0)),""))</f>
        <v/>
      </c>
      <c r="E8" s="57">
        <f>IF($A8="","",COUNTIF(RESULTADOS_GRID!$B:$B,$A8))</f>
        <v/>
      </c>
      <c r="F8" s="54">
        <f>IF($A8="","",SUMIF(RESULTADOS_GRID!$B:$B,$A8,RESULTADOS_GRID!$X:$X))</f>
        <v/>
      </c>
      <c r="G8" s="53" t="n"/>
      <c r="H8" s="58">
        <f>CONFIG_REFERENCIA!$E$7</f>
        <v/>
      </c>
      <c r="I8" s="54">
        <f>IF($A8="","",$F8+N($G8)*$H8)</f>
        <v/>
      </c>
      <c r="J8" s="54">
        <f>IF($A8="","",IF((COUNTIFS(RESULTADOS_GRID!$B:$B,$A8,RESULTADOS_GRID!$Y:$Y,"&gt;=0")+COUNTIFS(RESULTADOS_GRID!$B:$B,$A8,RESULTADOS_GRID!$Y:$Y,"&lt;0"))=0,"",SUMIF(RESULTADOS_GRID!$B:$B,$A8,RESULTADOS_GRID!$Y:$Y)/(COUNTIFS(RESULTADOS_GRID!$B:$B,$A8,RESULTADOS_GRID!$Y:$Y,"&gt;=0")+COUNTIFS(RESULTADOS_GRID!$B:$B,$A8,RESULTADOS_GRID!$Y:$Y,"&lt;0"))))</f>
        <v/>
      </c>
      <c r="K8" s="54">
        <f>IF($A8="","",IF((COUNTIFS(RESULTADOS_GRID!$B:$B,$A8,RESULTADOS_GRID!$Z:$Z,"&gt;=0")+COUNTIFS(RESULTADOS_GRID!$B:$B,$A8,RESULTADOS_GRID!$Z:$Z,"&lt;0"))=0,"",SUMIF(RESULTADOS_GRID!$B:$B,$A8,RESULTADOS_GRID!$Z:$Z)/(COUNTIFS(RESULTADOS_GRID!$B:$B,$A8,RESULTADOS_GRID!$Z:$Z,"&gt;=0")+COUNTIFS(RESULTADOS_GRID!$B:$B,$A8,RESULTADOS_GRID!$Z:$Z,"&lt;0"))))</f>
        <v/>
      </c>
      <c r="L8" s="51">
        <f>IF($A8="","",IF((COUNTIFS(RESULTADOS_GRID!$B:$B,$A8,RESULTADOS_GRID!$AA:$AA,"&gt;=0")+COUNTIFS(RESULTADOS_GRID!$B:$B,$A8,RESULTADOS_GRID!$AA:$AA,"&lt;0"))=0,"",SUMIF(RESULTADOS_GRID!$B:$B,$A8,RESULTADOS_GRID!$AA:$AA)/(COUNTIFS(RESULTADOS_GRID!$B:$B,$A8,RESULTADOS_GRID!$AA:$AA,"&gt;=0")+COUNTIFS(RESULTADOS_GRID!$B:$B,$A8,RESULTADOS_GRID!$AA:$AA,"&lt;0"))))</f>
        <v/>
      </c>
      <c r="M8" s="51">
        <f>IF($A8="","",IF((COUNTIFS(RESULTADOS_GRID!$B:$B,$A8,RESULTADOS_GRID!$AB:$AB,"&gt;=0")+COUNTIFS(RESULTADOS_GRID!$B:$B,$A8,RESULTADOS_GRID!$AB:$AB,"&lt;0"))=0,"",SUMIF(RESULTADOS_GRID!$B:$B,$A8,RESULTADOS_GRID!$AB:$AB)/(COUNTIFS(RESULTADOS_GRID!$B:$B,$A8,RESULTADOS_GRID!$AB:$AB,"&gt;=0")+COUNTIFS(RESULTADOS_GRID!$B:$B,$A8,RESULTADOS_GRID!$AB:$AB,"&lt;0"))))</f>
        <v/>
      </c>
      <c r="N8" s="49" t="n"/>
      <c r="O8" s="57">
        <f>IF($I8="","",COUNTIFS($I$2:$I$101,"&lt;"&amp;$I8)+1)</f>
        <v/>
      </c>
      <c r="P8" s="49" t="n"/>
      <c r="Q8" s="49" t="n"/>
      <c r="R8" s="49" t="n"/>
      <c r="S8" s="49" t="n"/>
      <c r="T8" s="49" t="n"/>
      <c r="U8" s="49" t="n"/>
      <c r="V8" s="49" t="n"/>
      <c r="W8" s="49" t="n"/>
    </row>
    <row r="9" ht="15" customHeight="1" s="27">
      <c r="A9" s="49" t="inlineStr">
        <is>
          <t>E8_v1</t>
        </is>
      </c>
      <c r="B9" s="57">
        <f>IF($A9="","",IFERROR(INDEX(RESULTADOS_GRID!$C:$C,MATCH($A9,RESULTADOS_GRID!$B:$B,0)),""))</f>
        <v/>
      </c>
      <c r="C9" s="57">
        <f>IF($A9="","",IFERROR(INDEX(RESULTADOS_GRID!$E:$E,MATCH($A9,RESULTADOS_GRID!$B:$B,0)),""))</f>
        <v/>
      </c>
      <c r="D9" s="57">
        <f>IF($A9="","",IFERROR(INDEX(RESULTADOS_GRID!$D:$D,MATCH($A9,RESULTADOS_GRID!$B:$B,0)),""))</f>
        <v/>
      </c>
      <c r="E9" s="57">
        <f>IF($A9="","",COUNTIF(RESULTADOS_GRID!$B:$B,$A9))</f>
        <v/>
      </c>
      <c r="F9" s="54">
        <f>IF($A9="","",SUMIF(RESULTADOS_GRID!$B:$B,$A9,RESULTADOS_GRID!$X:$X))</f>
        <v/>
      </c>
      <c r="G9" s="53" t="n"/>
      <c r="H9" s="58">
        <f>CONFIG_REFERENCIA!$E$7</f>
        <v/>
      </c>
      <c r="I9" s="54">
        <f>IF($A9="","",$F9+N($G9)*$H9)</f>
        <v/>
      </c>
      <c r="J9" s="54">
        <f>IF($A9="","",IF((COUNTIFS(RESULTADOS_GRID!$B:$B,$A9,RESULTADOS_GRID!$Y:$Y,"&gt;=0")+COUNTIFS(RESULTADOS_GRID!$B:$B,$A9,RESULTADOS_GRID!$Y:$Y,"&lt;0"))=0,"",SUMIF(RESULTADOS_GRID!$B:$B,$A9,RESULTADOS_GRID!$Y:$Y)/(COUNTIFS(RESULTADOS_GRID!$B:$B,$A9,RESULTADOS_GRID!$Y:$Y,"&gt;=0")+COUNTIFS(RESULTADOS_GRID!$B:$B,$A9,RESULTADOS_GRID!$Y:$Y,"&lt;0"))))</f>
        <v/>
      </c>
      <c r="K9" s="54">
        <f>IF($A9="","",IF((COUNTIFS(RESULTADOS_GRID!$B:$B,$A9,RESULTADOS_GRID!$Z:$Z,"&gt;=0")+COUNTIFS(RESULTADOS_GRID!$B:$B,$A9,RESULTADOS_GRID!$Z:$Z,"&lt;0"))=0,"",SUMIF(RESULTADOS_GRID!$B:$B,$A9,RESULTADOS_GRID!$Z:$Z)/(COUNTIFS(RESULTADOS_GRID!$B:$B,$A9,RESULTADOS_GRID!$Z:$Z,"&gt;=0")+COUNTIFS(RESULTADOS_GRID!$B:$B,$A9,RESULTADOS_GRID!$Z:$Z,"&lt;0"))))</f>
        <v/>
      </c>
      <c r="L9" s="51">
        <f>IF($A9="","",IF((COUNTIFS(RESULTADOS_GRID!$B:$B,$A9,RESULTADOS_GRID!$AA:$AA,"&gt;=0")+COUNTIFS(RESULTADOS_GRID!$B:$B,$A9,RESULTADOS_GRID!$AA:$AA,"&lt;0"))=0,"",SUMIF(RESULTADOS_GRID!$B:$B,$A9,RESULTADOS_GRID!$AA:$AA)/(COUNTIFS(RESULTADOS_GRID!$B:$B,$A9,RESULTADOS_GRID!$AA:$AA,"&gt;=0")+COUNTIFS(RESULTADOS_GRID!$B:$B,$A9,RESULTADOS_GRID!$AA:$AA,"&lt;0"))))</f>
        <v/>
      </c>
      <c r="M9" s="51">
        <f>IF($A9="","",IF((COUNTIFS(RESULTADOS_GRID!$B:$B,$A9,RESULTADOS_GRID!$AB:$AB,"&gt;=0")+COUNTIFS(RESULTADOS_GRID!$B:$B,$A9,RESULTADOS_GRID!$AB:$AB,"&lt;0"))=0,"",SUMIF(RESULTADOS_GRID!$B:$B,$A9,RESULTADOS_GRID!$AB:$AB)/(COUNTIFS(RESULTADOS_GRID!$B:$B,$A9,RESULTADOS_GRID!$AB:$AB,"&gt;=0")+COUNTIFS(RESULTADOS_GRID!$B:$B,$A9,RESULTADOS_GRID!$AB:$AB,"&lt;0"))))</f>
        <v/>
      </c>
      <c r="N9" s="49" t="n"/>
      <c r="O9" s="57">
        <f>IF($I9="","",COUNTIFS($I$2:$I$101,"&lt;"&amp;$I9)+1)</f>
        <v/>
      </c>
      <c r="P9" s="49" t="n"/>
      <c r="Q9" s="49" t="n"/>
      <c r="R9" s="49" t="n"/>
      <c r="S9" s="49" t="n"/>
      <c r="T9" s="49" t="n"/>
      <c r="U9" s="49" t="n"/>
      <c r="V9" s="49" t="n"/>
      <c r="W9" s="49" t="n"/>
    </row>
    <row r="10" ht="15" customHeight="1" s="27">
      <c r="A10" s="49" t="inlineStr">
        <is>
          <t>E9_v1</t>
        </is>
      </c>
      <c r="B10" s="57">
        <f>IF($A10="","",IFERROR(INDEX(RESULTADOS_GRID!$C:$C,MATCH($A10,RESULTADOS_GRID!$B:$B,0)),""))</f>
        <v/>
      </c>
      <c r="C10" s="57">
        <f>IF($A10="","",IFERROR(INDEX(RESULTADOS_GRID!$E:$E,MATCH($A10,RESULTADOS_GRID!$B:$B,0)),""))</f>
        <v/>
      </c>
      <c r="D10" s="57">
        <f>IF($A10="","",IFERROR(INDEX(RESULTADOS_GRID!$D:$D,MATCH($A10,RESULTADOS_GRID!$B:$B,0)),""))</f>
        <v/>
      </c>
      <c r="E10" s="57">
        <f>IF($A10="","",COUNTIF(RESULTADOS_GRID!$B:$B,$A10))</f>
        <v/>
      </c>
      <c r="F10" s="54">
        <f>IF($A10="","",SUMIF(RESULTADOS_GRID!$B:$B,$A10,RESULTADOS_GRID!$X:$X))</f>
        <v/>
      </c>
      <c r="G10" s="53" t="n"/>
      <c r="H10" s="58">
        <f>CONFIG_REFERENCIA!$E$7</f>
        <v/>
      </c>
      <c r="I10" s="54">
        <f>IF($A10="","",$F10+N($G10)*$H10)</f>
        <v/>
      </c>
      <c r="J10" s="54">
        <f>IF($A10="","",IF((COUNTIFS(RESULTADOS_GRID!$B:$B,$A10,RESULTADOS_GRID!$Y:$Y,"&gt;=0")+COUNTIFS(RESULTADOS_GRID!$B:$B,$A10,RESULTADOS_GRID!$Y:$Y,"&lt;0"))=0,"",SUMIF(RESULTADOS_GRID!$B:$B,$A10,RESULTADOS_GRID!$Y:$Y)/(COUNTIFS(RESULTADOS_GRID!$B:$B,$A10,RESULTADOS_GRID!$Y:$Y,"&gt;=0")+COUNTIFS(RESULTADOS_GRID!$B:$B,$A10,RESULTADOS_GRID!$Y:$Y,"&lt;0"))))</f>
        <v/>
      </c>
      <c r="K10" s="54">
        <f>IF($A10="","",IF((COUNTIFS(RESULTADOS_GRID!$B:$B,$A10,RESULTADOS_GRID!$Z:$Z,"&gt;=0")+COUNTIFS(RESULTADOS_GRID!$B:$B,$A10,RESULTADOS_GRID!$Z:$Z,"&lt;0"))=0,"",SUMIF(RESULTADOS_GRID!$B:$B,$A10,RESULTADOS_GRID!$Z:$Z)/(COUNTIFS(RESULTADOS_GRID!$B:$B,$A10,RESULTADOS_GRID!$Z:$Z,"&gt;=0")+COUNTIFS(RESULTADOS_GRID!$B:$B,$A10,RESULTADOS_GRID!$Z:$Z,"&lt;0"))))</f>
        <v/>
      </c>
      <c r="L10" s="51">
        <f>IF($A10="","",IF((COUNTIFS(RESULTADOS_GRID!$B:$B,$A10,RESULTADOS_GRID!$AA:$AA,"&gt;=0")+COUNTIFS(RESULTADOS_GRID!$B:$B,$A10,RESULTADOS_GRID!$AA:$AA,"&lt;0"))=0,"",SUMIF(RESULTADOS_GRID!$B:$B,$A10,RESULTADOS_GRID!$AA:$AA)/(COUNTIFS(RESULTADOS_GRID!$B:$B,$A10,RESULTADOS_GRID!$AA:$AA,"&gt;=0")+COUNTIFS(RESULTADOS_GRID!$B:$B,$A10,RESULTADOS_GRID!$AA:$AA,"&lt;0"))))</f>
        <v/>
      </c>
      <c r="M10" s="51">
        <f>IF($A10="","",IF((COUNTIFS(RESULTADOS_GRID!$B:$B,$A10,RESULTADOS_GRID!$AB:$AB,"&gt;=0")+COUNTIFS(RESULTADOS_GRID!$B:$B,$A10,RESULTADOS_GRID!$AB:$AB,"&lt;0"))=0,"",SUMIF(RESULTADOS_GRID!$B:$B,$A10,RESULTADOS_GRID!$AB:$AB)/(COUNTIFS(RESULTADOS_GRID!$B:$B,$A10,RESULTADOS_GRID!$AB:$AB,"&gt;=0")+COUNTIFS(RESULTADOS_GRID!$B:$B,$A10,RESULTADOS_GRID!$AB:$AB,"&lt;0"))))</f>
        <v/>
      </c>
      <c r="N10" s="49" t="n"/>
      <c r="O10" s="57">
        <f>IF($I10="","",COUNTIFS($I$2:$I$101,"&lt;"&amp;$I10)+1)</f>
        <v/>
      </c>
      <c r="P10" s="49" t="n"/>
      <c r="Q10" s="49" t="n"/>
      <c r="R10" s="49" t="n"/>
      <c r="S10" s="49" t="n"/>
      <c r="T10" s="49" t="n"/>
      <c r="U10" s="49" t="n"/>
      <c r="V10" s="49" t="n"/>
      <c r="W10" s="49" t="n"/>
    </row>
    <row r="11" ht="26.5" customHeight="1" s="27">
      <c r="A11" s="49" t="inlineStr">
        <is>
          <t>E10_v1</t>
        </is>
      </c>
      <c r="B11" s="57">
        <f>IF($A11="","",IFERROR(INDEX(RESULTADOS_GRID!$C:$C,MATCH($A11,RESULTADOS_GRID!$B:$B,0)),""))</f>
        <v/>
      </c>
      <c r="C11" s="57">
        <f>IF($A11="","",IFERROR(INDEX(RESULTADOS_GRID!$E:$E,MATCH($A11,RESULTADOS_GRID!$B:$B,0)),""))</f>
        <v/>
      </c>
      <c r="D11" s="57">
        <f>IF($A11="","",IFERROR(INDEX(RESULTADOS_GRID!$D:$D,MATCH($A11,RESULTADOS_GRID!$B:$B,0)),""))</f>
        <v/>
      </c>
      <c r="E11" s="57">
        <f>IF($A11="","",COUNTIF(RESULTADOS_GRID!$B:$B,$A11))</f>
        <v/>
      </c>
      <c r="F11" s="54">
        <f>IF($A11="","",SUMIF(RESULTADOS_GRID!$B:$B,$A11,RESULTADOS_GRID!$X:$X))</f>
        <v/>
      </c>
      <c r="G11" s="53" t="n"/>
      <c r="H11" s="58">
        <f>CONFIG_REFERENCIA!$E$7</f>
        <v/>
      </c>
      <c r="I11" s="54">
        <f>IF($A11="","",$F11+N($G11)*$H11)</f>
        <v/>
      </c>
      <c r="J11" s="54">
        <f>IF($A11="","",IF((COUNTIFS(RESULTADOS_GRID!$B:$B,$A11,RESULTADOS_GRID!$Y:$Y,"&gt;=0")+COUNTIFS(RESULTADOS_GRID!$B:$B,$A11,RESULTADOS_GRID!$Y:$Y,"&lt;0"))=0,"",SUMIF(RESULTADOS_GRID!$B:$B,$A11,RESULTADOS_GRID!$Y:$Y)/(COUNTIFS(RESULTADOS_GRID!$B:$B,$A11,RESULTADOS_GRID!$Y:$Y,"&gt;=0")+COUNTIFS(RESULTADOS_GRID!$B:$B,$A11,RESULTADOS_GRID!$Y:$Y,"&lt;0"))))</f>
        <v/>
      </c>
      <c r="K11" s="54">
        <f>IF($A11="","",IF((COUNTIFS(RESULTADOS_GRID!$B:$B,$A11,RESULTADOS_GRID!$Z:$Z,"&gt;=0")+COUNTIFS(RESULTADOS_GRID!$B:$B,$A11,RESULTADOS_GRID!$Z:$Z,"&lt;0"))=0,"",SUMIF(RESULTADOS_GRID!$B:$B,$A11,RESULTADOS_GRID!$Z:$Z)/(COUNTIFS(RESULTADOS_GRID!$B:$B,$A11,RESULTADOS_GRID!$Z:$Z,"&gt;=0")+COUNTIFS(RESULTADOS_GRID!$B:$B,$A11,RESULTADOS_GRID!$Z:$Z,"&lt;0"))))</f>
        <v/>
      </c>
      <c r="L11" s="51">
        <f>IF($A11="","",IF((COUNTIFS(RESULTADOS_GRID!$B:$B,$A11,RESULTADOS_GRID!$AA:$AA,"&gt;=0")+COUNTIFS(RESULTADOS_GRID!$B:$B,$A11,RESULTADOS_GRID!$AA:$AA,"&lt;0"))=0,"",SUMIF(RESULTADOS_GRID!$B:$B,$A11,RESULTADOS_GRID!$AA:$AA)/(COUNTIFS(RESULTADOS_GRID!$B:$B,$A11,RESULTADOS_GRID!$AA:$AA,"&gt;=0")+COUNTIFS(RESULTADOS_GRID!$B:$B,$A11,RESULTADOS_GRID!$AA:$AA,"&lt;0"))))</f>
        <v/>
      </c>
      <c r="M11" s="51">
        <f>IF($A11="","",IF((COUNTIFS(RESULTADOS_GRID!$B:$B,$A11,RESULTADOS_GRID!$AB:$AB,"&gt;=0")+COUNTIFS(RESULTADOS_GRID!$B:$B,$A11,RESULTADOS_GRID!$AB:$AB,"&lt;0"))=0,"",SUMIF(RESULTADOS_GRID!$B:$B,$A11,RESULTADOS_GRID!$AB:$AB)/(COUNTIFS(RESULTADOS_GRID!$B:$B,$A11,RESULTADOS_GRID!$AB:$AB,"&gt;=0")+COUNTIFS(RESULTADOS_GRID!$B:$B,$A11,RESULTADOS_GRID!$AB:$AB,"&lt;0"))))</f>
        <v/>
      </c>
      <c r="N11" s="49" t="n"/>
      <c r="O11" s="57">
        <f>IF($I11="","",COUNTIFS($I$2:$I$101,"&lt;"&amp;$I11)+1)</f>
        <v/>
      </c>
      <c r="P11" s="49" t="n"/>
      <c r="Q11" s="49" t="n"/>
      <c r="R11" s="49" t="n"/>
      <c r="S11" s="49" t="n"/>
      <c r="T11" s="49" t="n"/>
      <c r="U11" s="49" t="n"/>
      <c r="V11" s="49" t="n"/>
      <c r="W11" s="49" t="n"/>
    </row>
    <row r="12" ht="15" customHeight="1" s="27">
      <c r="A12" s="49" t="n"/>
      <c r="B12" s="57">
        <f>IF($A12="","",IFERROR(INDEX(RESULTADOS_GRID!$C:$C,MATCH($A12,RESULTADOS_GRID!$B:$B,0)),""))</f>
        <v/>
      </c>
      <c r="C12" s="57">
        <f>IF($A12="","",IFERROR(INDEX(RESULTADOS_GRID!$E:$E,MATCH($A12,RESULTADOS_GRID!$B:$B,0)),""))</f>
        <v/>
      </c>
      <c r="D12" s="57">
        <f>IF($A12="","",IFERROR(INDEX(RESULTADOS_GRID!$D:$D,MATCH($A12,RESULTADOS_GRID!$B:$B,0)),""))</f>
        <v/>
      </c>
      <c r="E12" s="57">
        <f>IF($A12="","",COUNTIF(RESULTADOS_GRID!$B:$B,$A12))</f>
        <v/>
      </c>
      <c r="F12" s="54">
        <f>IF($A12="","",SUMIF(RESULTADOS_GRID!$B:$B,$A12,RESULTADOS_GRID!$X:$X))</f>
        <v/>
      </c>
      <c r="G12" s="53" t="n"/>
      <c r="H12" s="58">
        <f>CONFIG_REFERENCIA!$E$7</f>
        <v/>
      </c>
      <c r="I12" s="54">
        <f>IF($A12="","",$F12+N($G12)*$H12)</f>
        <v/>
      </c>
      <c r="J12" s="54">
        <f>IF($A12="","",IF((COUNTIFS(RESULTADOS_GRID!$B:$B,$A12,RESULTADOS_GRID!$Y:$Y,"&gt;=0")+COUNTIFS(RESULTADOS_GRID!$B:$B,$A12,RESULTADOS_GRID!$Y:$Y,"&lt;0"))=0,"",SUMIF(RESULTADOS_GRID!$B:$B,$A12,RESULTADOS_GRID!$Y:$Y)/(COUNTIFS(RESULTADOS_GRID!$B:$B,$A12,RESULTADOS_GRID!$Y:$Y,"&gt;=0")+COUNTIFS(RESULTADOS_GRID!$B:$B,$A12,RESULTADOS_GRID!$Y:$Y,"&lt;0"))))</f>
        <v/>
      </c>
      <c r="K12" s="54">
        <f>IF($A12="","",IF((COUNTIFS(RESULTADOS_GRID!$B:$B,$A12,RESULTADOS_GRID!$Z:$Z,"&gt;=0")+COUNTIFS(RESULTADOS_GRID!$B:$B,$A12,RESULTADOS_GRID!$Z:$Z,"&lt;0"))=0,"",SUMIF(RESULTADOS_GRID!$B:$B,$A12,RESULTADOS_GRID!$Z:$Z)/(COUNTIFS(RESULTADOS_GRID!$B:$B,$A12,RESULTADOS_GRID!$Z:$Z,"&gt;=0")+COUNTIFS(RESULTADOS_GRID!$B:$B,$A12,RESULTADOS_GRID!$Z:$Z,"&lt;0"))))</f>
        <v/>
      </c>
      <c r="L12" s="51">
        <f>IF($A12="","",IF((COUNTIFS(RESULTADOS_GRID!$B:$B,$A12,RESULTADOS_GRID!$AA:$AA,"&gt;=0")+COUNTIFS(RESULTADOS_GRID!$B:$B,$A12,RESULTADOS_GRID!$AA:$AA,"&lt;0"))=0,"",SUMIF(RESULTADOS_GRID!$B:$B,$A12,RESULTADOS_GRID!$AA:$AA)/(COUNTIFS(RESULTADOS_GRID!$B:$B,$A12,RESULTADOS_GRID!$AA:$AA,"&gt;=0")+COUNTIFS(RESULTADOS_GRID!$B:$B,$A12,RESULTADOS_GRID!$AA:$AA,"&lt;0"))))</f>
        <v/>
      </c>
      <c r="M12" s="51">
        <f>IF($A12="","",IF((COUNTIFS(RESULTADOS_GRID!$B:$B,$A12,RESULTADOS_GRID!$AB:$AB,"&gt;=0")+COUNTIFS(RESULTADOS_GRID!$B:$B,$A12,RESULTADOS_GRID!$AB:$AB,"&lt;0"))=0,"",SUMIF(RESULTADOS_GRID!$B:$B,$A12,RESULTADOS_GRID!$AB:$AB)/(COUNTIFS(RESULTADOS_GRID!$B:$B,$A12,RESULTADOS_GRID!$AB:$AB,"&gt;=0")+COUNTIFS(RESULTADOS_GRID!$B:$B,$A12,RESULTADOS_GRID!$AB:$AB,"&lt;0"))))</f>
        <v/>
      </c>
      <c r="N12" s="49" t="n"/>
      <c r="O12" s="57">
        <f>IF($I12="","",COUNTIFS($I$2:$I$101,"&lt;"&amp;$I12)+1)</f>
        <v/>
      </c>
      <c r="P12" s="49" t="n"/>
      <c r="Q12" s="49" t="n"/>
      <c r="R12" s="49" t="n"/>
      <c r="S12" s="49" t="n"/>
      <c r="T12" s="49" t="n"/>
      <c r="U12" s="49" t="n"/>
      <c r="V12" s="49" t="n"/>
      <c r="W12" s="49" t="n"/>
    </row>
    <row r="13" ht="15" customHeight="1" s="27">
      <c r="A13" s="49" t="n"/>
      <c r="B13" s="57">
        <f>IF($A13="","",IFERROR(INDEX(RESULTADOS_GRID!$C:$C,MATCH($A13,RESULTADOS_GRID!$B:$B,0)),""))</f>
        <v/>
      </c>
      <c r="C13" s="57">
        <f>IF($A13="","",IFERROR(INDEX(RESULTADOS_GRID!$E:$E,MATCH($A13,RESULTADOS_GRID!$B:$B,0)),""))</f>
        <v/>
      </c>
      <c r="D13" s="57">
        <f>IF($A13="","",IFERROR(INDEX(RESULTADOS_GRID!$D:$D,MATCH($A13,RESULTADOS_GRID!$B:$B,0)),""))</f>
        <v/>
      </c>
      <c r="E13" s="57">
        <f>IF($A13="","",COUNTIF(RESULTADOS_GRID!$B:$B,$A13))</f>
        <v/>
      </c>
      <c r="F13" s="54">
        <f>IF($A13="","",SUMIF(RESULTADOS_GRID!$B:$B,$A13,RESULTADOS_GRID!$X:$X))</f>
        <v/>
      </c>
      <c r="G13" s="53" t="n"/>
      <c r="H13" s="58">
        <f>CONFIG_REFERENCIA!$E$7</f>
        <v/>
      </c>
      <c r="I13" s="54">
        <f>IF($A13="","",$F13+N($G13)*$H13)</f>
        <v/>
      </c>
      <c r="J13" s="54">
        <f>IF($A13="","",IF((COUNTIFS(RESULTADOS_GRID!$B:$B,$A13,RESULTADOS_GRID!$Y:$Y,"&gt;=0")+COUNTIFS(RESULTADOS_GRID!$B:$B,$A13,RESULTADOS_GRID!$Y:$Y,"&lt;0"))=0,"",SUMIF(RESULTADOS_GRID!$B:$B,$A13,RESULTADOS_GRID!$Y:$Y)/(COUNTIFS(RESULTADOS_GRID!$B:$B,$A13,RESULTADOS_GRID!$Y:$Y,"&gt;=0")+COUNTIFS(RESULTADOS_GRID!$B:$B,$A13,RESULTADOS_GRID!$Y:$Y,"&lt;0"))))</f>
        <v/>
      </c>
      <c r="K13" s="54">
        <f>IF($A13="","",IF((COUNTIFS(RESULTADOS_GRID!$B:$B,$A13,RESULTADOS_GRID!$Z:$Z,"&gt;=0")+COUNTIFS(RESULTADOS_GRID!$B:$B,$A13,RESULTADOS_GRID!$Z:$Z,"&lt;0"))=0,"",SUMIF(RESULTADOS_GRID!$B:$B,$A13,RESULTADOS_GRID!$Z:$Z)/(COUNTIFS(RESULTADOS_GRID!$B:$B,$A13,RESULTADOS_GRID!$Z:$Z,"&gt;=0")+COUNTIFS(RESULTADOS_GRID!$B:$B,$A13,RESULTADOS_GRID!$Z:$Z,"&lt;0"))))</f>
        <v/>
      </c>
      <c r="L13" s="51">
        <f>IF($A13="","",IF((COUNTIFS(RESULTADOS_GRID!$B:$B,$A13,RESULTADOS_GRID!$AA:$AA,"&gt;=0")+COUNTIFS(RESULTADOS_GRID!$B:$B,$A13,RESULTADOS_GRID!$AA:$AA,"&lt;0"))=0,"",SUMIF(RESULTADOS_GRID!$B:$B,$A13,RESULTADOS_GRID!$AA:$AA)/(COUNTIFS(RESULTADOS_GRID!$B:$B,$A13,RESULTADOS_GRID!$AA:$AA,"&gt;=0")+COUNTIFS(RESULTADOS_GRID!$B:$B,$A13,RESULTADOS_GRID!$AA:$AA,"&lt;0"))))</f>
        <v/>
      </c>
      <c r="M13" s="51">
        <f>IF($A13="","",IF((COUNTIFS(RESULTADOS_GRID!$B:$B,$A13,RESULTADOS_GRID!$AB:$AB,"&gt;=0")+COUNTIFS(RESULTADOS_GRID!$B:$B,$A13,RESULTADOS_GRID!$AB:$AB,"&lt;0"))=0,"",SUMIF(RESULTADOS_GRID!$B:$B,$A13,RESULTADOS_GRID!$AB:$AB)/(COUNTIFS(RESULTADOS_GRID!$B:$B,$A13,RESULTADOS_GRID!$AB:$AB,"&gt;=0")+COUNTIFS(RESULTADOS_GRID!$B:$B,$A13,RESULTADOS_GRID!$AB:$AB,"&lt;0"))))</f>
        <v/>
      </c>
      <c r="N13" s="49" t="n"/>
      <c r="O13" s="57">
        <f>IF($I13="","",COUNTIFS($I$2:$I$101,"&lt;"&amp;$I13)+1)</f>
        <v/>
      </c>
      <c r="P13" s="49" t="n"/>
      <c r="Q13" s="49" t="n"/>
      <c r="R13" s="49" t="n"/>
      <c r="S13" s="49" t="n"/>
      <c r="T13" s="49" t="n"/>
      <c r="U13" s="49" t="n"/>
      <c r="V13" s="49" t="n"/>
      <c r="W13" s="49" t="n"/>
    </row>
    <row r="14" ht="15" customHeight="1" s="27">
      <c r="A14" s="49" t="n"/>
      <c r="B14" s="57">
        <f>IF($A14="","",IFERROR(INDEX(RESULTADOS_GRID!$C:$C,MATCH($A14,RESULTADOS_GRID!$B:$B,0)),""))</f>
        <v/>
      </c>
      <c r="C14" s="57">
        <f>IF($A14="","",IFERROR(INDEX(RESULTADOS_GRID!$E:$E,MATCH($A14,RESULTADOS_GRID!$B:$B,0)),""))</f>
        <v/>
      </c>
      <c r="D14" s="57">
        <f>IF($A14="","",IFERROR(INDEX(RESULTADOS_GRID!$D:$D,MATCH($A14,RESULTADOS_GRID!$B:$B,0)),""))</f>
        <v/>
      </c>
      <c r="E14" s="57">
        <f>IF($A14="","",COUNTIF(RESULTADOS_GRID!$B:$B,$A14))</f>
        <v/>
      </c>
      <c r="F14" s="54">
        <f>IF($A14="","",SUMIF(RESULTADOS_GRID!$B:$B,$A14,RESULTADOS_GRID!$X:$X))</f>
        <v/>
      </c>
      <c r="G14" s="53" t="n"/>
      <c r="H14" s="58">
        <f>CONFIG_REFERENCIA!$E$7</f>
        <v/>
      </c>
      <c r="I14" s="54">
        <f>IF($A14="","",$F14+N($G14)*$H14)</f>
        <v/>
      </c>
      <c r="J14" s="54">
        <f>IF($A14="","",IF((COUNTIFS(RESULTADOS_GRID!$B:$B,$A14,RESULTADOS_GRID!$Y:$Y,"&gt;=0")+COUNTIFS(RESULTADOS_GRID!$B:$B,$A14,RESULTADOS_GRID!$Y:$Y,"&lt;0"))=0,"",SUMIF(RESULTADOS_GRID!$B:$B,$A14,RESULTADOS_GRID!$Y:$Y)/(COUNTIFS(RESULTADOS_GRID!$B:$B,$A14,RESULTADOS_GRID!$Y:$Y,"&gt;=0")+COUNTIFS(RESULTADOS_GRID!$B:$B,$A14,RESULTADOS_GRID!$Y:$Y,"&lt;0"))))</f>
        <v/>
      </c>
      <c r="K14" s="54">
        <f>IF($A14="","",IF((COUNTIFS(RESULTADOS_GRID!$B:$B,$A14,RESULTADOS_GRID!$Z:$Z,"&gt;=0")+COUNTIFS(RESULTADOS_GRID!$B:$B,$A14,RESULTADOS_GRID!$Z:$Z,"&lt;0"))=0,"",SUMIF(RESULTADOS_GRID!$B:$B,$A14,RESULTADOS_GRID!$Z:$Z)/(COUNTIFS(RESULTADOS_GRID!$B:$B,$A14,RESULTADOS_GRID!$Z:$Z,"&gt;=0")+COUNTIFS(RESULTADOS_GRID!$B:$B,$A14,RESULTADOS_GRID!$Z:$Z,"&lt;0"))))</f>
        <v/>
      </c>
      <c r="L14" s="51">
        <f>IF($A14="","",IF((COUNTIFS(RESULTADOS_GRID!$B:$B,$A14,RESULTADOS_GRID!$AA:$AA,"&gt;=0")+COUNTIFS(RESULTADOS_GRID!$B:$B,$A14,RESULTADOS_GRID!$AA:$AA,"&lt;0"))=0,"",SUMIF(RESULTADOS_GRID!$B:$B,$A14,RESULTADOS_GRID!$AA:$AA)/(COUNTIFS(RESULTADOS_GRID!$B:$B,$A14,RESULTADOS_GRID!$AA:$AA,"&gt;=0")+COUNTIFS(RESULTADOS_GRID!$B:$B,$A14,RESULTADOS_GRID!$AA:$AA,"&lt;0"))))</f>
        <v/>
      </c>
      <c r="M14" s="51">
        <f>IF($A14="","",IF((COUNTIFS(RESULTADOS_GRID!$B:$B,$A14,RESULTADOS_GRID!$AB:$AB,"&gt;=0")+COUNTIFS(RESULTADOS_GRID!$B:$B,$A14,RESULTADOS_GRID!$AB:$AB,"&lt;0"))=0,"",SUMIF(RESULTADOS_GRID!$B:$B,$A14,RESULTADOS_GRID!$AB:$AB)/(COUNTIFS(RESULTADOS_GRID!$B:$B,$A14,RESULTADOS_GRID!$AB:$AB,"&gt;=0")+COUNTIFS(RESULTADOS_GRID!$B:$B,$A14,RESULTADOS_GRID!$AB:$AB,"&lt;0"))))</f>
        <v/>
      </c>
      <c r="N14" s="49" t="n"/>
      <c r="O14" s="57">
        <f>IF($I14="","",COUNTIFS($I$2:$I$101,"&lt;"&amp;$I14)+1)</f>
        <v/>
      </c>
      <c r="P14" s="49" t="n"/>
      <c r="Q14" s="49" t="n"/>
      <c r="R14" s="49" t="n"/>
      <c r="S14" s="49" t="n"/>
      <c r="T14" s="49" t="n"/>
      <c r="U14" s="49" t="n"/>
      <c r="V14" s="49" t="n"/>
      <c r="W14" s="49" t="n"/>
    </row>
    <row r="15" ht="15" customHeight="1" s="27">
      <c r="A15" s="49" t="n"/>
      <c r="B15" s="57">
        <f>IF($A15="","",IFERROR(INDEX(RESULTADOS_GRID!$C:$C,MATCH($A15,RESULTADOS_GRID!$B:$B,0)),""))</f>
        <v/>
      </c>
      <c r="C15" s="57">
        <f>IF($A15="","",IFERROR(INDEX(RESULTADOS_GRID!$E:$E,MATCH($A15,RESULTADOS_GRID!$B:$B,0)),""))</f>
        <v/>
      </c>
      <c r="D15" s="57">
        <f>IF($A15="","",IFERROR(INDEX(RESULTADOS_GRID!$D:$D,MATCH($A15,RESULTADOS_GRID!$B:$B,0)),""))</f>
        <v/>
      </c>
      <c r="E15" s="57">
        <f>IF($A15="","",COUNTIF(RESULTADOS_GRID!$B:$B,$A15))</f>
        <v/>
      </c>
      <c r="F15" s="54">
        <f>IF($A15="","",SUMIF(RESULTADOS_GRID!$B:$B,$A15,RESULTADOS_GRID!$X:$X))</f>
        <v/>
      </c>
      <c r="G15" s="53" t="n"/>
      <c r="H15" s="58">
        <f>CONFIG_REFERENCIA!$E$7</f>
        <v/>
      </c>
      <c r="I15" s="54">
        <f>IF($A15="","",$F15+N($G15)*$H15)</f>
        <v/>
      </c>
      <c r="J15" s="54">
        <f>IF($A15="","",IF((COUNTIFS(RESULTADOS_GRID!$B:$B,$A15,RESULTADOS_GRID!$Y:$Y,"&gt;=0")+COUNTIFS(RESULTADOS_GRID!$B:$B,$A15,RESULTADOS_GRID!$Y:$Y,"&lt;0"))=0,"",SUMIF(RESULTADOS_GRID!$B:$B,$A15,RESULTADOS_GRID!$Y:$Y)/(COUNTIFS(RESULTADOS_GRID!$B:$B,$A15,RESULTADOS_GRID!$Y:$Y,"&gt;=0")+COUNTIFS(RESULTADOS_GRID!$B:$B,$A15,RESULTADOS_GRID!$Y:$Y,"&lt;0"))))</f>
        <v/>
      </c>
      <c r="K15" s="54">
        <f>IF($A15="","",IF((COUNTIFS(RESULTADOS_GRID!$B:$B,$A15,RESULTADOS_GRID!$Z:$Z,"&gt;=0")+COUNTIFS(RESULTADOS_GRID!$B:$B,$A15,RESULTADOS_GRID!$Z:$Z,"&lt;0"))=0,"",SUMIF(RESULTADOS_GRID!$B:$B,$A15,RESULTADOS_GRID!$Z:$Z)/(COUNTIFS(RESULTADOS_GRID!$B:$B,$A15,RESULTADOS_GRID!$Z:$Z,"&gt;=0")+COUNTIFS(RESULTADOS_GRID!$B:$B,$A15,RESULTADOS_GRID!$Z:$Z,"&lt;0"))))</f>
        <v/>
      </c>
      <c r="L15" s="51">
        <f>IF($A15="","",IF((COUNTIFS(RESULTADOS_GRID!$B:$B,$A15,RESULTADOS_GRID!$AA:$AA,"&gt;=0")+COUNTIFS(RESULTADOS_GRID!$B:$B,$A15,RESULTADOS_GRID!$AA:$AA,"&lt;0"))=0,"",SUMIF(RESULTADOS_GRID!$B:$B,$A15,RESULTADOS_GRID!$AA:$AA)/(COUNTIFS(RESULTADOS_GRID!$B:$B,$A15,RESULTADOS_GRID!$AA:$AA,"&gt;=0")+COUNTIFS(RESULTADOS_GRID!$B:$B,$A15,RESULTADOS_GRID!$AA:$AA,"&lt;0"))))</f>
        <v/>
      </c>
      <c r="M15" s="51">
        <f>IF($A15="","",IF((COUNTIFS(RESULTADOS_GRID!$B:$B,$A15,RESULTADOS_GRID!$AB:$AB,"&gt;=0")+COUNTIFS(RESULTADOS_GRID!$B:$B,$A15,RESULTADOS_GRID!$AB:$AB,"&lt;0"))=0,"",SUMIF(RESULTADOS_GRID!$B:$B,$A15,RESULTADOS_GRID!$AB:$AB)/(COUNTIFS(RESULTADOS_GRID!$B:$B,$A15,RESULTADOS_GRID!$AB:$AB,"&gt;=0")+COUNTIFS(RESULTADOS_GRID!$B:$B,$A15,RESULTADOS_GRID!$AB:$AB,"&lt;0"))))</f>
        <v/>
      </c>
      <c r="N15" s="49" t="n"/>
      <c r="O15" s="57">
        <f>IF($I15="","",COUNTIFS($I$2:$I$101,"&lt;"&amp;$I15)+1)</f>
        <v/>
      </c>
      <c r="P15" s="49" t="n"/>
      <c r="Q15" s="49" t="n"/>
      <c r="R15" s="49" t="n"/>
      <c r="S15" s="49" t="n"/>
      <c r="T15" s="49" t="n"/>
      <c r="U15" s="49" t="n"/>
      <c r="V15" s="49" t="n"/>
      <c r="W15" s="49" t="n"/>
    </row>
    <row r="16" ht="15" customHeight="1" s="27">
      <c r="A16" s="49" t="n"/>
      <c r="B16" s="57">
        <f>IF($A16="","",IFERROR(INDEX(RESULTADOS_GRID!$C:$C,MATCH($A16,RESULTADOS_GRID!$B:$B,0)),""))</f>
        <v/>
      </c>
      <c r="C16" s="57">
        <f>IF($A16="","",IFERROR(INDEX(RESULTADOS_GRID!$E:$E,MATCH($A16,RESULTADOS_GRID!$B:$B,0)),""))</f>
        <v/>
      </c>
      <c r="D16" s="57">
        <f>IF($A16="","",IFERROR(INDEX(RESULTADOS_GRID!$D:$D,MATCH($A16,RESULTADOS_GRID!$B:$B,0)),""))</f>
        <v/>
      </c>
      <c r="E16" s="57">
        <f>IF($A16="","",COUNTIF(RESULTADOS_GRID!$B:$B,$A16))</f>
        <v/>
      </c>
      <c r="F16" s="54">
        <f>IF($A16="","",SUMIF(RESULTADOS_GRID!$B:$B,$A16,RESULTADOS_GRID!$X:$X))</f>
        <v/>
      </c>
      <c r="G16" s="53" t="n"/>
      <c r="H16" s="58">
        <f>CONFIG_REFERENCIA!$E$7</f>
        <v/>
      </c>
      <c r="I16" s="54">
        <f>IF($A16="","",$F16+N($G16)*$H16)</f>
        <v/>
      </c>
      <c r="J16" s="54">
        <f>IF($A16="","",IF((COUNTIFS(RESULTADOS_GRID!$B:$B,$A16,RESULTADOS_GRID!$Y:$Y,"&gt;=0")+COUNTIFS(RESULTADOS_GRID!$B:$B,$A16,RESULTADOS_GRID!$Y:$Y,"&lt;0"))=0,"",SUMIF(RESULTADOS_GRID!$B:$B,$A16,RESULTADOS_GRID!$Y:$Y)/(COUNTIFS(RESULTADOS_GRID!$B:$B,$A16,RESULTADOS_GRID!$Y:$Y,"&gt;=0")+COUNTIFS(RESULTADOS_GRID!$B:$B,$A16,RESULTADOS_GRID!$Y:$Y,"&lt;0"))))</f>
        <v/>
      </c>
      <c r="K16" s="54">
        <f>IF($A16="","",IF((COUNTIFS(RESULTADOS_GRID!$B:$B,$A16,RESULTADOS_GRID!$Z:$Z,"&gt;=0")+COUNTIFS(RESULTADOS_GRID!$B:$B,$A16,RESULTADOS_GRID!$Z:$Z,"&lt;0"))=0,"",SUMIF(RESULTADOS_GRID!$B:$B,$A16,RESULTADOS_GRID!$Z:$Z)/(COUNTIFS(RESULTADOS_GRID!$B:$B,$A16,RESULTADOS_GRID!$Z:$Z,"&gt;=0")+COUNTIFS(RESULTADOS_GRID!$B:$B,$A16,RESULTADOS_GRID!$Z:$Z,"&lt;0"))))</f>
        <v/>
      </c>
      <c r="L16" s="51">
        <f>IF($A16="","",IF((COUNTIFS(RESULTADOS_GRID!$B:$B,$A16,RESULTADOS_GRID!$AA:$AA,"&gt;=0")+COUNTIFS(RESULTADOS_GRID!$B:$B,$A16,RESULTADOS_GRID!$AA:$AA,"&lt;0"))=0,"",SUMIF(RESULTADOS_GRID!$B:$B,$A16,RESULTADOS_GRID!$AA:$AA)/(COUNTIFS(RESULTADOS_GRID!$B:$B,$A16,RESULTADOS_GRID!$AA:$AA,"&gt;=0")+COUNTIFS(RESULTADOS_GRID!$B:$B,$A16,RESULTADOS_GRID!$AA:$AA,"&lt;0"))))</f>
        <v/>
      </c>
      <c r="M16" s="51">
        <f>IF($A16="","",IF((COUNTIFS(RESULTADOS_GRID!$B:$B,$A16,RESULTADOS_GRID!$AB:$AB,"&gt;=0")+COUNTIFS(RESULTADOS_GRID!$B:$B,$A16,RESULTADOS_GRID!$AB:$AB,"&lt;0"))=0,"",SUMIF(RESULTADOS_GRID!$B:$B,$A16,RESULTADOS_GRID!$AB:$AB)/(COUNTIFS(RESULTADOS_GRID!$B:$B,$A16,RESULTADOS_GRID!$AB:$AB,"&gt;=0")+COUNTIFS(RESULTADOS_GRID!$B:$B,$A16,RESULTADOS_GRID!$AB:$AB,"&lt;0"))))</f>
        <v/>
      </c>
      <c r="N16" s="49" t="n"/>
      <c r="O16" s="57">
        <f>IF($I16="","",COUNTIFS($I$2:$I$101,"&lt;"&amp;$I16)+1)</f>
        <v/>
      </c>
      <c r="P16" s="49" t="n"/>
      <c r="Q16" s="49" t="n"/>
      <c r="R16" s="49" t="n"/>
      <c r="S16" s="49" t="n"/>
      <c r="T16" s="49" t="n"/>
      <c r="U16" s="49" t="n"/>
      <c r="V16" s="49" t="n"/>
      <c r="W16" s="49" t="n"/>
    </row>
    <row r="17" ht="15" customHeight="1" s="27">
      <c r="A17" s="49" t="n"/>
      <c r="B17" s="57">
        <f>IF($A17="","",IFERROR(INDEX(RESULTADOS_GRID!$C:$C,MATCH($A17,RESULTADOS_GRID!$B:$B,0)),""))</f>
        <v/>
      </c>
      <c r="C17" s="57">
        <f>IF($A17="","",IFERROR(INDEX(RESULTADOS_GRID!$E:$E,MATCH($A17,RESULTADOS_GRID!$B:$B,0)),""))</f>
        <v/>
      </c>
      <c r="D17" s="57">
        <f>IF($A17="","",IFERROR(INDEX(RESULTADOS_GRID!$D:$D,MATCH($A17,RESULTADOS_GRID!$B:$B,0)),""))</f>
        <v/>
      </c>
      <c r="E17" s="57">
        <f>IF($A17="","",COUNTIF(RESULTADOS_GRID!$B:$B,$A17))</f>
        <v/>
      </c>
      <c r="F17" s="54">
        <f>IF($A17="","",SUMIF(RESULTADOS_GRID!$B:$B,$A17,RESULTADOS_GRID!$X:$X))</f>
        <v/>
      </c>
      <c r="G17" s="53" t="n"/>
      <c r="H17" s="58">
        <f>CONFIG_REFERENCIA!$E$7</f>
        <v/>
      </c>
      <c r="I17" s="54">
        <f>IF($A17="","",$F17+N($G17)*$H17)</f>
        <v/>
      </c>
      <c r="J17" s="54">
        <f>IF($A17="","",IF((COUNTIFS(RESULTADOS_GRID!$B:$B,$A17,RESULTADOS_GRID!$Y:$Y,"&gt;=0")+COUNTIFS(RESULTADOS_GRID!$B:$B,$A17,RESULTADOS_GRID!$Y:$Y,"&lt;0"))=0,"",SUMIF(RESULTADOS_GRID!$B:$B,$A17,RESULTADOS_GRID!$Y:$Y)/(COUNTIFS(RESULTADOS_GRID!$B:$B,$A17,RESULTADOS_GRID!$Y:$Y,"&gt;=0")+COUNTIFS(RESULTADOS_GRID!$B:$B,$A17,RESULTADOS_GRID!$Y:$Y,"&lt;0"))))</f>
        <v/>
      </c>
      <c r="K17" s="54">
        <f>IF($A17="","",IF((COUNTIFS(RESULTADOS_GRID!$B:$B,$A17,RESULTADOS_GRID!$Z:$Z,"&gt;=0")+COUNTIFS(RESULTADOS_GRID!$B:$B,$A17,RESULTADOS_GRID!$Z:$Z,"&lt;0"))=0,"",SUMIF(RESULTADOS_GRID!$B:$B,$A17,RESULTADOS_GRID!$Z:$Z)/(COUNTIFS(RESULTADOS_GRID!$B:$B,$A17,RESULTADOS_GRID!$Z:$Z,"&gt;=0")+COUNTIFS(RESULTADOS_GRID!$B:$B,$A17,RESULTADOS_GRID!$Z:$Z,"&lt;0"))))</f>
        <v/>
      </c>
      <c r="L17" s="51">
        <f>IF($A17="","",IF((COUNTIFS(RESULTADOS_GRID!$B:$B,$A17,RESULTADOS_GRID!$AA:$AA,"&gt;=0")+COUNTIFS(RESULTADOS_GRID!$B:$B,$A17,RESULTADOS_GRID!$AA:$AA,"&lt;0"))=0,"",SUMIF(RESULTADOS_GRID!$B:$B,$A17,RESULTADOS_GRID!$AA:$AA)/(COUNTIFS(RESULTADOS_GRID!$B:$B,$A17,RESULTADOS_GRID!$AA:$AA,"&gt;=0")+COUNTIFS(RESULTADOS_GRID!$B:$B,$A17,RESULTADOS_GRID!$AA:$AA,"&lt;0"))))</f>
        <v/>
      </c>
      <c r="M17" s="51">
        <f>IF($A17="","",IF((COUNTIFS(RESULTADOS_GRID!$B:$B,$A17,RESULTADOS_GRID!$AB:$AB,"&gt;=0")+COUNTIFS(RESULTADOS_GRID!$B:$B,$A17,RESULTADOS_GRID!$AB:$AB,"&lt;0"))=0,"",SUMIF(RESULTADOS_GRID!$B:$B,$A17,RESULTADOS_GRID!$AB:$AB)/(COUNTIFS(RESULTADOS_GRID!$B:$B,$A17,RESULTADOS_GRID!$AB:$AB,"&gt;=0")+COUNTIFS(RESULTADOS_GRID!$B:$B,$A17,RESULTADOS_GRID!$AB:$AB,"&lt;0"))))</f>
        <v/>
      </c>
      <c r="N17" s="49" t="n"/>
      <c r="O17" s="57">
        <f>IF($I17="","",COUNTIFS($I$2:$I$101,"&lt;"&amp;$I17)+1)</f>
        <v/>
      </c>
      <c r="P17" s="49" t="n"/>
      <c r="Q17" s="49" t="n"/>
      <c r="R17" s="49" t="n"/>
      <c r="S17" s="49" t="n"/>
      <c r="T17" s="49" t="n"/>
      <c r="U17" s="49" t="n"/>
      <c r="V17" s="49" t="n"/>
      <c r="W17" s="49" t="n"/>
    </row>
    <row r="18" ht="15" customHeight="1" s="27">
      <c r="A18" s="49" t="n"/>
      <c r="B18" s="57">
        <f>IF($A18="","",IFERROR(INDEX(RESULTADOS_GRID!$C:$C,MATCH($A18,RESULTADOS_GRID!$B:$B,0)),""))</f>
        <v/>
      </c>
      <c r="C18" s="57">
        <f>IF($A18="","",IFERROR(INDEX(RESULTADOS_GRID!$E:$E,MATCH($A18,RESULTADOS_GRID!$B:$B,0)),""))</f>
        <v/>
      </c>
      <c r="D18" s="57">
        <f>IF($A18="","",IFERROR(INDEX(RESULTADOS_GRID!$D:$D,MATCH($A18,RESULTADOS_GRID!$B:$B,0)),""))</f>
        <v/>
      </c>
      <c r="E18" s="57">
        <f>IF($A18="","",COUNTIF(RESULTADOS_GRID!$B:$B,$A18))</f>
        <v/>
      </c>
      <c r="F18" s="54">
        <f>IF($A18="","",SUMIF(RESULTADOS_GRID!$B:$B,$A18,RESULTADOS_GRID!$X:$X))</f>
        <v/>
      </c>
      <c r="G18" s="53" t="n"/>
      <c r="H18" s="58">
        <f>CONFIG_REFERENCIA!$E$7</f>
        <v/>
      </c>
      <c r="I18" s="54">
        <f>IF($A18="","",$F18+N($G18)*$H18)</f>
        <v/>
      </c>
      <c r="J18" s="54">
        <f>IF($A18="","",IF((COUNTIFS(RESULTADOS_GRID!$B:$B,$A18,RESULTADOS_GRID!$Y:$Y,"&gt;=0")+COUNTIFS(RESULTADOS_GRID!$B:$B,$A18,RESULTADOS_GRID!$Y:$Y,"&lt;0"))=0,"",SUMIF(RESULTADOS_GRID!$B:$B,$A18,RESULTADOS_GRID!$Y:$Y)/(COUNTIFS(RESULTADOS_GRID!$B:$B,$A18,RESULTADOS_GRID!$Y:$Y,"&gt;=0")+COUNTIFS(RESULTADOS_GRID!$B:$B,$A18,RESULTADOS_GRID!$Y:$Y,"&lt;0"))))</f>
        <v/>
      </c>
      <c r="K18" s="54">
        <f>IF($A18="","",IF((COUNTIFS(RESULTADOS_GRID!$B:$B,$A18,RESULTADOS_GRID!$Z:$Z,"&gt;=0")+COUNTIFS(RESULTADOS_GRID!$B:$B,$A18,RESULTADOS_GRID!$Z:$Z,"&lt;0"))=0,"",SUMIF(RESULTADOS_GRID!$B:$B,$A18,RESULTADOS_GRID!$Z:$Z)/(COUNTIFS(RESULTADOS_GRID!$B:$B,$A18,RESULTADOS_GRID!$Z:$Z,"&gt;=0")+COUNTIFS(RESULTADOS_GRID!$B:$B,$A18,RESULTADOS_GRID!$Z:$Z,"&lt;0"))))</f>
        <v/>
      </c>
      <c r="L18" s="51">
        <f>IF($A18="","",IF((COUNTIFS(RESULTADOS_GRID!$B:$B,$A18,RESULTADOS_GRID!$AA:$AA,"&gt;=0")+COUNTIFS(RESULTADOS_GRID!$B:$B,$A18,RESULTADOS_GRID!$AA:$AA,"&lt;0"))=0,"",SUMIF(RESULTADOS_GRID!$B:$B,$A18,RESULTADOS_GRID!$AA:$AA)/(COUNTIFS(RESULTADOS_GRID!$B:$B,$A18,RESULTADOS_GRID!$AA:$AA,"&gt;=0")+COUNTIFS(RESULTADOS_GRID!$B:$B,$A18,RESULTADOS_GRID!$AA:$AA,"&lt;0"))))</f>
        <v/>
      </c>
      <c r="M18" s="51">
        <f>IF($A18="","",IF((COUNTIFS(RESULTADOS_GRID!$B:$B,$A18,RESULTADOS_GRID!$AB:$AB,"&gt;=0")+COUNTIFS(RESULTADOS_GRID!$B:$B,$A18,RESULTADOS_GRID!$AB:$AB,"&lt;0"))=0,"",SUMIF(RESULTADOS_GRID!$B:$B,$A18,RESULTADOS_GRID!$AB:$AB)/(COUNTIFS(RESULTADOS_GRID!$B:$B,$A18,RESULTADOS_GRID!$AB:$AB,"&gt;=0")+COUNTIFS(RESULTADOS_GRID!$B:$B,$A18,RESULTADOS_GRID!$AB:$AB,"&lt;0"))))</f>
        <v/>
      </c>
      <c r="N18" s="49" t="n"/>
      <c r="O18" s="57">
        <f>IF($I18="","",COUNTIFS($I$2:$I$101,"&lt;"&amp;$I18)+1)</f>
        <v/>
      </c>
      <c r="P18" s="49" t="n"/>
      <c r="Q18" s="49" t="n"/>
      <c r="R18" s="49" t="n"/>
      <c r="S18" s="49" t="n"/>
      <c r="T18" s="49" t="n"/>
      <c r="U18" s="49" t="n"/>
      <c r="V18" s="49" t="n"/>
      <c r="W18" s="49" t="n"/>
    </row>
    <row r="19" ht="15" customHeight="1" s="27">
      <c r="A19" s="49" t="n"/>
      <c r="B19" s="57">
        <f>IF($A19="","",IFERROR(INDEX(RESULTADOS_GRID!$C:$C,MATCH($A19,RESULTADOS_GRID!$B:$B,0)),""))</f>
        <v/>
      </c>
      <c r="C19" s="57">
        <f>IF($A19="","",IFERROR(INDEX(RESULTADOS_GRID!$E:$E,MATCH($A19,RESULTADOS_GRID!$B:$B,0)),""))</f>
        <v/>
      </c>
      <c r="D19" s="57">
        <f>IF($A19="","",IFERROR(INDEX(RESULTADOS_GRID!$D:$D,MATCH($A19,RESULTADOS_GRID!$B:$B,0)),""))</f>
        <v/>
      </c>
      <c r="E19" s="57">
        <f>IF($A19="","",COUNTIF(RESULTADOS_GRID!$B:$B,$A19))</f>
        <v/>
      </c>
      <c r="F19" s="54">
        <f>IF($A19="","",SUMIF(RESULTADOS_GRID!$B:$B,$A19,RESULTADOS_GRID!$X:$X))</f>
        <v/>
      </c>
      <c r="G19" s="53" t="n"/>
      <c r="H19" s="58">
        <f>CONFIG_REFERENCIA!$E$7</f>
        <v/>
      </c>
      <c r="I19" s="54">
        <f>IF($A19="","",$F19+N($G19)*$H19)</f>
        <v/>
      </c>
      <c r="J19" s="54">
        <f>IF($A19="","",IF((COUNTIFS(RESULTADOS_GRID!$B:$B,$A19,RESULTADOS_GRID!$Y:$Y,"&gt;=0")+COUNTIFS(RESULTADOS_GRID!$B:$B,$A19,RESULTADOS_GRID!$Y:$Y,"&lt;0"))=0,"",SUMIF(RESULTADOS_GRID!$B:$B,$A19,RESULTADOS_GRID!$Y:$Y)/(COUNTIFS(RESULTADOS_GRID!$B:$B,$A19,RESULTADOS_GRID!$Y:$Y,"&gt;=0")+COUNTIFS(RESULTADOS_GRID!$B:$B,$A19,RESULTADOS_GRID!$Y:$Y,"&lt;0"))))</f>
        <v/>
      </c>
      <c r="K19" s="54">
        <f>IF($A19="","",IF((COUNTIFS(RESULTADOS_GRID!$B:$B,$A19,RESULTADOS_GRID!$Z:$Z,"&gt;=0")+COUNTIFS(RESULTADOS_GRID!$B:$B,$A19,RESULTADOS_GRID!$Z:$Z,"&lt;0"))=0,"",SUMIF(RESULTADOS_GRID!$B:$B,$A19,RESULTADOS_GRID!$Z:$Z)/(COUNTIFS(RESULTADOS_GRID!$B:$B,$A19,RESULTADOS_GRID!$Z:$Z,"&gt;=0")+COUNTIFS(RESULTADOS_GRID!$B:$B,$A19,RESULTADOS_GRID!$Z:$Z,"&lt;0"))))</f>
        <v/>
      </c>
      <c r="L19" s="51">
        <f>IF($A19="","",IF((COUNTIFS(RESULTADOS_GRID!$B:$B,$A19,RESULTADOS_GRID!$AA:$AA,"&gt;=0")+COUNTIFS(RESULTADOS_GRID!$B:$B,$A19,RESULTADOS_GRID!$AA:$AA,"&lt;0"))=0,"",SUMIF(RESULTADOS_GRID!$B:$B,$A19,RESULTADOS_GRID!$AA:$AA)/(COUNTIFS(RESULTADOS_GRID!$B:$B,$A19,RESULTADOS_GRID!$AA:$AA,"&gt;=0")+COUNTIFS(RESULTADOS_GRID!$B:$B,$A19,RESULTADOS_GRID!$AA:$AA,"&lt;0"))))</f>
        <v/>
      </c>
      <c r="M19" s="51">
        <f>IF($A19="","",IF((COUNTIFS(RESULTADOS_GRID!$B:$B,$A19,RESULTADOS_GRID!$AB:$AB,"&gt;=0")+COUNTIFS(RESULTADOS_GRID!$B:$B,$A19,RESULTADOS_GRID!$AB:$AB,"&lt;0"))=0,"",SUMIF(RESULTADOS_GRID!$B:$B,$A19,RESULTADOS_GRID!$AB:$AB)/(COUNTIFS(RESULTADOS_GRID!$B:$B,$A19,RESULTADOS_GRID!$AB:$AB,"&gt;=0")+COUNTIFS(RESULTADOS_GRID!$B:$B,$A19,RESULTADOS_GRID!$AB:$AB,"&lt;0"))))</f>
        <v/>
      </c>
      <c r="N19" s="49" t="n"/>
      <c r="O19" s="57">
        <f>IF($I19="","",COUNTIFS($I$2:$I$101,"&lt;"&amp;$I19)+1)</f>
        <v/>
      </c>
      <c r="P19" s="49" t="n"/>
      <c r="Q19" s="49" t="n"/>
      <c r="R19" s="49" t="n"/>
      <c r="S19" s="49" t="n"/>
      <c r="T19" s="49" t="n"/>
      <c r="U19" s="49" t="n"/>
      <c r="V19" s="49" t="n"/>
      <c r="W19" s="49" t="n"/>
    </row>
    <row r="20" ht="15" customHeight="1" s="27">
      <c r="A20" s="49" t="n"/>
      <c r="B20" s="57">
        <f>IF($A20="","",IFERROR(INDEX(RESULTADOS_GRID!$C:$C,MATCH($A20,RESULTADOS_GRID!$B:$B,0)),""))</f>
        <v/>
      </c>
      <c r="C20" s="57">
        <f>IF($A20="","",IFERROR(INDEX(RESULTADOS_GRID!$E:$E,MATCH($A20,RESULTADOS_GRID!$B:$B,0)),""))</f>
        <v/>
      </c>
      <c r="D20" s="57">
        <f>IF($A20="","",IFERROR(INDEX(RESULTADOS_GRID!$D:$D,MATCH($A20,RESULTADOS_GRID!$B:$B,0)),""))</f>
        <v/>
      </c>
      <c r="E20" s="57">
        <f>IF($A20="","",COUNTIF(RESULTADOS_GRID!$B:$B,$A20))</f>
        <v/>
      </c>
      <c r="F20" s="54">
        <f>IF($A20="","",SUMIF(RESULTADOS_GRID!$B:$B,$A20,RESULTADOS_GRID!$X:$X))</f>
        <v/>
      </c>
      <c r="G20" s="53" t="n"/>
      <c r="H20" s="58">
        <f>CONFIG_REFERENCIA!$E$7</f>
        <v/>
      </c>
      <c r="I20" s="54">
        <f>IF($A20="","",$F20+N($G20)*$H20)</f>
        <v/>
      </c>
      <c r="J20" s="54">
        <f>IF($A20="","",IF((COUNTIFS(RESULTADOS_GRID!$B:$B,$A20,RESULTADOS_GRID!$Y:$Y,"&gt;=0")+COUNTIFS(RESULTADOS_GRID!$B:$B,$A20,RESULTADOS_GRID!$Y:$Y,"&lt;0"))=0,"",SUMIF(RESULTADOS_GRID!$B:$B,$A20,RESULTADOS_GRID!$Y:$Y)/(COUNTIFS(RESULTADOS_GRID!$B:$B,$A20,RESULTADOS_GRID!$Y:$Y,"&gt;=0")+COUNTIFS(RESULTADOS_GRID!$B:$B,$A20,RESULTADOS_GRID!$Y:$Y,"&lt;0"))))</f>
        <v/>
      </c>
      <c r="K20" s="54">
        <f>IF($A20="","",IF((COUNTIFS(RESULTADOS_GRID!$B:$B,$A20,RESULTADOS_GRID!$Z:$Z,"&gt;=0")+COUNTIFS(RESULTADOS_GRID!$B:$B,$A20,RESULTADOS_GRID!$Z:$Z,"&lt;0"))=0,"",SUMIF(RESULTADOS_GRID!$B:$B,$A20,RESULTADOS_GRID!$Z:$Z)/(COUNTIFS(RESULTADOS_GRID!$B:$B,$A20,RESULTADOS_GRID!$Z:$Z,"&gt;=0")+COUNTIFS(RESULTADOS_GRID!$B:$B,$A20,RESULTADOS_GRID!$Z:$Z,"&lt;0"))))</f>
        <v/>
      </c>
      <c r="L20" s="51">
        <f>IF($A20="","",IF((COUNTIFS(RESULTADOS_GRID!$B:$B,$A20,RESULTADOS_GRID!$AA:$AA,"&gt;=0")+COUNTIFS(RESULTADOS_GRID!$B:$B,$A20,RESULTADOS_GRID!$AA:$AA,"&lt;0"))=0,"",SUMIF(RESULTADOS_GRID!$B:$B,$A20,RESULTADOS_GRID!$AA:$AA)/(COUNTIFS(RESULTADOS_GRID!$B:$B,$A20,RESULTADOS_GRID!$AA:$AA,"&gt;=0")+COUNTIFS(RESULTADOS_GRID!$B:$B,$A20,RESULTADOS_GRID!$AA:$AA,"&lt;0"))))</f>
        <v/>
      </c>
      <c r="M20" s="51">
        <f>IF($A20="","",IF((COUNTIFS(RESULTADOS_GRID!$B:$B,$A20,RESULTADOS_GRID!$AB:$AB,"&gt;=0")+COUNTIFS(RESULTADOS_GRID!$B:$B,$A20,RESULTADOS_GRID!$AB:$AB,"&lt;0"))=0,"",SUMIF(RESULTADOS_GRID!$B:$B,$A20,RESULTADOS_GRID!$AB:$AB)/(COUNTIFS(RESULTADOS_GRID!$B:$B,$A20,RESULTADOS_GRID!$AB:$AB,"&gt;=0")+COUNTIFS(RESULTADOS_GRID!$B:$B,$A20,RESULTADOS_GRID!$AB:$AB,"&lt;0"))))</f>
        <v/>
      </c>
      <c r="N20" s="49" t="n"/>
      <c r="O20" s="57">
        <f>IF($I20="","",COUNTIFS($I$2:$I$101,"&lt;"&amp;$I20)+1)</f>
        <v/>
      </c>
      <c r="P20" s="49" t="n"/>
      <c r="Q20" s="49" t="n"/>
      <c r="R20" s="49" t="n"/>
      <c r="S20" s="49" t="n"/>
      <c r="T20" s="49" t="n"/>
      <c r="U20" s="49" t="n"/>
      <c r="V20" s="49" t="n"/>
      <c r="W20" s="49" t="n"/>
    </row>
    <row r="21" ht="15" customHeight="1" s="27">
      <c r="A21" s="49" t="n"/>
      <c r="B21" s="57">
        <f>IF($A21="","",IFERROR(INDEX(RESULTADOS_GRID!$C:$C,MATCH($A21,RESULTADOS_GRID!$B:$B,0)),""))</f>
        <v/>
      </c>
      <c r="C21" s="57">
        <f>IF($A21="","",IFERROR(INDEX(RESULTADOS_GRID!$E:$E,MATCH($A21,RESULTADOS_GRID!$B:$B,0)),""))</f>
        <v/>
      </c>
      <c r="D21" s="57">
        <f>IF($A21="","",IFERROR(INDEX(RESULTADOS_GRID!$D:$D,MATCH($A21,RESULTADOS_GRID!$B:$B,0)),""))</f>
        <v/>
      </c>
      <c r="E21" s="57">
        <f>IF($A21="","",COUNTIF(RESULTADOS_GRID!$B:$B,$A21))</f>
        <v/>
      </c>
      <c r="F21" s="54">
        <f>IF($A21="","",SUMIF(RESULTADOS_GRID!$B:$B,$A21,RESULTADOS_GRID!$X:$X))</f>
        <v/>
      </c>
      <c r="G21" s="53" t="n"/>
      <c r="H21" s="58">
        <f>CONFIG_REFERENCIA!$E$7</f>
        <v/>
      </c>
      <c r="I21" s="54">
        <f>IF($A21="","",$F21+N($G21)*$H21)</f>
        <v/>
      </c>
      <c r="J21" s="54">
        <f>IF($A21="","",IF((COUNTIFS(RESULTADOS_GRID!$B:$B,$A21,RESULTADOS_GRID!$Y:$Y,"&gt;=0")+COUNTIFS(RESULTADOS_GRID!$B:$B,$A21,RESULTADOS_GRID!$Y:$Y,"&lt;0"))=0,"",SUMIF(RESULTADOS_GRID!$B:$B,$A21,RESULTADOS_GRID!$Y:$Y)/(COUNTIFS(RESULTADOS_GRID!$B:$B,$A21,RESULTADOS_GRID!$Y:$Y,"&gt;=0")+COUNTIFS(RESULTADOS_GRID!$B:$B,$A21,RESULTADOS_GRID!$Y:$Y,"&lt;0"))))</f>
        <v/>
      </c>
      <c r="K21" s="54">
        <f>IF($A21="","",IF((COUNTIFS(RESULTADOS_GRID!$B:$B,$A21,RESULTADOS_GRID!$Z:$Z,"&gt;=0")+COUNTIFS(RESULTADOS_GRID!$B:$B,$A21,RESULTADOS_GRID!$Z:$Z,"&lt;0"))=0,"",SUMIF(RESULTADOS_GRID!$B:$B,$A21,RESULTADOS_GRID!$Z:$Z)/(COUNTIFS(RESULTADOS_GRID!$B:$B,$A21,RESULTADOS_GRID!$Z:$Z,"&gt;=0")+COUNTIFS(RESULTADOS_GRID!$B:$B,$A21,RESULTADOS_GRID!$Z:$Z,"&lt;0"))))</f>
        <v/>
      </c>
      <c r="L21" s="51">
        <f>IF($A21="","",IF((COUNTIFS(RESULTADOS_GRID!$B:$B,$A21,RESULTADOS_GRID!$AA:$AA,"&gt;=0")+COUNTIFS(RESULTADOS_GRID!$B:$B,$A21,RESULTADOS_GRID!$AA:$AA,"&lt;0"))=0,"",SUMIF(RESULTADOS_GRID!$B:$B,$A21,RESULTADOS_GRID!$AA:$AA)/(COUNTIFS(RESULTADOS_GRID!$B:$B,$A21,RESULTADOS_GRID!$AA:$AA,"&gt;=0")+COUNTIFS(RESULTADOS_GRID!$B:$B,$A21,RESULTADOS_GRID!$AA:$AA,"&lt;0"))))</f>
        <v/>
      </c>
      <c r="M21" s="51">
        <f>IF($A21="","",IF((COUNTIFS(RESULTADOS_GRID!$B:$B,$A21,RESULTADOS_GRID!$AB:$AB,"&gt;=0")+COUNTIFS(RESULTADOS_GRID!$B:$B,$A21,RESULTADOS_GRID!$AB:$AB,"&lt;0"))=0,"",SUMIF(RESULTADOS_GRID!$B:$B,$A21,RESULTADOS_GRID!$AB:$AB)/(COUNTIFS(RESULTADOS_GRID!$B:$B,$A21,RESULTADOS_GRID!$AB:$AB,"&gt;=0")+COUNTIFS(RESULTADOS_GRID!$B:$B,$A21,RESULTADOS_GRID!$AB:$AB,"&lt;0"))))</f>
        <v/>
      </c>
      <c r="N21" s="49" t="n"/>
      <c r="O21" s="57">
        <f>IF($I21="","",COUNTIFS($I$2:$I$101,"&lt;"&amp;$I21)+1)</f>
        <v/>
      </c>
      <c r="P21" s="49" t="n"/>
      <c r="Q21" s="49" t="n"/>
      <c r="R21" s="49" t="n"/>
      <c r="S21" s="49" t="n"/>
      <c r="T21" s="49" t="n"/>
      <c r="U21" s="49" t="n"/>
      <c r="V21" s="49" t="n"/>
      <c r="W21" s="49" t="n"/>
    </row>
    <row r="22" ht="15" customHeight="1" s="27">
      <c r="A22" s="49" t="n"/>
      <c r="B22" s="57">
        <f>IF($A22="","",IFERROR(INDEX(RESULTADOS_GRID!$C:$C,MATCH($A22,RESULTADOS_GRID!$B:$B,0)),""))</f>
        <v/>
      </c>
      <c r="C22" s="57">
        <f>IF($A22="","",IFERROR(INDEX(RESULTADOS_GRID!$E:$E,MATCH($A22,RESULTADOS_GRID!$B:$B,0)),""))</f>
        <v/>
      </c>
      <c r="D22" s="57">
        <f>IF($A22="","",IFERROR(INDEX(RESULTADOS_GRID!$D:$D,MATCH($A22,RESULTADOS_GRID!$B:$B,0)),""))</f>
        <v/>
      </c>
      <c r="E22" s="57">
        <f>IF($A22="","",COUNTIF(RESULTADOS_GRID!$B:$B,$A22))</f>
        <v/>
      </c>
      <c r="F22" s="54">
        <f>IF($A22="","",SUMIF(RESULTADOS_GRID!$B:$B,$A22,RESULTADOS_GRID!$X:$X))</f>
        <v/>
      </c>
      <c r="G22" s="53" t="n"/>
      <c r="H22" s="58">
        <f>CONFIG_REFERENCIA!$E$7</f>
        <v/>
      </c>
      <c r="I22" s="54">
        <f>IF($A22="","",$F22+N($G22)*$H22)</f>
        <v/>
      </c>
      <c r="J22" s="54">
        <f>IF($A22="","",IF((COUNTIFS(RESULTADOS_GRID!$B:$B,$A22,RESULTADOS_GRID!$Y:$Y,"&gt;=0")+COUNTIFS(RESULTADOS_GRID!$B:$B,$A22,RESULTADOS_GRID!$Y:$Y,"&lt;0"))=0,"",SUMIF(RESULTADOS_GRID!$B:$B,$A22,RESULTADOS_GRID!$Y:$Y)/(COUNTIFS(RESULTADOS_GRID!$B:$B,$A22,RESULTADOS_GRID!$Y:$Y,"&gt;=0")+COUNTIFS(RESULTADOS_GRID!$B:$B,$A22,RESULTADOS_GRID!$Y:$Y,"&lt;0"))))</f>
        <v/>
      </c>
      <c r="K22" s="54">
        <f>IF($A22="","",IF((COUNTIFS(RESULTADOS_GRID!$B:$B,$A22,RESULTADOS_GRID!$Z:$Z,"&gt;=0")+COUNTIFS(RESULTADOS_GRID!$B:$B,$A22,RESULTADOS_GRID!$Z:$Z,"&lt;0"))=0,"",SUMIF(RESULTADOS_GRID!$B:$B,$A22,RESULTADOS_GRID!$Z:$Z)/(COUNTIFS(RESULTADOS_GRID!$B:$B,$A22,RESULTADOS_GRID!$Z:$Z,"&gt;=0")+COUNTIFS(RESULTADOS_GRID!$B:$B,$A22,RESULTADOS_GRID!$Z:$Z,"&lt;0"))))</f>
        <v/>
      </c>
      <c r="L22" s="51">
        <f>IF($A22="","",IF((COUNTIFS(RESULTADOS_GRID!$B:$B,$A22,RESULTADOS_GRID!$AA:$AA,"&gt;=0")+COUNTIFS(RESULTADOS_GRID!$B:$B,$A22,RESULTADOS_GRID!$AA:$AA,"&lt;0"))=0,"",SUMIF(RESULTADOS_GRID!$B:$B,$A22,RESULTADOS_GRID!$AA:$AA)/(COUNTIFS(RESULTADOS_GRID!$B:$B,$A22,RESULTADOS_GRID!$AA:$AA,"&gt;=0")+COUNTIFS(RESULTADOS_GRID!$B:$B,$A22,RESULTADOS_GRID!$AA:$AA,"&lt;0"))))</f>
        <v/>
      </c>
      <c r="M22" s="51">
        <f>IF($A22="","",IF((COUNTIFS(RESULTADOS_GRID!$B:$B,$A22,RESULTADOS_GRID!$AB:$AB,"&gt;=0")+COUNTIFS(RESULTADOS_GRID!$B:$B,$A22,RESULTADOS_GRID!$AB:$AB,"&lt;0"))=0,"",SUMIF(RESULTADOS_GRID!$B:$B,$A22,RESULTADOS_GRID!$AB:$AB)/(COUNTIFS(RESULTADOS_GRID!$B:$B,$A22,RESULTADOS_GRID!$AB:$AB,"&gt;=0")+COUNTIFS(RESULTADOS_GRID!$B:$B,$A22,RESULTADOS_GRID!$AB:$AB,"&lt;0"))))</f>
        <v/>
      </c>
      <c r="N22" s="49" t="n"/>
      <c r="O22" s="57">
        <f>IF($I22="","",COUNTIFS($I$2:$I$101,"&lt;"&amp;$I22)+1)</f>
        <v/>
      </c>
      <c r="P22" s="49" t="n"/>
      <c r="Q22" s="49" t="n"/>
      <c r="R22" s="49" t="n"/>
      <c r="S22" s="49" t="n"/>
      <c r="T22" s="49" t="n"/>
      <c r="U22" s="49" t="n"/>
      <c r="V22" s="49" t="n"/>
      <c r="W22" s="49" t="n"/>
    </row>
    <row r="23" ht="15" customHeight="1" s="27">
      <c r="A23" s="49" t="n"/>
      <c r="B23" s="57">
        <f>IF($A23="","",IFERROR(INDEX(RESULTADOS_GRID!$C:$C,MATCH($A23,RESULTADOS_GRID!$B:$B,0)),""))</f>
        <v/>
      </c>
      <c r="C23" s="57">
        <f>IF($A23="","",IFERROR(INDEX(RESULTADOS_GRID!$E:$E,MATCH($A23,RESULTADOS_GRID!$B:$B,0)),""))</f>
        <v/>
      </c>
      <c r="D23" s="57">
        <f>IF($A23="","",IFERROR(INDEX(RESULTADOS_GRID!$D:$D,MATCH($A23,RESULTADOS_GRID!$B:$B,0)),""))</f>
        <v/>
      </c>
      <c r="E23" s="57">
        <f>IF($A23="","",COUNTIF(RESULTADOS_GRID!$B:$B,$A23))</f>
        <v/>
      </c>
      <c r="F23" s="54">
        <f>IF($A23="","",SUMIF(RESULTADOS_GRID!$B:$B,$A23,RESULTADOS_GRID!$X:$X))</f>
        <v/>
      </c>
      <c r="G23" s="53" t="n"/>
      <c r="H23" s="58">
        <f>CONFIG_REFERENCIA!$E$7</f>
        <v/>
      </c>
      <c r="I23" s="54">
        <f>IF($A23="","",$F23+N($G23)*$H23)</f>
        <v/>
      </c>
      <c r="J23" s="54">
        <f>IF($A23="","",IF((COUNTIFS(RESULTADOS_GRID!$B:$B,$A23,RESULTADOS_GRID!$Y:$Y,"&gt;=0")+COUNTIFS(RESULTADOS_GRID!$B:$B,$A23,RESULTADOS_GRID!$Y:$Y,"&lt;0"))=0,"",SUMIF(RESULTADOS_GRID!$B:$B,$A23,RESULTADOS_GRID!$Y:$Y)/(COUNTIFS(RESULTADOS_GRID!$B:$B,$A23,RESULTADOS_GRID!$Y:$Y,"&gt;=0")+COUNTIFS(RESULTADOS_GRID!$B:$B,$A23,RESULTADOS_GRID!$Y:$Y,"&lt;0"))))</f>
        <v/>
      </c>
      <c r="K23" s="54">
        <f>IF($A23="","",IF((COUNTIFS(RESULTADOS_GRID!$B:$B,$A23,RESULTADOS_GRID!$Z:$Z,"&gt;=0")+COUNTIFS(RESULTADOS_GRID!$B:$B,$A23,RESULTADOS_GRID!$Z:$Z,"&lt;0"))=0,"",SUMIF(RESULTADOS_GRID!$B:$B,$A23,RESULTADOS_GRID!$Z:$Z)/(COUNTIFS(RESULTADOS_GRID!$B:$B,$A23,RESULTADOS_GRID!$Z:$Z,"&gt;=0")+COUNTIFS(RESULTADOS_GRID!$B:$B,$A23,RESULTADOS_GRID!$Z:$Z,"&lt;0"))))</f>
        <v/>
      </c>
      <c r="L23" s="51">
        <f>IF($A23="","",IF((COUNTIFS(RESULTADOS_GRID!$B:$B,$A23,RESULTADOS_GRID!$AA:$AA,"&gt;=0")+COUNTIFS(RESULTADOS_GRID!$B:$B,$A23,RESULTADOS_GRID!$AA:$AA,"&lt;0"))=0,"",SUMIF(RESULTADOS_GRID!$B:$B,$A23,RESULTADOS_GRID!$AA:$AA)/(COUNTIFS(RESULTADOS_GRID!$B:$B,$A23,RESULTADOS_GRID!$AA:$AA,"&gt;=0")+COUNTIFS(RESULTADOS_GRID!$B:$B,$A23,RESULTADOS_GRID!$AA:$AA,"&lt;0"))))</f>
        <v/>
      </c>
      <c r="M23" s="51">
        <f>IF($A23="","",IF((COUNTIFS(RESULTADOS_GRID!$B:$B,$A23,RESULTADOS_GRID!$AB:$AB,"&gt;=0")+COUNTIFS(RESULTADOS_GRID!$B:$B,$A23,RESULTADOS_GRID!$AB:$AB,"&lt;0"))=0,"",SUMIF(RESULTADOS_GRID!$B:$B,$A23,RESULTADOS_GRID!$AB:$AB)/(COUNTIFS(RESULTADOS_GRID!$B:$B,$A23,RESULTADOS_GRID!$AB:$AB,"&gt;=0")+COUNTIFS(RESULTADOS_GRID!$B:$B,$A23,RESULTADOS_GRID!$AB:$AB,"&lt;0"))))</f>
        <v/>
      </c>
      <c r="N23" s="49" t="n"/>
      <c r="O23" s="57">
        <f>IF($I23="","",COUNTIFS($I$2:$I$101,"&lt;"&amp;$I23)+1)</f>
        <v/>
      </c>
      <c r="P23" s="49" t="n"/>
      <c r="Q23" s="49" t="n"/>
      <c r="R23" s="49" t="n"/>
      <c r="S23" s="49" t="n"/>
      <c r="T23" s="49" t="n"/>
      <c r="U23" s="49" t="n"/>
      <c r="V23" s="49" t="n"/>
      <c r="W23" s="49" t="n"/>
    </row>
    <row r="24" ht="15" customHeight="1" s="27">
      <c r="A24" s="49" t="n"/>
      <c r="B24" s="57">
        <f>IF($A24="","",IFERROR(INDEX(RESULTADOS_GRID!$C:$C,MATCH($A24,RESULTADOS_GRID!$B:$B,0)),""))</f>
        <v/>
      </c>
      <c r="C24" s="57">
        <f>IF($A24="","",IFERROR(INDEX(RESULTADOS_GRID!$E:$E,MATCH($A24,RESULTADOS_GRID!$B:$B,0)),""))</f>
        <v/>
      </c>
      <c r="D24" s="57">
        <f>IF($A24="","",IFERROR(INDEX(RESULTADOS_GRID!$D:$D,MATCH($A24,RESULTADOS_GRID!$B:$B,0)),""))</f>
        <v/>
      </c>
      <c r="E24" s="57">
        <f>IF($A24="","",COUNTIF(RESULTADOS_GRID!$B:$B,$A24))</f>
        <v/>
      </c>
      <c r="F24" s="54">
        <f>IF($A24="","",SUMIF(RESULTADOS_GRID!$B:$B,$A24,RESULTADOS_GRID!$X:$X))</f>
        <v/>
      </c>
      <c r="G24" s="53" t="n"/>
      <c r="H24" s="58">
        <f>CONFIG_REFERENCIA!$E$7</f>
        <v/>
      </c>
      <c r="I24" s="54">
        <f>IF($A24="","",$F24+N($G24)*$H24)</f>
        <v/>
      </c>
      <c r="J24" s="54">
        <f>IF($A24="","",IF((COUNTIFS(RESULTADOS_GRID!$B:$B,$A24,RESULTADOS_GRID!$Y:$Y,"&gt;=0")+COUNTIFS(RESULTADOS_GRID!$B:$B,$A24,RESULTADOS_GRID!$Y:$Y,"&lt;0"))=0,"",SUMIF(RESULTADOS_GRID!$B:$B,$A24,RESULTADOS_GRID!$Y:$Y)/(COUNTIFS(RESULTADOS_GRID!$B:$B,$A24,RESULTADOS_GRID!$Y:$Y,"&gt;=0")+COUNTIFS(RESULTADOS_GRID!$B:$B,$A24,RESULTADOS_GRID!$Y:$Y,"&lt;0"))))</f>
        <v/>
      </c>
      <c r="K24" s="54">
        <f>IF($A24="","",IF((COUNTIFS(RESULTADOS_GRID!$B:$B,$A24,RESULTADOS_GRID!$Z:$Z,"&gt;=0")+COUNTIFS(RESULTADOS_GRID!$B:$B,$A24,RESULTADOS_GRID!$Z:$Z,"&lt;0"))=0,"",SUMIF(RESULTADOS_GRID!$B:$B,$A24,RESULTADOS_GRID!$Z:$Z)/(COUNTIFS(RESULTADOS_GRID!$B:$B,$A24,RESULTADOS_GRID!$Z:$Z,"&gt;=0")+COUNTIFS(RESULTADOS_GRID!$B:$B,$A24,RESULTADOS_GRID!$Z:$Z,"&lt;0"))))</f>
        <v/>
      </c>
      <c r="L24" s="51">
        <f>IF($A24="","",IF((COUNTIFS(RESULTADOS_GRID!$B:$B,$A24,RESULTADOS_GRID!$AA:$AA,"&gt;=0")+COUNTIFS(RESULTADOS_GRID!$B:$B,$A24,RESULTADOS_GRID!$AA:$AA,"&lt;0"))=0,"",SUMIF(RESULTADOS_GRID!$B:$B,$A24,RESULTADOS_GRID!$AA:$AA)/(COUNTIFS(RESULTADOS_GRID!$B:$B,$A24,RESULTADOS_GRID!$AA:$AA,"&gt;=0")+COUNTIFS(RESULTADOS_GRID!$B:$B,$A24,RESULTADOS_GRID!$AA:$AA,"&lt;0"))))</f>
        <v/>
      </c>
      <c r="M24" s="51">
        <f>IF($A24="","",IF((COUNTIFS(RESULTADOS_GRID!$B:$B,$A24,RESULTADOS_GRID!$AB:$AB,"&gt;=0")+COUNTIFS(RESULTADOS_GRID!$B:$B,$A24,RESULTADOS_GRID!$AB:$AB,"&lt;0"))=0,"",SUMIF(RESULTADOS_GRID!$B:$B,$A24,RESULTADOS_GRID!$AB:$AB)/(COUNTIFS(RESULTADOS_GRID!$B:$B,$A24,RESULTADOS_GRID!$AB:$AB,"&gt;=0")+COUNTIFS(RESULTADOS_GRID!$B:$B,$A24,RESULTADOS_GRID!$AB:$AB,"&lt;0"))))</f>
        <v/>
      </c>
      <c r="N24" s="49" t="n"/>
      <c r="O24" s="57">
        <f>IF($I24="","",COUNTIFS($I$2:$I$101,"&lt;"&amp;$I24)+1)</f>
        <v/>
      </c>
      <c r="P24" s="49" t="n"/>
      <c r="Q24" s="49" t="n"/>
      <c r="R24" s="49" t="n"/>
      <c r="S24" s="49" t="n"/>
      <c r="T24" s="49" t="n"/>
      <c r="U24" s="49" t="n"/>
      <c r="V24" s="49" t="n"/>
      <c r="W24" s="49" t="n"/>
    </row>
    <row r="25" ht="15" customHeight="1" s="27">
      <c r="A25" s="49" t="n"/>
      <c r="B25" s="57">
        <f>IF($A25="","",IFERROR(INDEX(RESULTADOS_GRID!$C:$C,MATCH($A25,RESULTADOS_GRID!$B:$B,0)),""))</f>
        <v/>
      </c>
      <c r="C25" s="57">
        <f>IF($A25="","",IFERROR(INDEX(RESULTADOS_GRID!$E:$E,MATCH($A25,RESULTADOS_GRID!$B:$B,0)),""))</f>
        <v/>
      </c>
      <c r="D25" s="57">
        <f>IF($A25="","",IFERROR(INDEX(RESULTADOS_GRID!$D:$D,MATCH($A25,RESULTADOS_GRID!$B:$B,0)),""))</f>
        <v/>
      </c>
      <c r="E25" s="57">
        <f>IF($A25="","",COUNTIF(RESULTADOS_GRID!$B:$B,$A25))</f>
        <v/>
      </c>
      <c r="F25" s="54">
        <f>IF($A25="","",SUMIF(RESULTADOS_GRID!$B:$B,$A25,RESULTADOS_GRID!$X:$X))</f>
        <v/>
      </c>
      <c r="G25" s="53" t="n"/>
      <c r="H25" s="58">
        <f>CONFIG_REFERENCIA!$E$7</f>
        <v/>
      </c>
      <c r="I25" s="54">
        <f>IF($A25="","",$F25+N($G25)*$H25)</f>
        <v/>
      </c>
      <c r="J25" s="54">
        <f>IF($A25="","",IF((COUNTIFS(RESULTADOS_GRID!$B:$B,$A25,RESULTADOS_GRID!$Y:$Y,"&gt;=0")+COUNTIFS(RESULTADOS_GRID!$B:$B,$A25,RESULTADOS_GRID!$Y:$Y,"&lt;0"))=0,"",SUMIF(RESULTADOS_GRID!$B:$B,$A25,RESULTADOS_GRID!$Y:$Y)/(COUNTIFS(RESULTADOS_GRID!$B:$B,$A25,RESULTADOS_GRID!$Y:$Y,"&gt;=0")+COUNTIFS(RESULTADOS_GRID!$B:$B,$A25,RESULTADOS_GRID!$Y:$Y,"&lt;0"))))</f>
        <v/>
      </c>
      <c r="K25" s="54">
        <f>IF($A25="","",IF((COUNTIFS(RESULTADOS_GRID!$B:$B,$A25,RESULTADOS_GRID!$Z:$Z,"&gt;=0")+COUNTIFS(RESULTADOS_GRID!$B:$B,$A25,RESULTADOS_GRID!$Z:$Z,"&lt;0"))=0,"",SUMIF(RESULTADOS_GRID!$B:$B,$A25,RESULTADOS_GRID!$Z:$Z)/(COUNTIFS(RESULTADOS_GRID!$B:$B,$A25,RESULTADOS_GRID!$Z:$Z,"&gt;=0")+COUNTIFS(RESULTADOS_GRID!$B:$B,$A25,RESULTADOS_GRID!$Z:$Z,"&lt;0"))))</f>
        <v/>
      </c>
      <c r="L25" s="51">
        <f>IF($A25="","",IF((COUNTIFS(RESULTADOS_GRID!$B:$B,$A25,RESULTADOS_GRID!$AA:$AA,"&gt;=0")+COUNTIFS(RESULTADOS_GRID!$B:$B,$A25,RESULTADOS_GRID!$AA:$AA,"&lt;0"))=0,"",SUMIF(RESULTADOS_GRID!$B:$B,$A25,RESULTADOS_GRID!$AA:$AA)/(COUNTIFS(RESULTADOS_GRID!$B:$B,$A25,RESULTADOS_GRID!$AA:$AA,"&gt;=0")+COUNTIFS(RESULTADOS_GRID!$B:$B,$A25,RESULTADOS_GRID!$AA:$AA,"&lt;0"))))</f>
        <v/>
      </c>
      <c r="M25" s="51">
        <f>IF($A25="","",IF((COUNTIFS(RESULTADOS_GRID!$B:$B,$A25,RESULTADOS_GRID!$AB:$AB,"&gt;=0")+COUNTIFS(RESULTADOS_GRID!$B:$B,$A25,RESULTADOS_GRID!$AB:$AB,"&lt;0"))=0,"",SUMIF(RESULTADOS_GRID!$B:$B,$A25,RESULTADOS_GRID!$AB:$AB)/(COUNTIFS(RESULTADOS_GRID!$B:$B,$A25,RESULTADOS_GRID!$AB:$AB,"&gt;=0")+COUNTIFS(RESULTADOS_GRID!$B:$B,$A25,RESULTADOS_GRID!$AB:$AB,"&lt;0"))))</f>
        <v/>
      </c>
      <c r="N25" s="49" t="n"/>
      <c r="O25" s="57">
        <f>IF($I25="","",COUNTIFS($I$2:$I$101,"&lt;"&amp;$I25)+1)</f>
        <v/>
      </c>
      <c r="P25" s="49" t="n"/>
      <c r="Q25" s="49" t="n"/>
      <c r="R25" s="49" t="n"/>
      <c r="S25" s="49" t="n"/>
      <c r="T25" s="49" t="n"/>
      <c r="U25" s="49" t="n"/>
      <c r="V25" s="49" t="n"/>
      <c r="W25" s="49" t="n"/>
    </row>
    <row r="26" ht="15" customHeight="1" s="27">
      <c r="A26" s="49" t="n"/>
      <c r="B26" s="57">
        <f>IF($A26="","",IFERROR(INDEX(RESULTADOS_GRID!$C:$C,MATCH($A26,RESULTADOS_GRID!$B:$B,0)),""))</f>
        <v/>
      </c>
      <c r="C26" s="57">
        <f>IF($A26="","",IFERROR(INDEX(RESULTADOS_GRID!$E:$E,MATCH($A26,RESULTADOS_GRID!$B:$B,0)),""))</f>
        <v/>
      </c>
      <c r="D26" s="57">
        <f>IF($A26="","",IFERROR(INDEX(RESULTADOS_GRID!$D:$D,MATCH($A26,RESULTADOS_GRID!$B:$B,0)),""))</f>
        <v/>
      </c>
      <c r="E26" s="57">
        <f>IF($A26="","",COUNTIF(RESULTADOS_GRID!$B:$B,$A26))</f>
        <v/>
      </c>
      <c r="F26" s="54">
        <f>IF($A26="","",SUMIF(RESULTADOS_GRID!$B:$B,$A26,RESULTADOS_GRID!$X:$X))</f>
        <v/>
      </c>
      <c r="G26" s="53" t="n"/>
      <c r="H26" s="58">
        <f>CONFIG_REFERENCIA!$E$7</f>
        <v/>
      </c>
      <c r="I26" s="54">
        <f>IF($A26="","",$F26+N($G26)*$H26)</f>
        <v/>
      </c>
      <c r="J26" s="54">
        <f>IF($A26="","",IF((COUNTIFS(RESULTADOS_GRID!$B:$B,$A26,RESULTADOS_GRID!$Y:$Y,"&gt;=0")+COUNTIFS(RESULTADOS_GRID!$B:$B,$A26,RESULTADOS_GRID!$Y:$Y,"&lt;0"))=0,"",SUMIF(RESULTADOS_GRID!$B:$B,$A26,RESULTADOS_GRID!$Y:$Y)/(COUNTIFS(RESULTADOS_GRID!$B:$B,$A26,RESULTADOS_GRID!$Y:$Y,"&gt;=0")+COUNTIFS(RESULTADOS_GRID!$B:$B,$A26,RESULTADOS_GRID!$Y:$Y,"&lt;0"))))</f>
        <v/>
      </c>
      <c r="K26" s="54">
        <f>IF($A26="","",IF((COUNTIFS(RESULTADOS_GRID!$B:$B,$A26,RESULTADOS_GRID!$Z:$Z,"&gt;=0")+COUNTIFS(RESULTADOS_GRID!$B:$B,$A26,RESULTADOS_GRID!$Z:$Z,"&lt;0"))=0,"",SUMIF(RESULTADOS_GRID!$B:$B,$A26,RESULTADOS_GRID!$Z:$Z)/(COUNTIFS(RESULTADOS_GRID!$B:$B,$A26,RESULTADOS_GRID!$Z:$Z,"&gt;=0")+COUNTIFS(RESULTADOS_GRID!$B:$B,$A26,RESULTADOS_GRID!$Z:$Z,"&lt;0"))))</f>
        <v/>
      </c>
      <c r="L26" s="51">
        <f>IF($A26="","",IF((COUNTIFS(RESULTADOS_GRID!$B:$B,$A26,RESULTADOS_GRID!$AA:$AA,"&gt;=0")+COUNTIFS(RESULTADOS_GRID!$B:$B,$A26,RESULTADOS_GRID!$AA:$AA,"&lt;0"))=0,"",SUMIF(RESULTADOS_GRID!$B:$B,$A26,RESULTADOS_GRID!$AA:$AA)/(COUNTIFS(RESULTADOS_GRID!$B:$B,$A26,RESULTADOS_GRID!$AA:$AA,"&gt;=0")+COUNTIFS(RESULTADOS_GRID!$B:$B,$A26,RESULTADOS_GRID!$AA:$AA,"&lt;0"))))</f>
        <v/>
      </c>
      <c r="M26" s="51">
        <f>IF($A26="","",IF((COUNTIFS(RESULTADOS_GRID!$B:$B,$A26,RESULTADOS_GRID!$AB:$AB,"&gt;=0")+COUNTIFS(RESULTADOS_GRID!$B:$B,$A26,RESULTADOS_GRID!$AB:$AB,"&lt;0"))=0,"",SUMIF(RESULTADOS_GRID!$B:$B,$A26,RESULTADOS_GRID!$AB:$AB)/(COUNTIFS(RESULTADOS_GRID!$B:$B,$A26,RESULTADOS_GRID!$AB:$AB,"&gt;=0")+COUNTIFS(RESULTADOS_GRID!$B:$B,$A26,RESULTADOS_GRID!$AB:$AB,"&lt;0"))))</f>
        <v/>
      </c>
      <c r="N26" s="49" t="n"/>
      <c r="O26" s="57">
        <f>IF($I26="","",COUNTIFS($I$2:$I$101,"&lt;"&amp;$I26)+1)</f>
        <v/>
      </c>
      <c r="P26" s="49" t="n"/>
      <c r="Q26" s="49" t="n"/>
      <c r="R26" s="49" t="n"/>
      <c r="S26" s="49" t="n"/>
      <c r="T26" s="49" t="n"/>
      <c r="U26" s="49" t="n"/>
      <c r="V26" s="49" t="n"/>
      <c r="W26" s="49" t="n"/>
    </row>
    <row r="27" ht="15" customHeight="1" s="27">
      <c r="A27" s="49" t="n"/>
      <c r="B27" s="57">
        <f>IF($A27="","",IFERROR(INDEX(RESULTADOS_GRID!$C:$C,MATCH($A27,RESULTADOS_GRID!$B:$B,0)),""))</f>
        <v/>
      </c>
      <c r="C27" s="57">
        <f>IF($A27="","",IFERROR(INDEX(RESULTADOS_GRID!$E:$E,MATCH($A27,RESULTADOS_GRID!$B:$B,0)),""))</f>
        <v/>
      </c>
      <c r="D27" s="57">
        <f>IF($A27="","",IFERROR(INDEX(RESULTADOS_GRID!$D:$D,MATCH($A27,RESULTADOS_GRID!$B:$B,0)),""))</f>
        <v/>
      </c>
      <c r="E27" s="57">
        <f>IF($A27="","",COUNTIF(RESULTADOS_GRID!$B:$B,$A27))</f>
        <v/>
      </c>
      <c r="F27" s="54">
        <f>IF($A27="","",SUMIF(RESULTADOS_GRID!$B:$B,$A27,RESULTADOS_GRID!$X:$X))</f>
        <v/>
      </c>
      <c r="G27" s="53" t="n"/>
      <c r="H27" s="58">
        <f>CONFIG_REFERENCIA!$E$7</f>
        <v/>
      </c>
      <c r="I27" s="54">
        <f>IF($A27="","",$F27+N($G27)*$H27)</f>
        <v/>
      </c>
      <c r="J27" s="54">
        <f>IF($A27="","",IF((COUNTIFS(RESULTADOS_GRID!$B:$B,$A27,RESULTADOS_GRID!$Y:$Y,"&gt;=0")+COUNTIFS(RESULTADOS_GRID!$B:$B,$A27,RESULTADOS_GRID!$Y:$Y,"&lt;0"))=0,"",SUMIF(RESULTADOS_GRID!$B:$B,$A27,RESULTADOS_GRID!$Y:$Y)/(COUNTIFS(RESULTADOS_GRID!$B:$B,$A27,RESULTADOS_GRID!$Y:$Y,"&gt;=0")+COUNTIFS(RESULTADOS_GRID!$B:$B,$A27,RESULTADOS_GRID!$Y:$Y,"&lt;0"))))</f>
        <v/>
      </c>
      <c r="K27" s="54">
        <f>IF($A27="","",IF((COUNTIFS(RESULTADOS_GRID!$B:$B,$A27,RESULTADOS_GRID!$Z:$Z,"&gt;=0")+COUNTIFS(RESULTADOS_GRID!$B:$B,$A27,RESULTADOS_GRID!$Z:$Z,"&lt;0"))=0,"",SUMIF(RESULTADOS_GRID!$B:$B,$A27,RESULTADOS_GRID!$Z:$Z)/(COUNTIFS(RESULTADOS_GRID!$B:$B,$A27,RESULTADOS_GRID!$Z:$Z,"&gt;=0")+COUNTIFS(RESULTADOS_GRID!$B:$B,$A27,RESULTADOS_GRID!$Z:$Z,"&lt;0"))))</f>
        <v/>
      </c>
      <c r="L27" s="51">
        <f>IF($A27="","",IF((COUNTIFS(RESULTADOS_GRID!$B:$B,$A27,RESULTADOS_GRID!$AA:$AA,"&gt;=0")+COUNTIFS(RESULTADOS_GRID!$B:$B,$A27,RESULTADOS_GRID!$AA:$AA,"&lt;0"))=0,"",SUMIF(RESULTADOS_GRID!$B:$B,$A27,RESULTADOS_GRID!$AA:$AA)/(COUNTIFS(RESULTADOS_GRID!$B:$B,$A27,RESULTADOS_GRID!$AA:$AA,"&gt;=0")+COUNTIFS(RESULTADOS_GRID!$B:$B,$A27,RESULTADOS_GRID!$AA:$AA,"&lt;0"))))</f>
        <v/>
      </c>
      <c r="M27" s="51">
        <f>IF($A27="","",IF((COUNTIFS(RESULTADOS_GRID!$B:$B,$A27,RESULTADOS_GRID!$AB:$AB,"&gt;=0")+COUNTIFS(RESULTADOS_GRID!$B:$B,$A27,RESULTADOS_GRID!$AB:$AB,"&lt;0"))=0,"",SUMIF(RESULTADOS_GRID!$B:$B,$A27,RESULTADOS_GRID!$AB:$AB)/(COUNTIFS(RESULTADOS_GRID!$B:$B,$A27,RESULTADOS_GRID!$AB:$AB,"&gt;=0")+COUNTIFS(RESULTADOS_GRID!$B:$B,$A27,RESULTADOS_GRID!$AB:$AB,"&lt;0"))))</f>
        <v/>
      </c>
      <c r="N27" s="49" t="n"/>
      <c r="O27" s="57">
        <f>IF($I27="","",COUNTIFS($I$2:$I$101,"&lt;"&amp;$I27)+1)</f>
        <v/>
      </c>
      <c r="P27" s="49" t="n"/>
      <c r="Q27" s="49" t="n"/>
      <c r="R27" s="49" t="n"/>
      <c r="S27" s="49" t="n"/>
      <c r="T27" s="49" t="n"/>
      <c r="U27" s="49" t="n"/>
      <c r="V27" s="49" t="n"/>
      <c r="W27" s="49" t="n"/>
    </row>
    <row r="28" ht="15" customHeight="1" s="27">
      <c r="A28" s="49" t="n"/>
      <c r="B28" s="57">
        <f>IF($A28="","",IFERROR(INDEX(RESULTADOS_GRID!$C:$C,MATCH($A28,RESULTADOS_GRID!$B:$B,0)),""))</f>
        <v/>
      </c>
      <c r="C28" s="57">
        <f>IF($A28="","",IFERROR(INDEX(RESULTADOS_GRID!$E:$E,MATCH($A28,RESULTADOS_GRID!$B:$B,0)),""))</f>
        <v/>
      </c>
      <c r="D28" s="57">
        <f>IF($A28="","",IFERROR(INDEX(RESULTADOS_GRID!$D:$D,MATCH($A28,RESULTADOS_GRID!$B:$B,0)),""))</f>
        <v/>
      </c>
      <c r="E28" s="57">
        <f>IF($A28="","",COUNTIF(RESULTADOS_GRID!$B:$B,$A28))</f>
        <v/>
      </c>
      <c r="F28" s="54">
        <f>IF($A28="","",SUMIF(RESULTADOS_GRID!$B:$B,$A28,RESULTADOS_GRID!$X:$X))</f>
        <v/>
      </c>
      <c r="G28" s="53" t="n"/>
      <c r="H28" s="58">
        <f>CONFIG_REFERENCIA!$E$7</f>
        <v/>
      </c>
      <c r="I28" s="54">
        <f>IF($A28="","",$F28+N($G28)*$H28)</f>
        <v/>
      </c>
      <c r="J28" s="54">
        <f>IF($A28="","",IF((COUNTIFS(RESULTADOS_GRID!$B:$B,$A28,RESULTADOS_GRID!$Y:$Y,"&gt;=0")+COUNTIFS(RESULTADOS_GRID!$B:$B,$A28,RESULTADOS_GRID!$Y:$Y,"&lt;0"))=0,"",SUMIF(RESULTADOS_GRID!$B:$B,$A28,RESULTADOS_GRID!$Y:$Y)/(COUNTIFS(RESULTADOS_GRID!$B:$B,$A28,RESULTADOS_GRID!$Y:$Y,"&gt;=0")+COUNTIFS(RESULTADOS_GRID!$B:$B,$A28,RESULTADOS_GRID!$Y:$Y,"&lt;0"))))</f>
        <v/>
      </c>
      <c r="K28" s="54">
        <f>IF($A28="","",IF((COUNTIFS(RESULTADOS_GRID!$B:$B,$A28,RESULTADOS_GRID!$Z:$Z,"&gt;=0")+COUNTIFS(RESULTADOS_GRID!$B:$B,$A28,RESULTADOS_GRID!$Z:$Z,"&lt;0"))=0,"",SUMIF(RESULTADOS_GRID!$B:$B,$A28,RESULTADOS_GRID!$Z:$Z)/(COUNTIFS(RESULTADOS_GRID!$B:$B,$A28,RESULTADOS_GRID!$Z:$Z,"&gt;=0")+COUNTIFS(RESULTADOS_GRID!$B:$B,$A28,RESULTADOS_GRID!$Z:$Z,"&lt;0"))))</f>
        <v/>
      </c>
      <c r="L28" s="51">
        <f>IF($A28="","",IF((COUNTIFS(RESULTADOS_GRID!$B:$B,$A28,RESULTADOS_GRID!$AA:$AA,"&gt;=0")+COUNTIFS(RESULTADOS_GRID!$B:$B,$A28,RESULTADOS_GRID!$AA:$AA,"&lt;0"))=0,"",SUMIF(RESULTADOS_GRID!$B:$B,$A28,RESULTADOS_GRID!$AA:$AA)/(COUNTIFS(RESULTADOS_GRID!$B:$B,$A28,RESULTADOS_GRID!$AA:$AA,"&gt;=0")+COUNTIFS(RESULTADOS_GRID!$B:$B,$A28,RESULTADOS_GRID!$AA:$AA,"&lt;0"))))</f>
        <v/>
      </c>
      <c r="M28" s="51">
        <f>IF($A28="","",IF((COUNTIFS(RESULTADOS_GRID!$B:$B,$A28,RESULTADOS_GRID!$AB:$AB,"&gt;=0")+COUNTIFS(RESULTADOS_GRID!$B:$B,$A28,RESULTADOS_GRID!$AB:$AB,"&lt;0"))=0,"",SUMIF(RESULTADOS_GRID!$B:$B,$A28,RESULTADOS_GRID!$AB:$AB)/(COUNTIFS(RESULTADOS_GRID!$B:$B,$A28,RESULTADOS_GRID!$AB:$AB,"&gt;=0")+COUNTIFS(RESULTADOS_GRID!$B:$B,$A28,RESULTADOS_GRID!$AB:$AB,"&lt;0"))))</f>
        <v/>
      </c>
      <c r="N28" s="49" t="n"/>
      <c r="O28" s="57">
        <f>IF($I28="","",COUNTIFS($I$2:$I$101,"&lt;"&amp;$I28)+1)</f>
        <v/>
      </c>
      <c r="P28" s="49" t="n"/>
      <c r="Q28" s="49" t="n"/>
      <c r="R28" s="49" t="n"/>
      <c r="S28" s="49" t="n"/>
      <c r="T28" s="49" t="n"/>
      <c r="U28" s="49" t="n"/>
      <c r="V28" s="49" t="n"/>
      <c r="W28" s="49" t="n"/>
    </row>
    <row r="29" ht="15" customHeight="1" s="27">
      <c r="A29" s="49" t="n"/>
      <c r="B29" s="57">
        <f>IF($A29="","",IFERROR(INDEX(RESULTADOS_GRID!$C:$C,MATCH($A29,RESULTADOS_GRID!$B:$B,0)),""))</f>
        <v/>
      </c>
      <c r="C29" s="57">
        <f>IF($A29="","",IFERROR(INDEX(RESULTADOS_GRID!$E:$E,MATCH($A29,RESULTADOS_GRID!$B:$B,0)),""))</f>
        <v/>
      </c>
      <c r="D29" s="57">
        <f>IF($A29="","",IFERROR(INDEX(RESULTADOS_GRID!$D:$D,MATCH($A29,RESULTADOS_GRID!$B:$B,0)),""))</f>
        <v/>
      </c>
      <c r="E29" s="57">
        <f>IF($A29="","",COUNTIF(RESULTADOS_GRID!$B:$B,$A29))</f>
        <v/>
      </c>
      <c r="F29" s="54">
        <f>IF($A29="","",SUMIF(RESULTADOS_GRID!$B:$B,$A29,RESULTADOS_GRID!$X:$X))</f>
        <v/>
      </c>
      <c r="G29" s="53" t="n"/>
      <c r="H29" s="58">
        <f>CONFIG_REFERENCIA!$E$7</f>
        <v/>
      </c>
      <c r="I29" s="54">
        <f>IF($A29="","",$F29+N($G29)*$H29)</f>
        <v/>
      </c>
      <c r="J29" s="54">
        <f>IF($A29="","",IF((COUNTIFS(RESULTADOS_GRID!$B:$B,$A29,RESULTADOS_GRID!$Y:$Y,"&gt;=0")+COUNTIFS(RESULTADOS_GRID!$B:$B,$A29,RESULTADOS_GRID!$Y:$Y,"&lt;0"))=0,"",SUMIF(RESULTADOS_GRID!$B:$B,$A29,RESULTADOS_GRID!$Y:$Y)/(COUNTIFS(RESULTADOS_GRID!$B:$B,$A29,RESULTADOS_GRID!$Y:$Y,"&gt;=0")+COUNTIFS(RESULTADOS_GRID!$B:$B,$A29,RESULTADOS_GRID!$Y:$Y,"&lt;0"))))</f>
        <v/>
      </c>
      <c r="K29" s="54">
        <f>IF($A29="","",IF((COUNTIFS(RESULTADOS_GRID!$B:$B,$A29,RESULTADOS_GRID!$Z:$Z,"&gt;=0")+COUNTIFS(RESULTADOS_GRID!$B:$B,$A29,RESULTADOS_GRID!$Z:$Z,"&lt;0"))=0,"",SUMIF(RESULTADOS_GRID!$B:$B,$A29,RESULTADOS_GRID!$Z:$Z)/(COUNTIFS(RESULTADOS_GRID!$B:$B,$A29,RESULTADOS_GRID!$Z:$Z,"&gt;=0")+COUNTIFS(RESULTADOS_GRID!$B:$B,$A29,RESULTADOS_GRID!$Z:$Z,"&lt;0"))))</f>
        <v/>
      </c>
      <c r="L29" s="51">
        <f>IF($A29="","",IF((COUNTIFS(RESULTADOS_GRID!$B:$B,$A29,RESULTADOS_GRID!$AA:$AA,"&gt;=0")+COUNTIFS(RESULTADOS_GRID!$B:$B,$A29,RESULTADOS_GRID!$AA:$AA,"&lt;0"))=0,"",SUMIF(RESULTADOS_GRID!$B:$B,$A29,RESULTADOS_GRID!$AA:$AA)/(COUNTIFS(RESULTADOS_GRID!$B:$B,$A29,RESULTADOS_GRID!$AA:$AA,"&gt;=0")+COUNTIFS(RESULTADOS_GRID!$B:$B,$A29,RESULTADOS_GRID!$AA:$AA,"&lt;0"))))</f>
        <v/>
      </c>
      <c r="M29" s="51">
        <f>IF($A29="","",IF((COUNTIFS(RESULTADOS_GRID!$B:$B,$A29,RESULTADOS_GRID!$AB:$AB,"&gt;=0")+COUNTIFS(RESULTADOS_GRID!$B:$B,$A29,RESULTADOS_GRID!$AB:$AB,"&lt;0"))=0,"",SUMIF(RESULTADOS_GRID!$B:$B,$A29,RESULTADOS_GRID!$AB:$AB)/(COUNTIFS(RESULTADOS_GRID!$B:$B,$A29,RESULTADOS_GRID!$AB:$AB,"&gt;=0")+COUNTIFS(RESULTADOS_GRID!$B:$B,$A29,RESULTADOS_GRID!$AB:$AB,"&lt;0"))))</f>
        <v/>
      </c>
      <c r="N29" s="49" t="n"/>
      <c r="O29" s="57">
        <f>IF($I29="","",COUNTIFS($I$2:$I$101,"&lt;"&amp;$I29)+1)</f>
        <v/>
      </c>
      <c r="P29" s="49" t="n"/>
      <c r="Q29" s="49" t="n"/>
      <c r="R29" s="49" t="n"/>
      <c r="S29" s="49" t="n"/>
      <c r="T29" s="49" t="n"/>
      <c r="U29" s="49" t="n"/>
      <c r="V29" s="49" t="n"/>
      <c r="W29" s="49" t="n"/>
    </row>
    <row r="30" ht="15" customHeight="1" s="27">
      <c r="A30" s="49" t="n"/>
      <c r="B30" s="57">
        <f>IF($A30="","",IFERROR(INDEX(RESULTADOS_GRID!$C:$C,MATCH($A30,RESULTADOS_GRID!$B:$B,0)),""))</f>
        <v/>
      </c>
      <c r="C30" s="57">
        <f>IF($A30="","",IFERROR(INDEX(RESULTADOS_GRID!$E:$E,MATCH($A30,RESULTADOS_GRID!$B:$B,0)),""))</f>
        <v/>
      </c>
      <c r="D30" s="57">
        <f>IF($A30="","",IFERROR(INDEX(RESULTADOS_GRID!$D:$D,MATCH($A30,RESULTADOS_GRID!$B:$B,0)),""))</f>
        <v/>
      </c>
      <c r="E30" s="57">
        <f>IF($A30="","",COUNTIF(RESULTADOS_GRID!$B:$B,$A30))</f>
        <v/>
      </c>
      <c r="F30" s="54">
        <f>IF($A30="","",SUMIF(RESULTADOS_GRID!$B:$B,$A30,RESULTADOS_GRID!$X:$X))</f>
        <v/>
      </c>
      <c r="G30" s="53" t="n"/>
      <c r="H30" s="58">
        <f>CONFIG_REFERENCIA!$E$7</f>
        <v/>
      </c>
      <c r="I30" s="54">
        <f>IF($A30="","",$F30+N($G30)*$H30)</f>
        <v/>
      </c>
      <c r="J30" s="54">
        <f>IF($A30="","",IF((COUNTIFS(RESULTADOS_GRID!$B:$B,$A30,RESULTADOS_GRID!$Y:$Y,"&gt;=0")+COUNTIFS(RESULTADOS_GRID!$B:$B,$A30,RESULTADOS_GRID!$Y:$Y,"&lt;0"))=0,"",SUMIF(RESULTADOS_GRID!$B:$B,$A30,RESULTADOS_GRID!$Y:$Y)/(COUNTIFS(RESULTADOS_GRID!$B:$B,$A30,RESULTADOS_GRID!$Y:$Y,"&gt;=0")+COUNTIFS(RESULTADOS_GRID!$B:$B,$A30,RESULTADOS_GRID!$Y:$Y,"&lt;0"))))</f>
        <v/>
      </c>
      <c r="K30" s="54">
        <f>IF($A30="","",IF((COUNTIFS(RESULTADOS_GRID!$B:$B,$A30,RESULTADOS_GRID!$Z:$Z,"&gt;=0")+COUNTIFS(RESULTADOS_GRID!$B:$B,$A30,RESULTADOS_GRID!$Z:$Z,"&lt;0"))=0,"",SUMIF(RESULTADOS_GRID!$B:$B,$A30,RESULTADOS_GRID!$Z:$Z)/(COUNTIFS(RESULTADOS_GRID!$B:$B,$A30,RESULTADOS_GRID!$Z:$Z,"&gt;=0")+COUNTIFS(RESULTADOS_GRID!$B:$B,$A30,RESULTADOS_GRID!$Z:$Z,"&lt;0"))))</f>
        <v/>
      </c>
      <c r="L30" s="51">
        <f>IF($A30="","",IF((COUNTIFS(RESULTADOS_GRID!$B:$B,$A30,RESULTADOS_GRID!$AA:$AA,"&gt;=0")+COUNTIFS(RESULTADOS_GRID!$B:$B,$A30,RESULTADOS_GRID!$AA:$AA,"&lt;0"))=0,"",SUMIF(RESULTADOS_GRID!$B:$B,$A30,RESULTADOS_GRID!$AA:$AA)/(COUNTIFS(RESULTADOS_GRID!$B:$B,$A30,RESULTADOS_GRID!$AA:$AA,"&gt;=0")+COUNTIFS(RESULTADOS_GRID!$B:$B,$A30,RESULTADOS_GRID!$AA:$AA,"&lt;0"))))</f>
        <v/>
      </c>
      <c r="M30" s="51">
        <f>IF($A30="","",IF((COUNTIFS(RESULTADOS_GRID!$B:$B,$A30,RESULTADOS_GRID!$AB:$AB,"&gt;=0")+COUNTIFS(RESULTADOS_GRID!$B:$B,$A30,RESULTADOS_GRID!$AB:$AB,"&lt;0"))=0,"",SUMIF(RESULTADOS_GRID!$B:$B,$A30,RESULTADOS_GRID!$AB:$AB)/(COUNTIFS(RESULTADOS_GRID!$B:$B,$A30,RESULTADOS_GRID!$AB:$AB,"&gt;=0")+COUNTIFS(RESULTADOS_GRID!$B:$B,$A30,RESULTADOS_GRID!$AB:$AB,"&lt;0"))))</f>
        <v/>
      </c>
      <c r="N30" s="49" t="n"/>
      <c r="O30" s="57">
        <f>IF($I30="","",COUNTIFS($I$2:$I$101,"&lt;"&amp;$I30)+1)</f>
        <v/>
      </c>
      <c r="P30" s="49" t="n"/>
      <c r="Q30" s="49" t="n"/>
      <c r="R30" s="49" t="n"/>
      <c r="S30" s="49" t="n"/>
      <c r="T30" s="49" t="n"/>
      <c r="U30" s="49" t="n"/>
      <c r="V30" s="49" t="n"/>
      <c r="W30" s="49" t="n"/>
    </row>
    <row r="31" ht="15" customHeight="1" s="27">
      <c r="A31" s="49" t="n"/>
      <c r="B31" s="57">
        <f>IF($A31="","",IFERROR(INDEX(RESULTADOS_GRID!$C:$C,MATCH($A31,RESULTADOS_GRID!$B:$B,0)),""))</f>
        <v/>
      </c>
      <c r="C31" s="57">
        <f>IF($A31="","",IFERROR(INDEX(RESULTADOS_GRID!$E:$E,MATCH($A31,RESULTADOS_GRID!$B:$B,0)),""))</f>
        <v/>
      </c>
      <c r="D31" s="57">
        <f>IF($A31="","",IFERROR(INDEX(RESULTADOS_GRID!$D:$D,MATCH($A31,RESULTADOS_GRID!$B:$B,0)),""))</f>
        <v/>
      </c>
      <c r="E31" s="57">
        <f>IF($A31="","",COUNTIF(RESULTADOS_GRID!$B:$B,$A31))</f>
        <v/>
      </c>
      <c r="F31" s="54">
        <f>IF($A31="","",SUMIF(RESULTADOS_GRID!$B:$B,$A31,RESULTADOS_GRID!$X:$X))</f>
        <v/>
      </c>
      <c r="G31" s="53" t="n"/>
      <c r="H31" s="58">
        <f>CONFIG_REFERENCIA!$E$7</f>
        <v/>
      </c>
      <c r="I31" s="54">
        <f>IF($A31="","",$F31+N($G31)*$H31)</f>
        <v/>
      </c>
      <c r="J31" s="54">
        <f>IF($A31="","",IF((COUNTIFS(RESULTADOS_GRID!$B:$B,$A31,RESULTADOS_GRID!$Y:$Y,"&gt;=0")+COUNTIFS(RESULTADOS_GRID!$B:$B,$A31,RESULTADOS_GRID!$Y:$Y,"&lt;0"))=0,"",SUMIF(RESULTADOS_GRID!$B:$B,$A31,RESULTADOS_GRID!$Y:$Y)/(COUNTIFS(RESULTADOS_GRID!$B:$B,$A31,RESULTADOS_GRID!$Y:$Y,"&gt;=0")+COUNTIFS(RESULTADOS_GRID!$B:$B,$A31,RESULTADOS_GRID!$Y:$Y,"&lt;0"))))</f>
        <v/>
      </c>
      <c r="K31" s="54">
        <f>IF($A31="","",IF((COUNTIFS(RESULTADOS_GRID!$B:$B,$A31,RESULTADOS_GRID!$Z:$Z,"&gt;=0")+COUNTIFS(RESULTADOS_GRID!$B:$B,$A31,RESULTADOS_GRID!$Z:$Z,"&lt;0"))=0,"",SUMIF(RESULTADOS_GRID!$B:$B,$A31,RESULTADOS_GRID!$Z:$Z)/(COUNTIFS(RESULTADOS_GRID!$B:$B,$A31,RESULTADOS_GRID!$Z:$Z,"&gt;=0")+COUNTIFS(RESULTADOS_GRID!$B:$B,$A31,RESULTADOS_GRID!$Z:$Z,"&lt;0"))))</f>
        <v/>
      </c>
      <c r="L31" s="51">
        <f>IF($A31="","",IF((COUNTIFS(RESULTADOS_GRID!$B:$B,$A31,RESULTADOS_GRID!$AA:$AA,"&gt;=0")+COUNTIFS(RESULTADOS_GRID!$B:$B,$A31,RESULTADOS_GRID!$AA:$AA,"&lt;0"))=0,"",SUMIF(RESULTADOS_GRID!$B:$B,$A31,RESULTADOS_GRID!$AA:$AA)/(COUNTIFS(RESULTADOS_GRID!$B:$B,$A31,RESULTADOS_GRID!$AA:$AA,"&gt;=0")+COUNTIFS(RESULTADOS_GRID!$B:$B,$A31,RESULTADOS_GRID!$AA:$AA,"&lt;0"))))</f>
        <v/>
      </c>
      <c r="M31" s="51">
        <f>IF($A31="","",IF((COUNTIFS(RESULTADOS_GRID!$B:$B,$A31,RESULTADOS_GRID!$AB:$AB,"&gt;=0")+COUNTIFS(RESULTADOS_GRID!$B:$B,$A31,RESULTADOS_GRID!$AB:$AB,"&lt;0"))=0,"",SUMIF(RESULTADOS_GRID!$B:$B,$A31,RESULTADOS_GRID!$AB:$AB)/(COUNTIFS(RESULTADOS_GRID!$B:$B,$A31,RESULTADOS_GRID!$AB:$AB,"&gt;=0")+COUNTIFS(RESULTADOS_GRID!$B:$B,$A31,RESULTADOS_GRID!$AB:$AB,"&lt;0"))))</f>
        <v/>
      </c>
      <c r="N31" s="49" t="n"/>
      <c r="O31" s="57">
        <f>IF($I31="","",COUNTIFS($I$2:$I$101,"&lt;"&amp;$I31)+1)</f>
        <v/>
      </c>
      <c r="P31" s="49" t="n"/>
      <c r="Q31" s="49" t="n"/>
      <c r="R31" s="49" t="n"/>
      <c r="S31" s="49" t="n"/>
      <c r="T31" s="49" t="n"/>
      <c r="U31" s="49" t="n"/>
      <c r="V31" s="49" t="n"/>
      <c r="W31" s="49" t="n"/>
    </row>
    <row r="32" ht="15" customHeight="1" s="27">
      <c r="A32" s="49" t="n"/>
      <c r="B32" s="57">
        <f>IF($A32="","",IFERROR(INDEX(RESULTADOS_GRID!$C:$C,MATCH($A32,RESULTADOS_GRID!$B:$B,0)),""))</f>
        <v/>
      </c>
      <c r="C32" s="57">
        <f>IF($A32="","",IFERROR(INDEX(RESULTADOS_GRID!$E:$E,MATCH($A32,RESULTADOS_GRID!$B:$B,0)),""))</f>
        <v/>
      </c>
      <c r="D32" s="57">
        <f>IF($A32="","",IFERROR(INDEX(RESULTADOS_GRID!$D:$D,MATCH($A32,RESULTADOS_GRID!$B:$B,0)),""))</f>
        <v/>
      </c>
      <c r="E32" s="57">
        <f>IF($A32="","",COUNTIF(RESULTADOS_GRID!$B:$B,$A32))</f>
        <v/>
      </c>
      <c r="F32" s="54">
        <f>IF($A32="","",SUMIF(RESULTADOS_GRID!$B:$B,$A32,RESULTADOS_GRID!$X:$X))</f>
        <v/>
      </c>
      <c r="G32" s="53" t="n"/>
      <c r="H32" s="58">
        <f>CONFIG_REFERENCIA!$E$7</f>
        <v/>
      </c>
      <c r="I32" s="54">
        <f>IF($A32="","",$F32+N($G32)*$H32)</f>
        <v/>
      </c>
      <c r="J32" s="54">
        <f>IF($A32="","",IF((COUNTIFS(RESULTADOS_GRID!$B:$B,$A32,RESULTADOS_GRID!$Y:$Y,"&gt;=0")+COUNTIFS(RESULTADOS_GRID!$B:$B,$A32,RESULTADOS_GRID!$Y:$Y,"&lt;0"))=0,"",SUMIF(RESULTADOS_GRID!$B:$B,$A32,RESULTADOS_GRID!$Y:$Y)/(COUNTIFS(RESULTADOS_GRID!$B:$B,$A32,RESULTADOS_GRID!$Y:$Y,"&gt;=0")+COUNTIFS(RESULTADOS_GRID!$B:$B,$A32,RESULTADOS_GRID!$Y:$Y,"&lt;0"))))</f>
        <v/>
      </c>
      <c r="K32" s="54">
        <f>IF($A32="","",IF((COUNTIFS(RESULTADOS_GRID!$B:$B,$A32,RESULTADOS_GRID!$Z:$Z,"&gt;=0")+COUNTIFS(RESULTADOS_GRID!$B:$B,$A32,RESULTADOS_GRID!$Z:$Z,"&lt;0"))=0,"",SUMIF(RESULTADOS_GRID!$B:$B,$A32,RESULTADOS_GRID!$Z:$Z)/(COUNTIFS(RESULTADOS_GRID!$B:$B,$A32,RESULTADOS_GRID!$Z:$Z,"&gt;=0")+COUNTIFS(RESULTADOS_GRID!$B:$B,$A32,RESULTADOS_GRID!$Z:$Z,"&lt;0"))))</f>
        <v/>
      </c>
      <c r="L32" s="51">
        <f>IF($A32="","",IF((COUNTIFS(RESULTADOS_GRID!$B:$B,$A32,RESULTADOS_GRID!$AA:$AA,"&gt;=0")+COUNTIFS(RESULTADOS_GRID!$B:$B,$A32,RESULTADOS_GRID!$AA:$AA,"&lt;0"))=0,"",SUMIF(RESULTADOS_GRID!$B:$B,$A32,RESULTADOS_GRID!$AA:$AA)/(COUNTIFS(RESULTADOS_GRID!$B:$B,$A32,RESULTADOS_GRID!$AA:$AA,"&gt;=0")+COUNTIFS(RESULTADOS_GRID!$B:$B,$A32,RESULTADOS_GRID!$AA:$AA,"&lt;0"))))</f>
        <v/>
      </c>
      <c r="M32" s="51">
        <f>IF($A32="","",IF((COUNTIFS(RESULTADOS_GRID!$B:$B,$A32,RESULTADOS_GRID!$AB:$AB,"&gt;=0")+COUNTIFS(RESULTADOS_GRID!$B:$B,$A32,RESULTADOS_GRID!$AB:$AB,"&lt;0"))=0,"",SUMIF(RESULTADOS_GRID!$B:$B,$A32,RESULTADOS_GRID!$AB:$AB)/(COUNTIFS(RESULTADOS_GRID!$B:$B,$A32,RESULTADOS_GRID!$AB:$AB,"&gt;=0")+COUNTIFS(RESULTADOS_GRID!$B:$B,$A32,RESULTADOS_GRID!$AB:$AB,"&lt;0"))))</f>
        <v/>
      </c>
      <c r="N32" s="49" t="n"/>
      <c r="O32" s="57">
        <f>IF($I32="","",COUNTIFS($I$2:$I$101,"&lt;"&amp;$I32)+1)</f>
        <v/>
      </c>
      <c r="P32" s="49" t="n"/>
      <c r="Q32" s="49" t="n"/>
      <c r="R32" s="49" t="n"/>
      <c r="S32" s="49" t="n"/>
      <c r="T32" s="49" t="n"/>
      <c r="U32" s="49" t="n"/>
      <c r="V32" s="49" t="n"/>
      <c r="W32" s="49" t="n"/>
    </row>
    <row r="33" ht="15" customHeight="1" s="27">
      <c r="A33" s="49" t="n"/>
      <c r="B33" s="57">
        <f>IF($A33="","",IFERROR(INDEX(RESULTADOS_GRID!$C:$C,MATCH($A33,RESULTADOS_GRID!$B:$B,0)),""))</f>
        <v/>
      </c>
      <c r="C33" s="57">
        <f>IF($A33="","",IFERROR(INDEX(RESULTADOS_GRID!$E:$E,MATCH($A33,RESULTADOS_GRID!$B:$B,0)),""))</f>
        <v/>
      </c>
      <c r="D33" s="57">
        <f>IF($A33="","",IFERROR(INDEX(RESULTADOS_GRID!$D:$D,MATCH($A33,RESULTADOS_GRID!$B:$B,0)),""))</f>
        <v/>
      </c>
      <c r="E33" s="57">
        <f>IF($A33="","",COUNTIF(RESULTADOS_GRID!$B:$B,$A33))</f>
        <v/>
      </c>
      <c r="F33" s="54">
        <f>IF($A33="","",SUMIF(RESULTADOS_GRID!$B:$B,$A33,RESULTADOS_GRID!$X:$X))</f>
        <v/>
      </c>
      <c r="G33" s="53" t="n"/>
      <c r="H33" s="58">
        <f>CONFIG_REFERENCIA!$E$7</f>
        <v/>
      </c>
      <c r="I33" s="54">
        <f>IF($A33="","",$F33+N($G33)*$H33)</f>
        <v/>
      </c>
      <c r="J33" s="54">
        <f>IF($A33="","",IF((COUNTIFS(RESULTADOS_GRID!$B:$B,$A33,RESULTADOS_GRID!$Y:$Y,"&gt;=0")+COUNTIFS(RESULTADOS_GRID!$B:$B,$A33,RESULTADOS_GRID!$Y:$Y,"&lt;0"))=0,"",SUMIF(RESULTADOS_GRID!$B:$B,$A33,RESULTADOS_GRID!$Y:$Y)/(COUNTIFS(RESULTADOS_GRID!$B:$B,$A33,RESULTADOS_GRID!$Y:$Y,"&gt;=0")+COUNTIFS(RESULTADOS_GRID!$B:$B,$A33,RESULTADOS_GRID!$Y:$Y,"&lt;0"))))</f>
        <v/>
      </c>
      <c r="K33" s="54">
        <f>IF($A33="","",IF((COUNTIFS(RESULTADOS_GRID!$B:$B,$A33,RESULTADOS_GRID!$Z:$Z,"&gt;=0")+COUNTIFS(RESULTADOS_GRID!$B:$B,$A33,RESULTADOS_GRID!$Z:$Z,"&lt;0"))=0,"",SUMIF(RESULTADOS_GRID!$B:$B,$A33,RESULTADOS_GRID!$Z:$Z)/(COUNTIFS(RESULTADOS_GRID!$B:$B,$A33,RESULTADOS_GRID!$Z:$Z,"&gt;=0")+COUNTIFS(RESULTADOS_GRID!$B:$B,$A33,RESULTADOS_GRID!$Z:$Z,"&lt;0"))))</f>
        <v/>
      </c>
      <c r="L33" s="51">
        <f>IF($A33="","",IF((COUNTIFS(RESULTADOS_GRID!$B:$B,$A33,RESULTADOS_GRID!$AA:$AA,"&gt;=0")+COUNTIFS(RESULTADOS_GRID!$B:$B,$A33,RESULTADOS_GRID!$AA:$AA,"&lt;0"))=0,"",SUMIF(RESULTADOS_GRID!$B:$B,$A33,RESULTADOS_GRID!$AA:$AA)/(COUNTIFS(RESULTADOS_GRID!$B:$B,$A33,RESULTADOS_GRID!$AA:$AA,"&gt;=0")+COUNTIFS(RESULTADOS_GRID!$B:$B,$A33,RESULTADOS_GRID!$AA:$AA,"&lt;0"))))</f>
        <v/>
      </c>
      <c r="M33" s="51">
        <f>IF($A33="","",IF((COUNTIFS(RESULTADOS_GRID!$B:$B,$A33,RESULTADOS_GRID!$AB:$AB,"&gt;=0")+COUNTIFS(RESULTADOS_GRID!$B:$B,$A33,RESULTADOS_GRID!$AB:$AB,"&lt;0"))=0,"",SUMIF(RESULTADOS_GRID!$B:$B,$A33,RESULTADOS_GRID!$AB:$AB)/(COUNTIFS(RESULTADOS_GRID!$B:$B,$A33,RESULTADOS_GRID!$AB:$AB,"&gt;=0")+COUNTIFS(RESULTADOS_GRID!$B:$B,$A33,RESULTADOS_GRID!$AB:$AB,"&lt;0"))))</f>
        <v/>
      </c>
      <c r="N33" s="49" t="n"/>
      <c r="O33" s="57">
        <f>IF($I33="","",COUNTIFS($I$2:$I$101,"&lt;"&amp;$I33)+1)</f>
        <v/>
      </c>
      <c r="P33" s="49" t="n"/>
      <c r="Q33" s="49" t="n"/>
      <c r="R33" s="49" t="n"/>
      <c r="S33" s="49" t="n"/>
      <c r="T33" s="49" t="n"/>
      <c r="U33" s="49" t="n"/>
      <c r="V33" s="49" t="n"/>
      <c r="W33" s="49" t="n"/>
    </row>
    <row r="34" ht="15" customHeight="1" s="27">
      <c r="A34" s="49" t="n"/>
      <c r="B34" s="57">
        <f>IF($A34="","",IFERROR(INDEX(RESULTADOS_GRID!$C:$C,MATCH($A34,RESULTADOS_GRID!$B:$B,0)),""))</f>
        <v/>
      </c>
      <c r="C34" s="57">
        <f>IF($A34="","",IFERROR(INDEX(RESULTADOS_GRID!$E:$E,MATCH($A34,RESULTADOS_GRID!$B:$B,0)),""))</f>
        <v/>
      </c>
      <c r="D34" s="57">
        <f>IF($A34="","",IFERROR(INDEX(RESULTADOS_GRID!$D:$D,MATCH($A34,RESULTADOS_GRID!$B:$B,0)),""))</f>
        <v/>
      </c>
      <c r="E34" s="57">
        <f>IF($A34="","",COUNTIF(RESULTADOS_GRID!$B:$B,$A34))</f>
        <v/>
      </c>
      <c r="F34" s="54">
        <f>IF($A34="","",SUMIF(RESULTADOS_GRID!$B:$B,$A34,RESULTADOS_GRID!$X:$X))</f>
        <v/>
      </c>
      <c r="G34" s="53" t="n"/>
      <c r="H34" s="58">
        <f>CONFIG_REFERENCIA!$E$7</f>
        <v/>
      </c>
      <c r="I34" s="54">
        <f>IF($A34="","",$F34+N($G34)*$H34)</f>
        <v/>
      </c>
      <c r="J34" s="54">
        <f>IF($A34="","",IF((COUNTIFS(RESULTADOS_GRID!$B:$B,$A34,RESULTADOS_GRID!$Y:$Y,"&gt;=0")+COUNTIFS(RESULTADOS_GRID!$B:$B,$A34,RESULTADOS_GRID!$Y:$Y,"&lt;0"))=0,"",SUMIF(RESULTADOS_GRID!$B:$B,$A34,RESULTADOS_GRID!$Y:$Y)/(COUNTIFS(RESULTADOS_GRID!$B:$B,$A34,RESULTADOS_GRID!$Y:$Y,"&gt;=0")+COUNTIFS(RESULTADOS_GRID!$B:$B,$A34,RESULTADOS_GRID!$Y:$Y,"&lt;0"))))</f>
        <v/>
      </c>
      <c r="K34" s="54">
        <f>IF($A34="","",IF((COUNTIFS(RESULTADOS_GRID!$B:$B,$A34,RESULTADOS_GRID!$Z:$Z,"&gt;=0")+COUNTIFS(RESULTADOS_GRID!$B:$B,$A34,RESULTADOS_GRID!$Z:$Z,"&lt;0"))=0,"",SUMIF(RESULTADOS_GRID!$B:$B,$A34,RESULTADOS_GRID!$Z:$Z)/(COUNTIFS(RESULTADOS_GRID!$B:$B,$A34,RESULTADOS_GRID!$Z:$Z,"&gt;=0")+COUNTIFS(RESULTADOS_GRID!$B:$B,$A34,RESULTADOS_GRID!$Z:$Z,"&lt;0"))))</f>
        <v/>
      </c>
      <c r="L34" s="51">
        <f>IF($A34="","",IF((COUNTIFS(RESULTADOS_GRID!$B:$B,$A34,RESULTADOS_GRID!$AA:$AA,"&gt;=0")+COUNTIFS(RESULTADOS_GRID!$B:$B,$A34,RESULTADOS_GRID!$AA:$AA,"&lt;0"))=0,"",SUMIF(RESULTADOS_GRID!$B:$B,$A34,RESULTADOS_GRID!$AA:$AA)/(COUNTIFS(RESULTADOS_GRID!$B:$B,$A34,RESULTADOS_GRID!$AA:$AA,"&gt;=0")+COUNTIFS(RESULTADOS_GRID!$B:$B,$A34,RESULTADOS_GRID!$AA:$AA,"&lt;0"))))</f>
        <v/>
      </c>
      <c r="M34" s="51">
        <f>IF($A34="","",IF((COUNTIFS(RESULTADOS_GRID!$B:$B,$A34,RESULTADOS_GRID!$AB:$AB,"&gt;=0")+COUNTIFS(RESULTADOS_GRID!$B:$B,$A34,RESULTADOS_GRID!$AB:$AB,"&lt;0"))=0,"",SUMIF(RESULTADOS_GRID!$B:$B,$A34,RESULTADOS_GRID!$AB:$AB)/(COUNTIFS(RESULTADOS_GRID!$B:$B,$A34,RESULTADOS_GRID!$AB:$AB,"&gt;=0")+COUNTIFS(RESULTADOS_GRID!$B:$B,$A34,RESULTADOS_GRID!$AB:$AB,"&lt;0"))))</f>
        <v/>
      </c>
      <c r="N34" s="49" t="n"/>
      <c r="O34" s="57">
        <f>IF($I34="","",COUNTIFS($I$2:$I$101,"&lt;"&amp;$I34)+1)</f>
        <v/>
      </c>
      <c r="P34" s="49" t="n"/>
      <c r="Q34" s="49" t="n"/>
      <c r="R34" s="49" t="n"/>
      <c r="S34" s="49" t="n"/>
      <c r="T34" s="49" t="n"/>
      <c r="U34" s="49" t="n"/>
      <c r="V34" s="49" t="n"/>
      <c r="W34" s="49" t="n"/>
    </row>
    <row r="35" ht="15" customHeight="1" s="27">
      <c r="A35" s="49" t="n"/>
      <c r="B35" s="57">
        <f>IF($A35="","",IFERROR(INDEX(RESULTADOS_GRID!$C:$C,MATCH($A35,RESULTADOS_GRID!$B:$B,0)),""))</f>
        <v/>
      </c>
      <c r="C35" s="57">
        <f>IF($A35="","",IFERROR(INDEX(RESULTADOS_GRID!$E:$E,MATCH($A35,RESULTADOS_GRID!$B:$B,0)),""))</f>
        <v/>
      </c>
      <c r="D35" s="57">
        <f>IF($A35="","",IFERROR(INDEX(RESULTADOS_GRID!$D:$D,MATCH($A35,RESULTADOS_GRID!$B:$B,0)),""))</f>
        <v/>
      </c>
      <c r="E35" s="57">
        <f>IF($A35="","",COUNTIF(RESULTADOS_GRID!$B:$B,$A35))</f>
        <v/>
      </c>
      <c r="F35" s="54">
        <f>IF($A35="","",SUMIF(RESULTADOS_GRID!$B:$B,$A35,RESULTADOS_GRID!$X:$X))</f>
        <v/>
      </c>
      <c r="G35" s="53" t="n"/>
      <c r="H35" s="58">
        <f>CONFIG_REFERENCIA!$E$7</f>
        <v/>
      </c>
      <c r="I35" s="54">
        <f>IF($A35="","",$F35+N($G35)*$H35)</f>
        <v/>
      </c>
      <c r="J35" s="54">
        <f>IF($A35="","",IF((COUNTIFS(RESULTADOS_GRID!$B:$B,$A35,RESULTADOS_GRID!$Y:$Y,"&gt;=0")+COUNTIFS(RESULTADOS_GRID!$B:$B,$A35,RESULTADOS_GRID!$Y:$Y,"&lt;0"))=0,"",SUMIF(RESULTADOS_GRID!$B:$B,$A35,RESULTADOS_GRID!$Y:$Y)/(COUNTIFS(RESULTADOS_GRID!$B:$B,$A35,RESULTADOS_GRID!$Y:$Y,"&gt;=0")+COUNTIFS(RESULTADOS_GRID!$B:$B,$A35,RESULTADOS_GRID!$Y:$Y,"&lt;0"))))</f>
        <v/>
      </c>
      <c r="K35" s="54">
        <f>IF($A35="","",IF((COUNTIFS(RESULTADOS_GRID!$B:$B,$A35,RESULTADOS_GRID!$Z:$Z,"&gt;=0")+COUNTIFS(RESULTADOS_GRID!$B:$B,$A35,RESULTADOS_GRID!$Z:$Z,"&lt;0"))=0,"",SUMIF(RESULTADOS_GRID!$B:$B,$A35,RESULTADOS_GRID!$Z:$Z)/(COUNTIFS(RESULTADOS_GRID!$B:$B,$A35,RESULTADOS_GRID!$Z:$Z,"&gt;=0")+COUNTIFS(RESULTADOS_GRID!$B:$B,$A35,RESULTADOS_GRID!$Z:$Z,"&lt;0"))))</f>
        <v/>
      </c>
      <c r="L35" s="51">
        <f>IF($A35="","",IF((COUNTIFS(RESULTADOS_GRID!$B:$B,$A35,RESULTADOS_GRID!$AA:$AA,"&gt;=0")+COUNTIFS(RESULTADOS_GRID!$B:$B,$A35,RESULTADOS_GRID!$AA:$AA,"&lt;0"))=0,"",SUMIF(RESULTADOS_GRID!$B:$B,$A35,RESULTADOS_GRID!$AA:$AA)/(COUNTIFS(RESULTADOS_GRID!$B:$B,$A35,RESULTADOS_GRID!$AA:$AA,"&gt;=0")+COUNTIFS(RESULTADOS_GRID!$B:$B,$A35,RESULTADOS_GRID!$AA:$AA,"&lt;0"))))</f>
        <v/>
      </c>
      <c r="M35" s="51">
        <f>IF($A35="","",IF((COUNTIFS(RESULTADOS_GRID!$B:$B,$A35,RESULTADOS_GRID!$AB:$AB,"&gt;=0")+COUNTIFS(RESULTADOS_GRID!$B:$B,$A35,RESULTADOS_GRID!$AB:$AB,"&lt;0"))=0,"",SUMIF(RESULTADOS_GRID!$B:$B,$A35,RESULTADOS_GRID!$AB:$AB)/(COUNTIFS(RESULTADOS_GRID!$B:$B,$A35,RESULTADOS_GRID!$AB:$AB,"&gt;=0")+COUNTIFS(RESULTADOS_GRID!$B:$B,$A35,RESULTADOS_GRID!$AB:$AB,"&lt;0"))))</f>
        <v/>
      </c>
      <c r="N35" s="49" t="n"/>
      <c r="O35" s="57">
        <f>IF($I35="","",COUNTIFS($I$2:$I$101,"&lt;"&amp;$I35)+1)</f>
        <v/>
      </c>
      <c r="P35" s="49" t="n"/>
      <c r="Q35" s="49" t="n"/>
      <c r="R35" s="49" t="n"/>
      <c r="S35" s="49" t="n"/>
      <c r="T35" s="49" t="n"/>
      <c r="U35" s="49" t="n"/>
      <c r="V35" s="49" t="n"/>
      <c r="W35" s="49" t="n"/>
    </row>
    <row r="36" ht="15" customHeight="1" s="27">
      <c r="A36" s="49" t="n"/>
      <c r="B36" s="57">
        <f>IF($A36="","",IFERROR(INDEX(RESULTADOS_GRID!$C:$C,MATCH($A36,RESULTADOS_GRID!$B:$B,0)),""))</f>
        <v/>
      </c>
      <c r="C36" s="57">
        <f>IF($A36="","",IFERROR(INDEX(RESULTADOS_GRID!$E:$E,MATCH($A36,RESULTADOS_GRID!$B:$B,0)),""))</f>
        <v/>
      </c>
      <c r="D36" s="57">
        <f>IF($A36="","",IFERROR(INDEX(RESULTADOS_GRID!$D:$D,MATCH($A36,RESULTADOS_GRID!$B:$B,0)),""))</f>
        <v/>
      </c>
      <c r="E36" s="57">
        <f>IF($A36="","",COUNTIF(RESULTADOS_GRID!$B:$B,$A36))</f>
        <v/>
      </c>
      <c r="F36" s="54">
        <f>IF($A36="","",SUMIF(RESULTADOS_GRID!$B:$B,$A36,RESULTADOS_GRID!$X:$X))</f>
        <v/>
      </c>
      <c r="G36" s="53" t="n"/>
      <c r="H36" s="58">
        <f>CONFIG_REFERENCIA!$E$7</f>
        <v/>
      </c>
      <c r="I36" s="54">
        <f>IF($A36="","",$F36+N($G36)*$H36)</f>
        <v/>
      </c>
      <c r="J36" s="54">
        <f>IF($A36="","",IF((COUNTIFS(RESULTADOS_GRID!$B:$B,$A36,RESULTADOS_GRID!$Y:$Y,"&gt;=0")+COUNTIFS(RESULTADOS_GRID!$B:$B,$A36,RESULTADOS_GRID!$Y:$Y,"&lt;0"))=0,"",SUMIF(RESULTADOS_GRID!$B:$B,$A36,RESULTADOS_GRID!$Y:$Y)/(COUNTIFS(RESULTADOS_GRID!$B:$B,$A36,RESULTADOS_GRID!$Y:$Y,"&gt;=0")+COUNTIFS(RESULTADOS_GRID!$B:$B,$A36,RESULTADOS_GRID!$Y:$Y,"&lt;0"))))</f>
        <v/>
      </c>
      <c r="K36" s="54">
        <f>IF($A36="","",IF((COUNTIFS(RESULTADOS_GRID!$B:$B,$A36,RESULTADOS_GRID!$Z:$Z,"&gt;=0")+COUNTIFS(RESULTADOS_GRID!$B:$B,$A36,RESULTADOS_GRID!$Z:$Z,"&lt;0"))=0,"",SUMIF(RESULTADOS_GRID!$B:$B,$A36,RESULTADOS_GRID!$Z:$Z)/(COUNTIFS(RESULTADOS_GRID!$B:$B,$A36,RESULTADOS_GRID!$Z:$Z,"&gt;=0")+COUNTIFS(RESULTADOS_GRID!$B:$B,$A36,RESULTADOS_GRID!$Z:$Z,"&lt;0"))))</f>
        <v/>
      </c>
      <c r="L36" s="51">
        <f>IF($A36="","",IF((COUNTIFS(RESULTADOS_GRID!$B:$B,$A36,RESULTADOS_GRID!$AA:$AA,"&gt;=0")+COUNTIFS(RESULTADOS_GRID!$B:$B,$A36,RESULTADOS_GRID!$AA:$AA,"&lt;0"))=0,"",SUMIF(RESULTADOS_GRID!$B:$B,$A36,RESULTADOS_GRID!$AA:$AA)/(COUNTIFS(RESULTADOS_GRID!$B:$B,$A36,RESULTADOS_GRID!$AA:$AA,"&gt;=0")+COUNTIFS(RESULTADOS_GRID!$B:$B,$A36,RESULTADOS_GRID!$AA:$AA,"&lt;0"))))</f>
        <v/>
      </c>
      <c r="M36" s="51">
        <f>IF($A36="","",IF((COUNTIFS(RESULTADOS_GRID!$B:$B,$A36,RESULTADOS_GRID!$AB:$AB,"&gt;=0")+COUNTIFS(RESULTADOS_GRID!$B:$B,$A36,RESULTADOS_GRID!$AB:$AB,"&lt;0"))=0,"",SUMIF(RESULTADOS_GRID!$B:$B,$A36,RESULTADOS_GRID!$AB:$AB)/(COUNTIFS(RESULTADOS_GRID!$B:$B,$A36,RESULTADOS_GRID!$AB:$AB,"&gt;=0")+COUNTIFS(RESULTADOS_GRID!$B:$B,$A36,RESULTADOS_GRID!$AB:$AB,"&lt;0"))))</f>
        <v/>
      </c>
      <c r="N36" s="49" t="n"/>
      <c r="O36" s="57">
        <f>IF($I36="","",COUNTIFS($I$2:$I$101,"&lt;"&amp;$I36)+1)</f>
        <v/>
      </c>
      <c r="P36" s="49" t="n"/>
      <c r="Q36" s="49" t="n"/>
      <c r="R36" s="49" t="n"/>
      <c r="S36" s="49" t="n"/>
      <c r="T36" s="49" t="n"/>
      <c r="U36" s="49" t="n"/>
      <c r="V36" s="49" t="n"/>
      <c r="W36" s="49" t="n"/>
    </row>
    <row r="37" ht="15" customHeight="1" s="27">
      <c r="A37" s="49" t="n"/>
      <c r="B37" s="57">
        <f>IF($A37="","",IFERROR(INDEX(RESULTADOS_GRID!$C:$C,MATCH($A37,RESULTADOS_GRID!$B:$B,0)),""))</f>
        <v/>
      </c>
      <c r="C37" s="57">
        <f>IF($A37="","",IFERROR(INDEX(RESULTADOS_GRID!$E:$E,MATCH($A37,RESULTADOS_GRID!$B:$B,0)),""))</f>
        <v/>
      </c>
      <c r="D37" s="57">
        <f>IF($A37="","",IFERROR(INDEX(RESULTADOS_GRID!$D:$D,MATCH($A37,RESULTADOS_GRID!$B:$B,0)),""))</f>
        <v/>
      </c>
      <c r="E37" s="57">
        <f>IF($A37="","",COUNTIF(RESULTADOS_GRID!$B:$B,$A37))</f>
        <v/>
      </c>
      <c r="F37" s="54">
        <f>IF($A37="","",SUMIF(RESULTADOS_GRID!$B:$B,$A37,RESULTADOS_GRID!$X:$X))</f>
        <v/>
      </c>
      <c r="G37" s="53" t="n"/>
      <c r="H37" s="58">
        <f>CONFIG_REFERENCIA!$E$7</f>
        <v/>
      </c>
      <c r="I37" s="54">
        <f>IF($A37="","",$F37+N($G37)*$H37)</f>
        <v/>
      </c>
      <c r="J37" s="54">
        <f>IF($A37="","",IF((COUNTIFS(RESULTADOS_GRID!$B:$B,$A37,RESULTADOS_GRID!$Y:$Y,"&gt;=0")+COUNTIFS(RESULTADOS_GRID!$B:$B,$A37,RESULTADOS_GRID!$Y:$Y,"&lt;0"))=0,"",SUMIF(RESULTADOS_GRID!$B:$B,$A37,RESULTADOS_GRID!$Y:$Y)/(COUNTIFS(RESULTADOS_GRID!$B:$B,$A37,RESULTADOS_GRID!$Y:$Y,"&gt;=0")+COUNTIFS(RESULTADOS_GRID!$B:$B,$A37,RESULTADOS_GRID!$Y:$Y,"&lt;0"))))</f>
        <v/>
      </c>
      <c r="K37" s="54">
        <f>IF($A37="","",IF((COUNTIFS(RESULTADOS_GRID!$B:$B,$A37,RESULTADOS_GRID!$Z:$Z,"&gt;=0")+COUNTIFS(RESULTADOS_GRID!$B:$B,$A37,RESULTADOS_GRID!$Z:$Z,"&lt;0"))=0,"",SUMIF(RESULTADOS_GRID!$B:$B,$A37,RESULTADOS_GRID!$Z:$Z)/(COUNTIFS(RESULTADOS_GRID!$B:$B,$A37,RESULTADOS_GRID!$Z:$Z,"&gt;=0")+COUNTIFS(RESULTADOS_GRID!$B:$B,$A37,RESULTADOS_GRID!$Z:$Z,"&lt;0"))))</f>
        <v/>
      </c>
      <c r="L37" s="51">
        <f>IF($A37="","",IF((COUNTIFS(RESULTADOS_GRID!$B:$B,$A37,RESULTADOS_GRID!$AA:$AA,"&gt;=0")+COUNTIFS(RESULTADOS_GRID!$B:$B,$A37,RESULTADOS_GRID!$AA:$AA,"&lt;0"))=0,"",SUMIF(RESULTADOS_GRID!$B:$B,$A37,RESULTADOS_GRID!$AA:$AA)/(COUNTIFS(RESULTADOS_GRID!$B:$B,$A37,RESULTADOS_GRID!$AA:$AA,"&gt;=0")+COUNTIFS(RESULTADOS_GRID!$B:$B,$A37,RESULTADOS_GRID!$AA:$AA,"&lt;0"))))</f>
        <v/>
      </c>
      <c r="M37" s="51">
        <f>IF($A37="","",IF((COUNTIFS(RESULTADOS_GRID!$B:$B,$A37,RESULTADOS_GRID!$AB:$AB,"&gt;=0")+COUNTIFS(RESULTADOS_GRID!$B:$B,$A37,RESULTADOS_GRID!$AB:$AB,"&lt;0"))=0,"",SUMIF(RESULTADOS_GRID!$B:$B,$A37,RESULTADOS_GRID!$AB:$AB)/(COUNTIFS(RESULTADOS_GRID!$B:$B,$A37,RESULTADOS_GRID!$AB:$AB,"&gt;=0")+COUNTIFS(RESULTADOS_GRID!$B:$B,$A37,RESULTADOS_GRID!$AB:$AB,"&lt;0"))))</f>
        <v/>
      </c>
      <c r="N37" s="49" t="n"/>
      <c r="O37" s="57">
        <f>IF($I37="","",COUNTIFS($I$2:$I$101,"&lt;"&amp;$I37)+1)</f>
        <v/>
      </c>
      <c r="P37" s="49" t="n"/>
      <c r="Q37" s="49" t="n"/>
      <c r="R37" s="49" t="n"/>
      <c r="S37" s="49" t="n"/>
      <c r="T37" s="49" t="n"/>
      <c r="U37" s="49" t="n"/>
      <c r="V37" s="49" t="n"/>
      <c r="W37" s="49" t="n"/>
    </row>
    <row r="38" ht="15" customHeight="1" s="27">
      <c r="A38" s="49" t="n"/>
      <c r="B38" s="57">
        <f>IF($A38="","",IFERROR(INDEX(RESULTADOS_GRID!$C:$C,MATCH($A38,RESULTADOS_GRID!$B:$B,0)),""))</f>
        <v/>
      </c>
      <c r="C38" s="57">
        <f>IF($A38="","",IFERROR(INDEX(RESULTADOS_GRID!$E:$E,MATCH($A38,RESULTADOS_GRID!$B:$B,0)),""))</f>
        <v/>
      </c>
      <c r="D38" s="57">
        <f>IF($A38="","",IFERROR(INDEX(RESULTADOS_GRID!$D:$D,MATCH($A38,RESULTADOS_GRID!$B:$B,0)),""))</f>
        <v/>
      </c>
      <c r="E38" s="57">
        <f>IF($A38="","",COUNTIF(RESULTADOS_GRID!$B:$B,$A38))</f>
        <v/>
      </c>
      <c r="F38" s="54">
        <f>IF($A38="","",SUMIF(RESULTADOS_GRID!$B:$B,$A38,RESULTADOS_GRID!$X:$X))</f>
        <v/>
      </c>
      <c r="G38" s="53" t="n"/>
      <c r="H38" s="58">
        <f>CONFIG_REFERENCIA!$E$7</f>
        <v/>
      </c>
      <c r="I38" s="54">
        <f>IF($A38="","",$F38+N($G38)*$H38)</f>
        <v/>
      </c>
      <c r="J38" s="54">
        <f>IF($A38="","",IF((COUNTIFS(RESULTADOS_GRID!$B:$B,$A38,RESULTADOS_GRID!$Y:$Y,"&gt;=0")+COUNTIFS(RESULTADOS_GRID!$B:$B,$A38,RESULTADOS_GRID!$Y:$Y,"&lt;0"))=0,"",SUMIF(RESULTADOS_GRID!$B:$B,$A38,RESULTADOS_GRID!$Y:$Y)/(COUNTIFS(RESULTADOS_GRID!$B:$B,$A38,RESULTADOS_GRID!$Y:$Y,"&gt;=0")+COUNTIFS(RESULTADOS_GRID!$B:$B,$A38,RESULTADOS_GRID!$Y:$Y,"&lt;0"))))</f>
        <v/>
      </c>
      <c r="K38" s="54">
        <f>IF($A38="","",IF((COUNTIFS(RESULTADOS_GRID!$B:$B,$A38,RESULTADOS_GRID!$Z:$Z,"&gt;=0")+COUNTIFS(RESULTADOS_GRID!$B:$B,$A38,RESULTADOS_GRID!$Z:$Z,"&lt;0"))=0,"",SUMIF(RESULTADOS_GRID!$B:$B,$A38,RESULTADOS_GRID!$Z:$Z)/(COUNTIFS(RESULTADOS_GRID!$B:$B,$A38,RESULTADOS_GRID!$Z:$Z,"&gt;=0")+COUNTIFS(RESULTADOS_GRID!$B:$B,$A38,RESULTADOS_GRID!$Z:$Z,"&lt;0"))))</f>
        <v/>
      </c>
      <c r="L38" s="51">
        <f>IF($A38="","",IF((COUNTIFS(RESULTADOS_GRID!$B:$B,$A38,RESULTADOS_GRID!$AA:$AA,"&gt;=0")+COUNTIFS(RESULTADOS_GRID!$B:$B,$A38,RESULTADOS_GRID!$AA:$AA,"&lt;0"))=0,"",SUMIF(RESULTADOS_GRID!$B:$B,$A38,RESULTADOS_GRID!$AA:$AA)/(COUNTIFS(RESULTADOS_GRID!$B:$B,$A38,RESULTADOS_GRID!$AA:$AA,"&gt;=0")+COUNTIFS(RESULTADOS_GRID!$B:$B,$A38,RESULTADOS_GRID!$AA:$AA,"&lt;0"))))</f>
        <v/>
      </c>
      <c r="M38" s="51">
        <f>IF($A38="","",IF((COUNTIFS(RESULTADOS_GRID!$B:$B,$A38,RESULTADOS_GRID!$AB:$AB,"&gt;=0")+COUNTIFS(RESULTADOS_GRID!$B:$B,$A38,RESULTADOS_GRID!$AB:$AB,"&lt;0"))=0,"",SUMIF(RESULTADOS_GRID!$B:$B,$A38,RESULTADOS_GRID!$AB:$AB)/(COUNTIFS(RESULTADOS_GRID!$B:$B,$A38,RESULTADOS_GRID!$AB:$AB,"&gt;=0")+COUNTIFS(RESULTADOS_GRID!$B:$B,$A38,RESULTADOS_GRID!$AB:$AB,"&lt;0"))))</f>
        <v/>
      </c>
      <c r="N38" s="49" t="n"/>
      <c r="O38" s="57">
        <f>IF($I38="","",COUNTIFS($I$2:$I$101,"&lt;"&amp;$I38)+1)</f>
        <v/>
      </c>
      <c r="P38" s="49" t="n"/>
      <c r="Q38" s="49" t="n"/>
      <c r="R38" s="49" t="n"/>
      <c r="S38" s="49" t="n"/>
      <c r="T38" s="49" t="n"/>
      <c r="U38" s="49" t="n"/>
      <c r="V38" s="49" t="n"/>
      <c r="W38" s="49" t="n"/>
    </row>
    <row r="39" ht="15" customHeight="1" s="27">
      <c r="A39" s="49" t="n"/>
      <c r="B39" s="57">
        <f>IF($A39="","",IFERROR(INDEX(RESULTADOS_GRID!$C:$C,MATCH($A39,RESULTADOS_GRID!$B:$B,0)),""))</f>
        <v/>
      </c>
      <c r="C39" s="57">
        <f>IF($A39="","",IFERROR(INDEX(RESULTADOS_GRID!$E:$E,MATCH($A39,RESULTADOS_GRID!$B:$B,0)),""))</f>
        <v/>
      </c>
      <c r="D39" s="57">
        <f>IF($A39="","",IFERROR(INDEX(RESULTADOS_GRID!$D:$D,MATCH($A39,RESULTADOS_GRID!$B:$B,0)),""))</f>
        <v/>
      </c>
      <c r="E39" s="57">
        <f>IF($A39="","",COUNTIF(RESULTADOS_GRID!$B:$B,$A39))</f>
        <v/>
      </c>
      <c r="F39" s="54">
        <f>IF($A39="","",SUMIF(RESULTADOS_GRID!$B:$B,$A39,RESULTADOS_GRID!$X:$X))</f>
        <v/>
      </c>
      <c r="G39" s="53" t="n"/>
      <c r="H39" s="58">
        <f>CONFIG_REFERENCIA!$E$7</f>
        <v/>
      </c>
      <c r="I39" s="54">
        <f>IF($A39="","",$F39+N($G39)*$H39)</f>
        <v/>
      </c>
      <c r="J39" s="54">
        <f>IF($A39="","",IF((COUNTIFS(RESULTADOS_GRID!$B:$B,$A39,RESULTADOS_GRID!$Y:$Y,"&gt;=0")+COUNTIFS(RESULTADOS_GRID!$B:$B,$A39,RESULTADOS_GRID!$Y:$Y,"&lt;0"))=0,"",SUMIF(RESULTADOS_GRID!$B:$B,$A39,RESULTADOS_GRID!$Y:$Y)/(COUNTIFS(RESULTADOS_GRID!$B:$B,$A39,RESULTADOS_GRID!$Y:$Y,"&gt;=0")+COUNTIFS(RESULTADOS_GRID!$B:$B,$A39,RESULTADOS_GRID!$Y:$Y,"&lt;0"))))</f>
        <v/>
      </c>
      <c r="K39" s="54">
        <f>IF($A39="","",IF((COUNTIFS(RESULTADOS_GRID!$B:$B,$A39,RESULTADOS_GRID!$Z:$Z,"&gt;=0")+COUNTIFS(RESULTADOS_GRID!$B:$B,$A39,RESULTADOS_GRID!$Z:$Z,"&lt;0"))=0,"",SUMIF(RESULTADOS_GRID!$B:$B,$A39,RESULTADOS_GRID!$Z:$Z)/(COUNTIFS(RESULTADOS_GRID!$B:$B,$A39,RESULTADOS_GRID!$Z:$Z,"&gt;=0")+COUNTIFS(RESULTADOS_GRID!$B:$B,$A39,RESULTADOS_GRID!$Z:$Z,"&lt;0"))))</f>
        <v/>
      </c>
      <c r="L39" s="51">
        <f>IF($A39="","",IF((COUNTIFS(RESULTADOS_GRID!$B:$B,$A39,RESULTADOS_GRID!$AA:$AA,"&gt;=0")+COUNTIFS(RESULTADOS_GRID!$B:$B,$A39,RESULTADOS_GRID!$AA:$AA,"&lt;0"))=0,"",SUMIF(RESULTADOS_GRID!$B:$B,$A39,RESULTADOS_GRID!$AA:$AA)/(COUNTIFS(RESULTADOS_GRID!$B:$B,$A39,RESULTADOS_GRID!$AA:$AA,"&gt;=0")+COUNTIFS(RESULTADOS_GRID!$B:$B,$A39,RESULTADOS_GRID!$AA:$AA,"&lt;0"))))</f>
        <v/>
      </c>
      <c r="M39" s="51">
        <f>IF($A39="","",IF((COUNTIFS(RESULTADOS_GRID!$B:$B,$A39,RESULTADOS_GRID!$AB:$AB,"&gt;=0")+COUNTIFS(RESULTADOS_GRID!$B:$B,$A39,RESULTADOS_GRID!$AB:$AB,"&lt;0"))=0,"",SUMIF(RESULTADOS_GRID!$B:$B,$A39,RESULTADOS_GRID!$AB:$AB)/(COUNTIFS(RESULTADOS_GRID!$B:$B,$A39,RESULTADOS_GRID!$AB:$AB,"&gt;=0")+COUNTIFS(RESULTADOS_GRID!$B:$B,$A39,RESULTADOS_GRID!$AB:$AB,"&lt;0"))))</f>
        <v/>
      </c>
      <c r="N39" s="49" t="n"/>
      <c r="O39" s="57">
        <f>IF($I39="","",COUNTIFS($I$2:$I$101,"&lt;"&amp;$I39)+1)</f>
        <v/>
      </c>
      <c r="P39" s="49" t="n"/>
      <c r="Q39" s="49" t="n"/>
      <c r="R39" s="49" t="n"/>
      <c r="S39" s="49" t="n"/>
      <c r="T39" s="49" t="n"/>
      <c r="U39" s="49" t="n"/>
      <c r="V39" s="49" t="n"/>
      <c r="W39" s="49" t="n"/>
    </row>
    <row r="40" ht="15" customHeight="1" s="27">
      <c r="A40" s="49" t="n"/>
      <c r="B40" s="57">
        <f>IF($A40="","",IFERROR(INDEX(RESULTADOS_GRID!$C:$C,MATCH($A40,RESULTADOS_GRID!$B:$B,0)),""))</f>
        <v/>
      </c>
      <c r="C40" s="57">
        <f>IF($A40="","",IFERROR(INDEX(RESULTADOS_GRID!$E:$E,MATCH($A40,RESULTADOS_GRID!$B:$B,0)),""))</f>
        <v/>
      </c>
      <c r="D40" s="57">
        <f>IF($A40="","",IFERROR(INDEX(RESULTADOS_GRID!$D:$D,MATCH($A40,RESULTADOS_GRID!$B:$B,0)),""))</f>
        <v/>
      </c>
      <c r="E40" s="57">
        <f>IF($A40="","",COUNTIF(RESULTADOS_GRID!$B:$B,$A40))</f>
        <v/>
      </c>
      <c r="F40" s="54">
        <f>IF($A40="","",SUMIF(RESULTADOS_GRID!$B:$B,$A40,RESULTADOS_GRID!$X:$X))</f>
        <v/>
      </c>
      <c r="G40" s="53" t="n"/>
      <c r="H40" s="58">
        <f>CONFIG_REFERENCIA!$E$7</f>
        <v/>
      </c>
      <c r="I40" s="54">
        <f>IF($A40="","",$F40+N($G40)*$H40)</f>
        <v/>
      </c>
      <c r="J40" s="54">
        <f>IF($A40="","",IF((COUNTIFS(RESULTADOS_GRID!$B:$B,$A40,RESULTADOS_GRID!$Y:$Y,"&gt;=0")+COUNTIFS(RESULTADOS_GRID!$B:$B,$A40,RESULTADOS_GRID!$Y:$Y,"&lt;0"))=0,"",SUMIF(RESULTADOS_GRID!$B:$B,$A40,RESULTADOS_GRID!$Y:$Y)/(COUNTIFS(RESULTADOS_GRID!$B:$B,$A40,RESULTADOS_GRID!$Y:$Y,"&gt;=0")+COUNTIFS(RESULTADOS_GRID!$B:$B,$A40,RESULTADOS_GRID!$Y:$Y,"&lt;0"))))</f>
        <v/>
      </c>
      <c r="K40" s="54">
        <f>IF($A40="","",IF((COUNTIFS(RESULTADOS_GRID!$B:$B,$A40,RESULTADOS_GRID!$Z:$Z,"&gt;=0")+COUNTIFS(RESULTADOS_GRID!$B:$B,$A40,RESULTADOS_GRID!$Z:$Z,"&lt;0"))=0,"",SUMIF(RESULTADOS_GRID!$B:$B,$A40,RESULTADOS_GRID!$Z:$Z)/(COUNTIFS(RESULTADOS_GRID!$B:$B,$A40,RESULTADOS_GRID!$Z:$Z,"&gt;=0")+COUNTIFS(RESULTADOS_GRID!$B:$B,$A40,RESULTADOS_GRID!$Z:$Z,"&lt;0"))))</f>
        <v/>
      </c>
      <c r="L40" s="51">
        <f>IF($A40="","",IF((COUNTIFS(RESULTADOS_GRID!$B:$B,$A40,RESULTADOS_GRID!$AA:$AA,"&gt;=0")+COUNTIFS(RESULTADOS_GRID!$B:$B,$A40,RESULTADOS_GRID!$AA:$AA,"&lt;0"))=0,"",SUMIF(RESULTADOS_GRID!$B:$B,$A40,RESULTADOS_GRID!$AA:$AA)/(COUNTIFS(RESULTADOS_GRID!$B:$B,$A40,RESULTADOS_GRID!$AA:$AA,"&gt;=0")+COUNTIFS(RESULTADOS_GRID!$B:$B,$A40,RESULTADOS_GRID!$AA:$AA,"&lt;0"))))</f>
        <v/>
      </c>
      <c r="M40" s="51">
        <f>IF($A40="","",IF((COUNTIFS(RESULTADOS_GRID!$B:$B,$A40,RESULTADOS_GRID!$AB:$AB,"&gt;=0")+COUNTIFS(RESULTADOS_GRID!$B:$B,$A40,RESULTADOS_GRID!$AB:$AB,"&lt;0"))=0,"",SUMIF(RESULTADOS_GRID!$B:$B,$A40,RESULTADOS_GRID!$AB:$AB)/(COUNTIFS(RESULTADOS_GRID!$B:$B,$A40,RESULTADOS_GRID!$AB:$AB,"&gt;=0")+COUNTIFS(RESULTADOS_GRID!$B:$B,$A40,RESULTADOS_GRID!$AB:$AB,"&lt;0"))))</f>
        <v/>
      </c>
      <c r="N40" s="49" t="n"/>
      <c r="O40" s="57">
        <f>IF($I40="","",COUNTIFS($I$2:$I$101,"&lt;"&amp;$I40)+1)</f>
        <v/>
      </c>
      <c r="P40" s="49" t="n"/>
      <c r="Q40" s="49" t="n"/>
      <c r="R40" s="49" t="n"/>
      <c r="S40" s="49" t="n"/>
      <c r="T40" s="49" t="n"/>
      <c r="U40" s="49" t="n"/>
      <c r="V40" s="49" t="n"/>
      <c r="W40" s="49" t="n"/>
    </row>
    <row r="41" ht="15" customHeight="1" s="27">
      <c r="A41" s="49" t="n"/>
      <c r="B41" s="57">
        <f>IF($A41="","",IFERROR(INDEX(RESULTADOS_GRID!$C:$C,MATCH($A41,RESULTADOS_GRID!$B:$B,0)),""))</f>
        <v/>
      </c>
      <c r="C41" s="57">
        <f>IF($A41="","",IFERROR(INDEX(RESULTADOS_GRID!$E:$E,MATCH($A41,RESULTADOS_GRID!$B:$B,0)),""))</f>
        <v/>
      </c>
      <c r="D41" s="57">
        <f>IF($A41="","",IFERROR(INDEX(RESULTADOS_GRID!$D:$D,MATCH($A41,RESULTADOS_GRID!$B:$B,0)),""))</f>
        <v/>
      </c>
      <c r="E41" s="57">
        <f>IF($A41="","",COUNTIF(RESULTADOS_GRID!$B:$B,$A41))</f>
        <v/>
      </c>
      <c r="F41" s="54">
        <f>IF($A41="","",SUMIF(RESULTADOS_GRID!$B:$B,$A41,RESULTADOS_GRID!$X:$X))</f>
        <v/>
      </c>
      <c r="G41" s="53" t="n"/>
      <c r="H41" s="58">
        <f>CONFIG_REFERENCIA!$E$7</f>
        <v/>
      </c>
      <c r="I41" s="54">
        <f>IF($A41="","",$F41+N($G41)*$H41)</f>
        <v/>
      </c>
      <c r="J41" s="54">
        <f>IF($A41="","",IF((COUNTIFS(RESULTADOS_GRID!$B:$B,$A41,RESULTADOS_GRID!$Y:$Y,"&gt;=0")+COUNTIFS(RESULTADOS_GRID!$B:$B,$A41,RESULTADOS_GRID!$Y:$Y,"&lt;0"))=0,"",SUMIF(RESULTADOS_GRID!$B:$B,$A41,RESULTADOS_GRID!$Y:$Y)/(COUNTIFS(RESULTADOS_GRID!$B:$B,$A41,RESULTADOS_GRID!$Y:$Y,"&gt;=0")+COUNTIFS(RESULTADOS_GRID!$B:$B,$A41,RESULTADOS_GRID!$Y:$Y,"&lt;0"))))</f>
        <v/>
      </c>
      <c r="K41" s="54">
        <f>IF($A41="","",IF((COUNTIFS(RESULTADOS_GRID!$B:$B,$A41,RESULTADOS_GRID!$Z:$Z,"&gt;=0")+COUNTIFS(RESULTADOS_GRID!$B:$B,$A41,RESULTADOS_GRID!$Z:$Z,"&lt;0"))=0,"",SUMIF(RESULTADOS_GRID!$B:$B,$A41,RESULTADOS_GRID!$Z:$Z)/(COUNTIFS(RESULTADOS_GRID!$B:$B,$A41,RESULTADOS_GRID!$Z:$Z,"&gt;=0")+COUNTIFS(RESULTADOS_GRID!$B:$B,$A41,RESULTADOS_GRID!$Z:$Z,"&lt;0"))))</f>
        <v/>
      </c>
      <c r="L41" s="51">
        <f>IF($A41="","",IF((COUNTIFS(RESULTADOS_GRID!$B:$B,$A41,RESULTADOS_GRID!$AA:$AA,"&gt;=0")+COUNTIFS(RESULTADOS_GRID!$B:$B,$A41,RESULTADOS_GRID!$AA:$AA,"&lt;0"))=0,"",SUMIF(RESULTADOS_GRID!$B:$B,$A41,RESULTADOS_GRID!$AA:$AA)/(COUNTIFS(RESULTADOS_GRID!$B:$B,$A41,RESULTADOS_GRID!$AA:$AA,"&gt;=0")+COUNTIFS(RESULTADOS_GRID!$B:$B,$A41,RESULTADOS_GRID!$AA:$AA,"&lt;0"))))</f>
        <v/>
      </c>
      <c r="M41" s="51">
        <f>IF($A41="","",IF((COUNTIFS(RESULTADOS_GRID!$B:$B,$A41,RESULTADOS_GRID!$AB:$AB,"&gt;=0")+COUNTIFS(RESULTADOS_GRID!$B:$B,$A41,RESULTADOS_GRID!$AB:$AB,"&lt;0"))=0,"",SUMIF(RESULTADOS_GRID!$B:$B,$A41,RESULTADOS_GRID!$AB:$AB)/(COUNTIFS(RESULTADOS_GRID!$B:$B,$A41,RESULTADOS_GRID!$AB:$AB,"&gt;=0")+COUNTIFS(RESULTADOS_GRID!$B:$B,$A41,RESULTADOS_GRID!$AB:$AB,"&lt;0"))))</f>
        <v/>
      </c>
      <c r="N41" s="49" t="n"/>
      <c r="O41" s="57">
        <f>IF($I41="","",COUNTIFS($I$2:$I$101,"&lt;"&amp;$I41)+1)</f>
        <v/>
      </c>
      <c r="P41" s="49" t="n"/>
      <c r="Q41" s="49" t="n"/>
      <c r="R41" s="49" t="n"/>
      <c r="S41" s="49" t="n"/>
      <c r="T41" s="49" t="n"/>
      <c r="U41" s="49" t="n"/>
      <c r="V41" s="49" t="n"/>
      <c r="W41" s="49" t="n"/>
    </row>
    <row r="42" ht="15" customHeight="1" s="27">
      <c r="A42" s="49" t="n"/>
      <c r="B42" s="57">
        <f>IF($A42="","",IFERROR(INDEX(RESULTADOS_GRID!$C:$C,MATCH($A42,RESULTADOS_GRID!$B:$B,0)),""))</f>
        <v/>
      </c>
      <c r="C42" s="57">
        <f>IF($A42="","",IFERROR(INDEX(RESULTADOS_GRID!$E:$E,MATCH($A42,RESULTADOS_GRID!$B:$B,0)),""))</f>
        <v/>
      </c>
      <c r="D42" s="57">
        <f>IF($A42="","",IFERROR(INDEX(RESULTADOS_GRID!$D:$D,MATCH($A42,RESULTADOS_GRID!$B:$B,0)),""))</f>
        <v/>
      </c>
      <c r="E42" s="57">
        <f>IF($A42="","",COUNTIF(RESULTADOS_GRID!$B:$B,$A42))</f>
        <v/>
      </c>
      <c r="F42" s="54">
        <f>IF($A42="","",SUMIF(RESULTADOS_GRID!$B:$B,$A42,RESULTADOS_GRID!$X:$X))</f>
        <v/>
      </c>
      <c r="G42" s="53" t="n"/>
      <c r="H42" s="58">
        <f>CONFIG_REFERENCIA!$E$7</f>
        <v/>
      </c>
      <c r="I42" s="54">
        <f>IF($A42="","",$F42+N($G42)*$H42)</f>
        <v/>
      </c>
      <c r="J42" s="54">
        <f>IF($A42="","",IF((COUNTIFS(RESULTADOS_GRID!$B:$B,$A42,RESULTADOS_GRID!$Y:$Y,"&gt;=0")+COUNTIFS(RESULTADOS_GRID!$B:$B,$A42,RESULTADOS_GRID!$Y:$Y,"&lt;0"))=0,"",SUMIF(RESULTADOS_GRID!$B:$B,$A42,RESULTADOS_GRID!$Y:$Y)/(COUNTIFS(RESULTADOS_GRID!$B:$B,$A42,RESULTADOS_GRID!$Y:$Y,"&gt;=0")+COUNTIFS(RESULTADOS_GRID!$B:$B,$A42,RESULTADOS_GRID!$Y:$Y,"&lt;0"))))</f>
        <v/>
      </c>
      <c r="K42" s="54">
        <f>IF($A42="","",IF((COUNTIFS(RESULTADOS_GRID!$B:$B,$A42,RESULTADOS_GRID!$Z:$Z,"&gt;=0")+COUNTIFS(RESULTADOS_GRID!$B:$B,$A42,RESULTADOS_GRID!$Z:$Z,"&lt;0"))=0,"",SUMIF(RESULTADOS_GRID!$B:$B,$A42,RESULTADOS_GRID!$Z:$Z)/(COUNTIFS(RESULTADOS_GRID!$B:$B,$A42,RESULTADOS_GRID!$Z:$Z,"&gt;=0")+COUNTIFS(RESULTADOS_GRID!$B:$B,$A42,RESULTADOS_GRID!$Z:$Z,"&lt;0"))))</f>
        <v/>
      </c>
      <c r="L42" s="51">
        <f>IF($A42="","",IF((COUNTIFS(RESULTADOS_GRID!$B:$B,$A42,RESULTADOS_GRID!$AA:$AA,"&gt;=0")+COUNTIFS(RESULTADOS_GRID!$B:$B,$A42,RESULTADOS_GRID!$AA:$AA,"&lt;0"))=0,"",SUMIF(RESULTADOS_GRID!$B:$B,$A42,RESULTADOS_GRID!$AA:$AA)/(COUNTIFS(RESULTADOS_GRID!$B:$B,$A42,RESULTADOS_GRID!$AA:$AA,"&gt;=0")+COUNTIFS(RESULTADOS_GRID!$B:$B,$A42,RESULTADOS_GRID!$AA:$AA,"&lt;0"))))</f>
        <v/>
      </c>
      <c r="M42" s="51">
        <f>IF($A42="","",IF((COUNTIFS(RESULTADOS_GRID!$B:$B,$A42,RESULTADOS_GRID!$AB:$AB,"&gt;=0")+COUNTIFS(RESULTADOS_GRID!$B:$B,$A42,RESULTADOS_GRID!$AB:$AB,"&lt;0"))=0,"",SUMIF(RESULTADOS_GRID!$B:$B,$A42,RESULTADOS_GRID!$AB:$AB)/(COUNTIFS(RESULTADOS_GRID!$B:$B,$A42,RESULTADOS_GRID!$AB:$AB,"&gt;=0")+COUNTIFS(RESULTADOS_GRID!$B:$B,$A42,RESULTADOS_GRID!$AB:$AB,"&lt;0"))))</f>
        <v/>
      </c>
      <c r="N42" s="49" t="n"/>
      <c r="O42" s="57">
        <f>IF($I42="","",COUNTIFS($I$2:$I$101,"&lt;"&amp;$I42)+1)</f>
        <v/>
      </c>
      <c r="P42" s="49" t="n"/>
      <c r="Q42" s="49" t="n"/>
      <c r="R42" s="49" t="n"/>
      <c r="S42" s="49" t="n"/>
      <c r="T42" s="49" t="n"/>
      <c r="U42" s="49" t="n"/>
      <c r="V42" s="49" t="n"/>
      <c r="W42" s="49" t="n"/>
    </row>
    <row r="43" ht="15" customHeight="1" s="27">
      <c r="A43" s="49" t="n"/>
      <c r="B43" s="57">
        <f>IF($A43="","",IFERROR(INDEX(RESULTADOS_GRID!$C:$C,MATCH($A43,RESULTADOS_GRID!$B:$B,0)),""))</f>
        <v/>
      </c>
      <c r="C43" s="57">
        <f>IF($A43="","",IFERROR(INDEX(RESULTADOS_GRID!$E:$E,MATCH($A43,RESULTADOS_GRID!$B:$B,0)),""))</f>
        <v/>
      </c>
      <c r="D43" s="57">
        <f>IF($A43="","",IFERROR(INDEX(RESULTADOS_GRID!$D:$D,MATCH($A43,RESULTADOS_GRID!$B:$B,0)),""))</f>
        <v/>
      </c>
      <c r="E43" s="57">
        <f>IF($A43="","",COUNTIF(RESULTADOS_GRID!$B:$B,$A43))</f>
        <v/>
      </c>
      <c r="F43" s="54">
        <f>IF($A43="","",SUMIF(RESULTADOS_GRID!$B:$B,$A43,RESULTADOS_GRID!$X:$X))</f>
        <v/>
      </c>
      <c r="G43" s="53" t="n"/>
      <c r="H43" s="58">
        <f>CONFIG_REFERENCIA!$E$7</f>
        <v/>
      </c>
      <c r="I43" s="54">
        <f>IF($A43="","",$F43+N($G43)*$H43)</f>
        <v/>
      </c>
      <c r="J43" s="54">
        <f>IF($A43="","",IF((COUNTIFS(RESULTADOS_GRID!$B:$B,$A43,RESULTADOS_GRID!$Y:$Y,"&gt;=0")+COUNTIFS(RESULTADOS_GRID!$B:$B,$A43,RESULTADOS_GRID!$Y:$Y,"&lt;0"))=0,"",SUMIF(RESULTADOS_GRID!$B:$B,$A43,RESULTADOS_GRID!$Y:$Y)/(COUNTIFS(RESULTADOS_GRID!$B:$B,$A43,RESULTADOS_GRID!$Y:$Y,"&gt;=0")+COUNTIFS(RESULTADOS_GRID!$B:$B,$A43,RESULTADOS_GRID!$Y:$Y,"&lt;0"))))</f>
        <v/>
      </c>
      <c r="K43" s="54">
        <f>IF($A43="","",IF((COUNTIFS(RESULTADOS_GRID!$B:$B,$A43,RESULTADOS_GRID!$Z:$Z,"&gt;=0")+COUNTIFS(RESULTADOS_GRID!$B:$B,$A43,RESULTADOS_GRID!$Z:$Z,"&lt;0"))=0,"",SUMIF(RESULTADOS_GRID!$B:$B,$A43,RESULTADOS_GRID!$Z:$Z)/(COUNTIFS(RESULTADOS_GRID!$B:$B,$A43,RESULTADOS_GRID!$Z:$Z,"&gt;=0")+COUNTIFS(RESULTADOS_GRID!$B:$B,$A43,RESULTADOS_GRID!$Z:$Z,"&lt;0"))))</f>
        <v/>
      </c>
      <c r="L43" s="51">
        <f>IF($A43="","",IF((COUNTIFS(RESULTADOS_GRID!$B:$B,$A43,RESULTADOS_GRID!$AA:$AA,"&gt;=0")+COUNTIFS(RESULTADOS_GRID!$B:$B,$A43,RESULTADOS_GRID!$AA:$AA,"&lt;0"))=0,"",SUMIF(RESULTADOS_GRID!$B:$B,$A43,RESULTADOS_GRID!$AA:$AA)/(COUNTIFS(RESULTADOS_GRID!$B:$B,$A43,RESULTADOS_GRID!$AA:$AA,"&gt;=0")+COUNTIFS(RESULTADOS_GRID!$B:$B,$A43,RESULTADOS_GRID!$AA:$AA,"&lt;0"))))</f>
        <v/>
      </c>
      <c r="M43" s="51">
        <f>IF($A43="","",IF((COUNTIFS(RESULTADOS_GRID!$B:$B,$A43,RESULTADOS_GRID!$AB:$AB,"&gt;=0")+COUNTIFS(RESULTADOS_GRID!$B:$B,$A43,RESULTADOS_GRID!$AB:$AB,"&lt;0"))=0,"",SUMIF(RESULTADOS_GRID!$B:$B,$A43,RESULTADOS_GRID!$AB:$AB)/(COUNTIFS(RESULTADOS_GRID!$B:$B,$A43,RESULTADOS_GRID!$AB:$AB,"&gt;=0")+COUNTIFS(RESULTADOS_GRID!$B:$B,$A43,RESULTADOS_GRID!$AB:$AB,"&lt;0"))))</f>
        <v/>
      </c>
      <c r="N43" s="49" t="n"/>
      <c r="O43" s="57">
        <f>IF($I43="","",COUNTIFS($I$2:$I$101,"&lt;"&amp;$I43)+1)</f>
        <v/>
      </c>
      <c r="P43" s="49" t="n"/>
      <c r="Q43" s="49" t="n"/>
      <c r="R43" s="49" t="n"/>
      <c r="S43" s="49" t="n"/>
      <c r="T43" s="49" t="n"/>
      <c r="U43" s="49" t="n"/>
      <c r="V43" s="49" t="n"/>
      <c r="W43" s="49" t="n"/>
    </row>
    <row r="44" ht="15" customHeight="1" s="27">
      <c r="A44" s="49" t="n"/>
      <c r="B44" s="57">
        <f>IF($A44="","",IFERROR(INDEX(RESULTADOS_GRID!$C:$C,MATCH($A44,RESULTADOS_GRID!$B:$B,0)),""))</f>
        <v/>
      </c>
      <c r="C44" s="57">
        <f>IF($A44="","",IFERROR(INDEX(RESULTADOS_GRID!$E:$E,MATCH($A44,RESULTADOS_GRID!$B:$B,0)),""))</f>
        <v/>
      </c>
      <c r="D44" s="57">
        <f>IF($A44="","",IFERROR(INDEX(RESULTADOS_GRID!$D:$D,MATCH($A44,RESULTADOS_GRID!$B:$B,0)),""))</f>
        <v/>
      </c>
      <c r="E44" s="57">
        <f>IF($A44="","",COUNTIF(RESULTADOS_GRID!$B:$B,$A44))</f>
        <v/>
      </c>
      <c r="F44" s="54">
        <f>IF($A44="","",SUMIF(RESULTADOS_GRID!$B:$B,$A44,RESULTADOS_GRID!$X:$X))</f>
        <v/>
      </c>
      <c r="G44" s="53" t="n"/>
      <c r="H44" s="58">
        <f>CONFIG_REFERENCIA!$E$7</f>
        <v/>
      </c>
      <c r="I44" s="54">
        <f>IF($A44="","",$F44+N($G44)*$H44)</f>
        <v/>
      </c>
      <c r="J44" s="54">
        <f>IF($A44="","",IF((COUNTIFS(RESULTADOS_GRID!$B:$B,$A44,RESULTADOS_GRID!$Y:$Y,"&gt;=0")+COUNTIFS(RESULTADOS_GRID!$B:$B,$A44,RESULTADOS_GRID!$Y:$Y,"&lt;0"))=0,"",SUMIF(RESULTADOS_GRID!$B:$B,$A44,RESULTADOS_GRID!$Y:$Y)/(COUNTIFS(RESULTADOS_GRID!$B:$B,$A44,RESULTADOS_GRID!$Y:$Y,"&gt;=0")+COUNTIFS(RESULTADOS_GRID!$B:$B,$A44,RESULTADOS_GRID!$Y:$Y,"&lt;0"))))</f>
        <v/>
      </c>
      <c r="K44" s="54">
        <f>IF($A44="","",IF((COUNTIFS(RESULTADOS_GRID!$B:$B,$A44,RESULTADOS_GRID!$Z:$Z,"&gt;=0")+COUNTIFS(RESULTADOS_GRID!$B:$B,$A44,RESULTADOS_GRID!$Z:$Z,"&lt;0"))=0,"",SUMIF(RESULTADOS_GRID!$B:$B,$A44,RESULTADOS_GRID!$Z:$Z)/(COUNTIFS(RESULTADOS_GRID!$B:$B,$A44,RESULTADOS_GRID!$Z:$Z,"&gt;=0")+COUNTIFS(RESULTADOS_GRID!$B:$B,$A44,RESULTADOS_GRID!$Z:$Z,"&lt;0"))))</f>
        <v/>
      </c>
      <c r="L44" s="51">
        <f>IF($A44="","",IF((COUNTIFS(RESULTADOS_GRID!$B:$B,$A44,RESULTADOS_GRID!$AA:$AA,"&gt;=0")+COUNTIFS(RESULTADOS_GRID!$B:$B,$A44,RESULTADOS_GRID!$AA:$AA,"&lt;0"))=0,"",SUMIF(RESULTADOS_GRID!$B:$B,$A44,RESULTADOS_GRID!$AA:$AA)/(COUNTIFS(RESULTADOS_GRID!$B:$B,$A44,RESULTADOS_GRID!$AA:$AA,"&gt;=0")+COUNTIFS(RESULTADOS_GRID!$B:$B,$A44,RESULTADOS_GRID!$AA:$AA,"&lt;0"))))</f>
        <v/>
      </c>
      <c r="M44" s="51">
        <f>IF($A44="","",IF((COUNTIFS(RESULTADOS_GRID!$B:$B,$A44,RESULTADOS_GRID!$AB:$AB,"&gt;=0")+COUNTIFS(RESULTADOS_GRID!$B:$B,$A44,RESULTADOS_GRID!$AB:$AB,"&lt;0"))=0,"",SUMIF(RESULTADOS_GRID!$B:$B,$A44,RESULTADOS_GRID!$AB:$AB)/(COUNTIFS(RESULTADOS_GRID!$B:$B,$A44,RESULTADOS_GRID!$AB:$AB,"&gt;=0")+COUNTIFS(RESULTADOS_GRID!$B:$B,$A44,RESULTADOS_GRID!$AB:$AB,"&lt;0"))))</f>
        <v/>
      </c>
      <c r="N44" s="49" t="n"/>
      <c r="O44" s="57">
        <f>IF($I44="","",COUNTIFS($I$2:$I$101,"&lt;"&amp;$I44)+1)</f>
        <v/>
      </c>
      <c r="P44" s="49" t="n"/>
      <c r="Q44" s="49" t="n"/>
      <c r="R44" s="49" t="n"/>
      <c r="S44" s="49" t="n"/>
      <c r="T44" s="49" t="n"/>
      <c r="U44" s="49" t="n"/>
      <c r="V44" s="49" t="n"/>
      <c r="W44" s="49" t="n"/>
    </row>
    <row r="45" ht="15" customHeight="1" s="27">
      <c r="A45" s="49" t="n"/>
      <c r="B45" s="57">
        <f>IF($A45="","",IFERROR(INDEX(RESULTADOS_GRID!$C:$C,MATCH($A45,RESULTADOS_GRID!$B:$B,0)),""))</f>
        <v/>
      </c>
      <c r="C45" s="57">
        <f>IF($A45="","",IFERROR(INDEX(RESULTADOS_GRID!$E:$E,MATCH($A45,RESULTADOS_GRID!$B:$B,0)),""))</f>
        <v/>
      </c>
      <c r="D45" s="57">
        <f>IF($A45="","",IFERROR(INDEX(RESULTADOS_GRID!$D:$D,MATCH($A45,RESULTADOS_GRID!$B:$B,0)),""))</f>
        <v/>
      </c>
      <c r="E45" s="57">
        <f>IF($A45="","",COUNTIF(RESULTADOS_GRID!$B:$B,$A45))</f>
        <v/>
      </c>
      <c r="F45" s="54">
        <f>IF($A45="","",SUMIF(RESULTADOS_GRID!$B:$B,$A45,RESULTADOS_GRID!$X:$X))</f>
        <v/>
      </c>
      <c r="G45" s="53" t="n"/>
      <c r="H45" s="58">
        <f>CONFIG_REFERENCIA!$E$7</f>
        <v/>
      </c>
      <c r="I45" s="54">
        <f>IF($A45="","",$F45+N($G45)*$H45)</f>
        <v/>
      </c>
      <c r="J45" s="54">
        <f>IF($A45="","",IF((COUNTIFS(RESULTADOS_GRID!$B:$B,$A45,RESULTADOS_GRID!$Y:$Y,"&gt;=0")+COUNTIFS(RESULTADOS_GRID!$B:$B,$A45,RESULTADOS_GRID!$Y:$Y,"&lt;0"))=0,"",SUMIF(RESULTADOS_GRID!$B:$B,$A45,RESULTADOS_GRID!$Y:$Y)/(COUNTIFS(RESULTADOS_GRID!$B:$B,$A45,RESULTADOS_GRID!$Y:$Y,"&gt;=0")+COUNTIFS(RESULTADOS_GRID!$B:$B,$A45,RESULTADOS_GRID!$Y:$Y,"&lt;0"))))</f>
        <v/>
      </c>
      <c r="K45" s="54">
        <f>IF($A45="","",IF((COUNTIFS(RESULTADOS_GRID!$B:$B,$A45,RESULTADOS_GRID!$Z:$Z,"&gt;=0")+COUNTIFS(RESULTADOS_GRID!$B:$B,$A45,RESULTADOS_GRID!$Z:$Z,"&lt;0"))=0,"",SUMIF(RESULTADOS_GRID!$B:$B,$A45,RESULTADOS_GRID!$Z:$Z)/(COUNTIFS(RESULTADOS_GRID!$B:$B,$A45,RESULTADOS_GRID!$Z:$Z,"&gt;=0")+COUNTIFS(RESULTADOS_GRID!$B:$B,$A45,RESULTADOS_GRID!$Z:$Z,"&lt;0"))))</f>
        <v/>
      </c>
      <c r="L45" s="51">
        <f>IF($A45="","",IF((COUNTIFS(RESULTADOS_GRID!$B:$B,$A45,RESULTADOS_GRID!$AA:$AA,"&gt;=0")+COUNTIFS(RESULTADOS_GRID!$B:$B,$A45,RESULTADOS_GRID!$AA:$AA,"&lt;0"))=0,"",SUMIF(RESULTADOS_GRID!$B:$B,$A45,RESULTADOS_GRID!$AA:$AA)/(COUNTIFS(RESULTADOS_GRID!$B:$B,$A45,RESULTADOS_GRID!$AA:$AA,"&gt;=0")+COUNTIFS(RESULTADOS_GRID!$B:$B,$A45,RESULTADOS_GRID!$AA:$AA,"&lt;0"))))</f>
        <v/>
      </c>
      <c r="M45" s="51">
        <f>IF($A45="","",IF((COUNTIFS(RESULTADOS_GRID!$B:$B,$A45,RESULTADOS_GRID!$AB:$AB,"&gt;=0")+COUNTIFS(RESULTADOS_GRID!$B:$B,$A45,RESULTADOS_GRID!$AB:$AB,"&lt;0"))=0,"",SUMIF(RESULTADOS_GRID!$B:$B,$A45,RESULTADOS_GRID!$AB:$AB)/(COUNTIFS(RESULTADOS_GRID!$B:$B,$A45,RESULTADOS_GRID!$AB:$AB,"&gt;=0")+COUNTIFS(RESULTADOS_GRID!$B:$B,$A45,RESULTADOS_GRID!$AB:$AB,"&lt;0"))))</f>
        <v/>
      </c>
      <c r="N45" s="49" t="n"/>
      <c r="O45" s="57">
        <f>IF($I45="","",COUNTIFS($I$2:$I$101,"&lt;"&amp;$I45)+1)</f>
        <v/>
      </c>
      <c r="P45" s="49" t="n"/>
      <c r="Q45" s="49" t="n"/>
      <c r="R45" s="49" t="n"/>
      <c r="S45" s="49" t="n"/>
      <c r="T45" s="49" t="n"/>
      <c r="U45" s="49" t="n"/>
      <c r="V45" s="49" t="n"/>
      <c r="W45" s="49" t="n"/>
    </row>
    <row r="46" ht="15" customHeight="1" s="27">
      <c r="A46" s="49" t="n"/>
      <c r="B46" s="57">
        <f>IF($A46="","",IFERROR(INDEX(RESULTADOS_GRID!$C:$C,MATCH($A46,RESULTADOS_GRID!$B:$B,0)),""))</f>
        <v/>
      </c>
      <c r="C46" s="57">
        <f>IF($A46="","",IFERROR(INDEX(RESULTADOS_GRID!$E:$E,MATCH($A46,RESULTADOS_GRID!$B:$B,0)),""))</f>
        <v/>
      </c>
      <c r="D46" s="57">
        <f>IF($A46="","",IFERROR(INDEX(RESULTADOS_GRID!$D:$D,MATCH($A46,RESULTADOS_GRID!$B:$B,0)),""))</f>
        <v/>
      </c>
      <c r="E46" s="57">
        <f>IF($A46="","",COUNTIF(RESULTADOS_GRID!$B:$B,$A46))</f>
        <v/>
      </c>
      <c r="F46" s="54">
        <f>IF($A46="","",SUMIF(RESULTADOS_GRID!$B:$B,$A46,RESULTADOS_GRID!$X:$X))</f>
        <v/>
      </c>
      <c r="G46" s="53" t="n"/>
      <c r="H46" s="58">
        <f>CONFIG_REFERENCIA!$E$7</f>
        <v/>
      </c>
      <c r="I46" s="54">
        <f>IF($A46="","",$F46+N($G46)*$H46)</f>
        <v/>
      </c>
      <c r="J46" s="54">
        <f>IF($A46="","",IF((COUNTIFS(RESULTADOS_GRID!$B:$B,$A46,RESULTADOS_GRID!$Y:$Y,"&gt;=0")+COUNTIFS(RESULTADOS_GRID!$B:$B,$A46,RESULTADOS_GRID!$Y:$Y,"&lt;0"))=0,"",SUMIF(RESULTADOS_GRID!$B:$B,$A46,RESULTADOS_GRID!$Y:$Y)/(COUNTIFS(RESULTADOS_GRID!$B:$B,$A46,RESULTADOS_GRID!$Y:$Y,"&gt;=0")+COUNTIFS(RESULTADOS_GRID!$B:$B,$A46,RESULTADOS_GRID!$Y:$Y,"&lt;0"))))</f>
        <v/>
      </c>
      <c r="K46" s="54">
        <f>IF($A46="","",IF((COUNTIFS(RESULTADOS_GRID!$B:$B,$A46,RESULTADOS_GRID!$Z:$Z,"&gt;=0")+COUNTIFS(RESULTADOS_GRID!$B:$B,$A46,RESULTADOS_GRID!$Z:$Z,"&lt;0"))=0,"",SUMIF(RESULTADOS_GRID!$B:$B,$A46,RESULTADOS_GRID!$Z:$Z)/(COUNTIFS(RESULTADOS_GRID!$B:$B,$A46,RESULTADOS_GRID!$Z:$Z,"&gt;=0")+COUNTIFS(RESULTADOS_GRID!$B:$B,$A46,RESULTADOS_GRID!$Z:$Z,"&lt;0"))))</f>
        <v/>
      </c>
      <c r="L46" s="51">
        <f>IF($A46="","",IF((COUNTIFS(RESULTADOS_GRID!$B:$B,$A46,RESULTADOS_GRID!$AA:$AA,"&gt;=0")+COUNTIFS(RESULTADOS_GRID!$B:$B,$A46,RESULTADOS_GRID!$AA:$AA,"&lt;0"))=0,"",SUMIF(RESULTADOS_GRID!$B:$B,$A46,RESULTADOS_GRID!$AA:$AA)/(COUNTIFS(RESULTADOS_GRID!$B:$B,$A46,RESULTADOS_GRID!$AA:$AA,"&gt;=0")+COUNTIFS(RESULTADOS_GRID!$B:$B,$A46,RESULTADOS_GRID!$AA:$AA,"&lt;0"))))</f>
        <v/>
      </c>
      <c r="M46" s="51">
        <f>IF($A46="","",IF((COUNTIFS(RESULTADOS_GRID!$B:$B,$A46,RESULTADOS_GRID!$AB:$AB,"&gt;=0")+COUNTIFS(RESULTADOS_GRID!$B:$B,$A46,RESULTADOS_GRID!$AB:$AB,"&lt;0"))=0,"",SUMIF(RESULTADOS_GRID!$B:$B,$A46,RESULTADOS_GRID!$AB:$AB)/(COUNTIFS(RESULTADOS_GRID!$B:$B,$A46,RESULTADOS_GRID!$AB:$AB,"&gt;=0")+COUNTIFS(RESULTADOS_GRID!$B:$B,$A46,RESULTADOS_GRID!$AB:$AB,"&lt;0"))))</f>
        <v/>
      </c>
      <c r="N46" s="49" t="n"/>
      <c r="O46" s="57">
        <f>IF($I46="","",COUNTIFS($I$2:$I$101,"&lt;"&amp;$I46)+1)</f>
        <v/>
      </c>
      <c r="P46" s="49" t="n"/>
      <c r="Q46" s="49" t="n"/>
      <c r="R46" s="49" t="n"/>
      <c r="S46" s="49" t="n"/>
      <c r="T46" s="49" t="n"/>
      <c r="U46" s="49" t="n"/>
      <c r="V46" s="49" t="n"/>
      <c r="W46" s="49" t="n"/>
    </row>
    <row r="47" ht="15" customHeight="1" s="27">
      <c r="A47" s="49" t="n"/>
      <c r="B47" s="57">
        <f>IF($A47="","",IFERROR(INDEX(RESULTADOS_GRID!$C:$C,MATCH($A47,RESULTADOS_GRID!$B:$B,0)),""))</f>
        <v/>
      </c>
      <c r="C47" s="57">
        <f>IF($A47="","",IFERROR(INDEX(RESULTADOS_GRID!$E:$E,MATCH($A47,RESULTADOS_GRID!$B:$B,0)),""))</f>
        <v/>
      </c>
      <c r="D47" s="57">
        <f>IF($A47="","",IFERROR(INDEX(RESULTADOS_GRID!$D:$D,MATCH($A47,RESULTADOS_GRID!$B:$B,0)),""))</f>
        <v/>
      </c>
      <c r="E47" s="57">
        <f>IF($A47="","",COUNTIF(RESULTADOS_GRID!$B:$B,$A47))</f>
        <v/>
      </c>
      <c r="F47" s="54">
        <f>IF($A47="","",SUMIF(RESULTADOS_GRID!$B:$B,$A47,RESULTADOS_GRID!$X:$X))</f>
        <v/>
      </c>
      <c r="G47" s="53" t="n"/>
      <c r="H47" s="58">
        <f>CONFIG_REFERENCIA!$E$7</f>
        <v/>
      </c>
      <c r="I47" s="54">
        <f>IF($A47="","",$F47+N($G47)*$H47)</f>
        <v/>
      </c>
      <c r="J47" s="54">
        <f>IF($A47="","",IF((COUNTIFS(RESULTADOS_GRID!$B:$B,$A47,RESULTADOS_GRID!$Y:$Y,"&gt;=0")+COUNTIFS(RESULTADOS_GRID!$B:$B,$A47,RESULTADOS_GRID!$Y:$Y,"&lt;0"))=0,"",SUMIF(RESULTADOS_GRID!$B:$B,$A47,RESULTADOS_GRID!$Y:$Y)/(COUNTIFS(RESULTADOS_GRID!$B:$B,$A47,RESULTADOS_GRID!$Y:$Y,"&gt;=0")+COUNTIFS(RESULTADOS_GRID!$B:$B,$A47,RESULTADOS_GRID!$Y:$Y,"&lt;0"))))</f>
        <v/>
      </c>
      <c r="K47" s="54">
        <f>IF($A47="","",IF((COUNTIFS(RESULTADOS_GRID!$B:$B,$A47,RESULTADOS_GRID!$Z:$Z,"&gt;=0")+COUNTIFS(RESULTADOS_GRID!$B:$B,$A47,RESULTADOS_GRID!$Z:$Z,"&lt;0"))=0,"",SUMIF(RESULTADOS_GRID!$B:$B,$A47,RESULTADOS_GRID!$Z:$Z)/(COUNTIFS(RESULTADOS_GRID!$B:$B,$A47,RESULTADOS_GRID!$Z:$Z,"&gt;=0")+COUNTIFS(RESULTADOS_GRID!$B:$B,$A47,RESULTADOS_GRID!$Z:$Z,"&lt;0"))))</f>
        <v/>
      </c>
      <c r="L47" s="51">
        <f>IF($A47="","",IF((COUNTIFS(RESULTADOS_GRID!$B:$B,$A47,RESULTADOS_GRID!$AA:$AA,"&gt;=0")+COUNTIFS(RESULTADOS_GRID!$B:$B,$A47,RESULTADOS_GRID!$AA:$AA,"&lt;0"))=0,"",SUMIF(RESULTADOS_GRID!$B:$B,$A47,RESULTADOS_GRID!$AA:$AA)/(COUNTIFS(RESULTADOS_GRID!$B:$B,$A47,RESULTADOS_GRID!$AA:$AA,"&gt;=0")+COUNTIFS(RESULTADOS_GRID!$B:$B,$A47,RESULTADOS_GRID!$AA:$AA,"&lt;0"))))</f>
        <v/>
      </c>
      <c r="M47" s="51">
        <f>IF($A47="","",IF((COUNTIFS(RESULTADOS_GRID!$B:$B,$A47,RESULTADOS_GRID!$AB:$AB,"&gt;=0")+COUNTIFS(RESULTADOS_GRID!$B:$B,$A47,RESULTADOS_GRID!$AB:$AB,"&lt;0"))=0,"",SUMIF(RESULTADOS_GRID!$B:$B,$A47,RESULTADOS_GRID!$AB:$AB)/(COUNTIFS(RESULTADOS_GRID!$B:$B,$A47,RESULTADOS_GRID!$AB:$AB,"&gt;=0")+COUNTIFS(RESULTADOS_GRID!$B:$B,$A47,RESULTADOS_GRID!$AB:$AB,"&lt;0"))))</f>
        <v/>
      </c>
      <c r="N47" s="49" t="n"/>
      <c r="O47" s="57">
        <f>IF($I47="","",COUNTIFS($I$2:$I$101,"&lt;"&amp;$I47)+1)</f>
        <v/>
      </c>
      <c r="P47" s="49" t="n"/>
      <c r="Q47" s="49" t="n"/>
      <c r="R47" s="49" t="n"/>
      <c r="S47" s="49" t="n"/>
      <c r="T47" s="49" t="n"/>
      <c r="U47" s="49" t="n"/>
      <c r="V47" s="49" t="n"/>
      <c r="W47" s="49" t="n"/>
    </row>
    <row r="48" ht="15" customHeight="1" s="27">
      <c r="A48" s="49" t="n"/>
      <c r="B48" s="57">
        <f>IF($A48="","",IFERROR(INDEX(RESULTADOS_GRID!$C:$C,MATCH($A48,RESULTADOS_GRID!$B:$B,0)),""))</f>
        <v/>
      </c>
      <c r="C48" s="57">
        <f>IF($A48="","",IFERROR(INDEX(RESULTADOS_GRID!$E:$E,MATCH($A48,RESULTADOS_GRID!$B:$B,0)),""))</f>
        <v/>
      </c>
      <c r="D48" s="57">
        <f>IF($A48="","",IFERROR(INDEX(RESULTADOS_GRID!$D:$D,MATCH($A48,RESULTADOS_GRID!$B:$B,0)),""))</f>
        <v/>
      </c>
      <c r="E48" s="57">
        <f>IF($A48="","",COUNTIF(RESULTADOS_GRID!$B:$B,$A48))</f>
        <v/>
      </c>
      <c r="F48" s="54">
        <f>IF($A48="","",SUMIF(RESULTADOS_GRID!$B:$B,$A48,RESULTADOS_GRID!$X:$X))</f>
        <v/>
      </c>
      <c r="G48" s="53" t="n"/>
      <c r="H48" s="58">
        <f>CONFIG_REFERENCIA!$E$7</f>
        <v/>
      </c>
      <c r="I48" s="54">
        <f>IF($A48="","",$F48+N($G48)*$H48)</f>
        <v/>
      </c>
      <c r="J48" s="54">
        <f>IF($A48="","",IF((COUNTIFS(RESULTADOS_GRID!$B:$B,$A48,RESULTADOS_GRID!$Y:$Y,"&gt;=0")+COUNTIFS(RESULTADOS_GRID!$B:$B,$A48,RESULTADOS_GRID!$Y:$Y,"&lt;0"))=0,"",SUMIF(RESULTADOS_GRID!$B:$B,$A48,RESULTADOS_GRID!$Y:$Y)/(COUNTIFS(RESULTADOS_GRID!$B:$B,$A48,RESULTADOS_GRID!$Y:$Y,"&gt;=0")+COUNTIFS(RESULTADOS_GRID!$B:$B,$A48,RESULTADOS_GRID!$Y:$Y,"&lt;0"))))</f>
        <v/>
      </c>
      <c r="K48" s="54">
        <f>IF($A48="","",IF((COUNTIFS(RESULTADOS_GRID!$B:$B,$A48,RESULTADOS_GRID!$Z:$Z,"&gt;=0")+COUNTIFS(RESULTADOS_GRID!$B:$B,$A48,RESULTADOS_GRID!$Z:$Z,"&lt;0"))=0,"",SUMIF(RESULTADOS_GRID!$B:$B,$A48,RESULTADOS_GRID!$Z:$Z)/(COUNTIFS(RESULTADOS_GRID!$B:$B,$A48,RESULTADOS_GRID!$Z:$Z,"&gt;=0")+COUNTIFS(RESULTADOS_GRID!$B:$B,$A48,RESULTADOS_GRID!$Z:$Z,"&lt;0"))))</f>
        <v/>
      </c>
      <c r="L48" s="51">
        <f>IF($A48="","",IF((COUNTIFS(RESULTADOS_GRID!$B:$B,$A48,RESULTADOS_GRID!$AA:$AA,"&gt;=0")+COUNTIFS(RESULTADOS_GRID!$B:$B,$A48,RESULTADOS_GRID!$AA:$AA,"&lt;0"))=0,"",SUMIF(RESULTADOS_GRID!$B:$B,$A48,RESULTADOS_GRID!$AA:$AA)/(COUNTIFS(RESULTADOS_GRID!$B:$B,$A48,RESULTADOS_GRID!$AA:$AA,"&gt;=0")+COUNTIFS(RESULTADOS_GRID!$B:$B,$A48,RESULTADOS_GRID!$AA:$AA,"&lt;0"))))</f>
        <v/>
      </c>
      <c r="M48" s="51">
        <f>IF($A48="","",IF((COUNTIFS(RESULTADOS_GRID!$B:$B,$A48,RESULTADOS_GRID!$AB:$AB,"&gt;=0")+COUNTIFS(RESULTADOS_GRID!$B:$B,$A48,RESULTADOS_GRID!$AB:$AB,"&lt;0"))=0,"",SUMIF(RESULTADOS_GRID!$B:$B,$A48,RESULTADOS_GRID!$AB:$AB)/(COUNTIFS(RESULTADOS_GRID!$B:$B,$A48,RESULTADOS_GRID!$AB:$AB,"&gt;=0")+COUNTIFS(RESULTADOS_GRID!$B:$B,$A48,RESULTADOS_GRID!$AB:$AB,"&lt;0"))))</f>
        <v/>
      </c>
      <c r="N48" s="49" t="n"/>
      <c r="O48" s="57">
        <f>IF($I48="","",COUNTIFS($I$2:$I$101,"&lt;"&amp;$I48)+1)</f>
        <v/>
      </c>
      <c r="P48" s="49" t="n"/>
      <c r="Q48" s="49" t="n"/>
      <c r="R48" s="49" t="n"/>
      <c r="S48" s="49" t="n"/>
      <c r="T48" s="49" t="n"/>
      <c r="U48" s="49" t="n"/>
      <c r="V48" s="49" t="n"/>
      <c r="W48" s="49" t="n"/>
    </row>
    <row r="49" ht="15" customHeight="1" s="27">
      <c r="A49" s="49" t="n"/>
      <c r="B49" s="57">
        <f>IF($A49="","",IFERROR(INDEX(RESULTADOS_GRID!$C:$C,MATCH($A49,RESULTADOS_GRID!$B:$B,0)),""))</f>
        <v/>
      </c>
      <c r="C49" s="57">
        <f>IF($A49="","",IFERROR(INDEX(RESULTADOS_GRID!$E:$E,MATCH($A49,RESULTADOS_GRID!$B:$B,0)),""))</f>
        <v/>
      </c>
      <c r="D49" s="57">
        <f>IF($A49="","",IFERROR(INDEX(RESULTADOS_GRID!$D:$D,MATCH($A49,RESULTADOS_GRID!$B:$B,0)),""))</f>
        <v/>
      </c>
      <c r="E49" s="57">
        <f>IF($A49="","",COUNTIF(RESULTADOS_GRID!$B:$B,$A49))</f>
        <v/>
      </c>
      <c r="F49" s="54">
        <f>IF($A49="","",SUMIF(RESULTADOS_GRID!$B:$B,$A49,RESULTADOS_GRID!$X:$X))</f>
        <v/>
      </c>
      <c r="G49" s="53" t="n"/>
      <c r="H49" s="58">
        <f>CONFIG_REFERENCIA!$E$7</f>
        <v/>
      </c>
      <c r="I49" s="54">
        <f>IF($A49="","",$F49+N($G49)*$H49)</f>
        <v/>
      </c>
      <c r="J49" s="54">
        <f>IF($A49="","",IF((COUNTIFS(RESULTADOS_GRID!$B:$B,$A49,RESULTADOS_GRID!$Y:$Y,"&gt;=0")+COUNTIFS(RESULTADOS_GRID!$B:$B,$A49,RESULTADOS_GRID!$Y:$Y,"&lt;0"))=0,"",SUMIF(RESULTADOS_GRID!$B:$B,$A49,RESULTADOS_GRID!$Y:$Y)/(COUNTIFS(RESULTADOS_GRID!$B:$B,$A49,RESULTADOS_GRID!$Y:$Y,"&gt;=0")+COUNTIFS(RESULTADOS_GRID!$B:$B,$A49,RESULTADOS_GRID!$Y:$Y,"&lt;0"))))</f>
        <v/>
      </c>
      <c r="K49" s="54">
        <f>IF($A49="","",IF((COUNTIFS(RESULTADOS_GRID!$B:$B,$A49,RESULTADOS_GRID!$Z:$Z,"&gt;=0")+COUNTIFS(RESULTADOS_GRID!$B:$B,$A49,RESULTADOS_GRID!$Z:$Z,"&lt;0"))=0,"",SUMIF(RESULTADOS_GRID!$B:$B,$A49,RESULTADOS_GRID!$Z:$Z)/(COUNTIFS(RESULTADOS_GRID!$B:$B,$A49,RESULTADOS_GRID!$Z:$Z,"&gt;=0")+COUNTIFS(RESULTADOS_GRID!$B:$B,$A49,RESULTADOS_GRID!$Z:$Z,"&lt;0"))))</f>
        <v/>
      </c>
      <c r="L49" s="51">
        <f>IF($A49="","",IF((COUNTIFS(RESULTADOS_GRID!$B:$B,$A49,RESULTADOS_GRID!$AA:$AA,"&gt;=0")+COUNTIFS(RESULTADOS_GRID!$B:$B,$A49,RESULTADOS_GRID!$AA:$AA,"&lt;0"))=0,"",SUMIF(RESULTADOS_GRID!$B:$B,$A49,RESULTADOS_GRID!$AA:$AA)/(COUNTIFS(RESULTADOS_GRID!$B:$B,$A49,RESULTADOS_GRID!$AA:$AA,"&gt;=0")+COUNTIFS(RESULTADOS_GRID!$B:$B,$A49,RESULTADOS_GRID!$AA:$AA,"&lt;0"))))</f>
        <v/>
      </c>
      <c r="M49" s="51">
        <f>IF($A49="","",IF((COUNTIFS(RESULTADOS_GRID!$B:$B,$A49,RESULTADOS_GRID!$AB:$AB,"&gt;=0")+COUNTIFS(RESULTADOS_GRID!$B:$B,$A49,RESULTADOS_GRID!$AB:$AB,"&lt;0"))=0,"",SUMIF(RESULTADOS_GRID!$B:$B,$A49,RESULTADOS_GRID!$AB:$AB)/(COUNTIFS(RESULTADOS_GRID!$B:$B,$A49,RESULTADOS_GRID!$AB:$AB,"&gt;=0")+COUNTIFS(RESULTADOS_GRID!$B:$B,$A49,RESULTADOS_GRID!$AB:$AB,"&lt;0"))))</f>
        <v/>
      </c>
      <c r="N49" s="49" t="n"/>
      <c r="O49" s="57">
        <f>IF($I49="","",COUNTIFS($I$2:$I$101,"&lt;"&amp;$I49)+1)</f>
        <v/>
      </c>
      <c r="P49" s="49" t="n"/>
      <c r="Q49" s="49" t="n"/>
      <c r="R49" s="49" t="n"/>
      <c r="S49" s="49" t="n"/>
      <c r="T49" s="49" t="n"/>
      <c r="U49" s="49" t="n"/>
      <c r="V49" s="49" t="n"/>
      <c r="W49" s="49" t="n"/>
    </row>
    <row r="50" ht="15" customHeight="1" s="27">
      <c r="A50" s="49" t="n"/>
      <c r="B50" s="57">
        <f>IF($A50="","",IFERROR(INDEX(RESULTADOS_GRID!$C:$C,MATCH($A50,RESULTADOS_GRID!$B:$B,0)),""))</f>
        <v/>
      </c>
      <c r="C50" s="57">
        <f>IF($A50="","",IFERROR(INDEX(RESULTADOS_GRID!$E:$E,MATCH($A50,RESULTADOS_GRID!$B:$B,0)),""))</f>
        <v/>
      </c>
      <c r="D50" s="57">
        <f>IF($A50="","",IFERROR(INDEX(RESULTADOS_GRID!$D:$D,MATCH($A50,RESULTADOS_GRID!$B:$B,0)),""))</f>
        <v/>
      </c>
      <c r="E50" s="57">
        <f>IF($A50="","",COUNTIF(RESULTADOS_GRID!$B:$B,$A50))</f>
        <v/>
      </c>
      <c r="F50" s="54">
        <f>IF($A50="","",SUMIF(RESULTADOS_GRID!$B:$B,$A50,RESULTADOS_GRID!$X:$X))</f>
        <v/>
      </c>
      <c r="G50" s="53" t="n"/>
      <c r="H50" s="58">
        <f>CONFIG_REFERENCIA!$E$7</f>
        <v/>
      </c>
      <c r="I50" s="54">
        <f>IF($A50="","",$F50+N($G50)*$H50)</f>
        <v/>
      </c>
      <c r="J50" s="54">
        <f>IF($A50="","",IF((COUNTIFS(RESULTADOS_GRID!$B:$B,$A50,RESULTADOS_GRID!$Y:$Y,"&gt;=0")+COUNTIFS(RESULTADOS_GRID!$B:$B,$A50,RESULTADOS_GRID!$Y:$Y,"&lt;0"))=0,"",SUMIF(RESULTADOS_GRID!$B:$B,$A50,RESULTADOS_GRID!$Y:$Y)/(COUNTIFS(RESULTADOS_GRID!$B:$B,$A50,RESULTADOS_GRID!$Y:$Y,"&gt;=0")+COUNTIFS(RESULTADOS_GRID!$B:$B,$A50,RESULTADOS_GRID!$Y:$Y,"&lt;0"))))</f>
        <v/>
      </c>
      <c r="K50" s="54">
        <f>IF($A50="","",IF((COUNTIFS(RESULTADOS_GRID!$B:$B,$A50,RESULTADOS_GRID!$Z:$Z,"&gt;=0")+COUNTIFS(RESULTADOS_GRID!$B:$B,$A50,RESULTADOS_GRID!$Z:$Z,"&lt;0"))=0,"",SUMIF(RESULTADOS_GRID!$B:$B,$A50,RESULTADOS_GRID!$Z:$Z)/(COUNTIFS(RESULTADOS_GRID!$B:$B,$A50,RESULTADOS_GRID!$Z:$Z,"&gt;=0")+COUNTIFS(RESULTADOS_GRID!$B:$B,$A50,RESULTADOS_GRID!$Z:$Z,"&lt;0"))))</f>
        <v/>
      </c>
      <c r="L50" s="51">
        <f>IF($A50="","",IF((COUNTIFS(RESULTADOS_GRID!$B:$B,$A50,RESULTADOS_GRID!$AA:$AA,"&gt;=0")+COUNTIFS(RESULTADOS_GRID!$B:$B,$A50,RESULTADOS_GRID!$AA:$AA,"&lt;0"))=0,"",SUMIF(RESULTADOS_GRID!$B:$B,$A50,RESULTADOS_GRID!$AA:$AA)/(COUNTIFS(RESULTADOS_GRID!$B:$B,$A50,RESULTADOS_GRID!$AA:$AA,"&gt;=0")+COUNTIFS(RESULTADOS_GRID!$B:$B,$A50,RESULTADOS_GRID!$AA:$AA,"&lt;0"))))</f>
        <v/>
      </c>
      <c r="M50" s="51">
        <f>IF($A50="","",IF((COUNTIFS(RESULTADOS_GRID!$B:$B,$A50,RESULTADOS_GRID!$AB:$AB,"&gt;=0")+COUNTIFS(RESULTADOS_GRID!$B:$B,$A50,RESULTADOS_GRID!$AB:$AB,"&lt;0"))=0,"",SUMIF(RESULTADOS_GRID!$B:$B,$A50,RESULTADOS_GRID!$AB:$AB)/(COUNTIFS(RESULTADOS_GRID!$B:$B,$A50,RESULTADOS_GRID!$AB:$AB,"&gt;=0")+COUNTIFS(RESULTADOS_GRID!$B:$B,$A50,RESULTADOS_GRID!$AB:$AB,"&lt;0"))))</f>
        <v/>
      </c>
      <c r="N50" s="49" t="n"/>
      <c r="O50" s="57">
        <f>IF($I50="","",COUNTIFS($I$2:$I$101,"&lt;"&amp;$I50)+1)</f>
        <v/>
      </c>
      <c r="P50" s="49" t="n"/>
      <c r="Q50" s="49" t="n"/>
      <c r="R50" s="49" t="n"/>
      <c r="S50" s="49" t="n"/>
      <c r="T50" s="49" t="n"/>
      <c r="U50" s="49" t="n"/>
      <c r="V50" s="49" t="n"/>
      <c r="W50" s="49" t="n"/>
    </row>
    <row r="51" ht="15" customHeight="1" s="27">
      <c r="A51" s="49" t="n"/>
      <c r="B51" s="57">
        <f>IF($A51="","",IFERROR(INDEX(RESULTADOS_GRID!$C:$C,MATCH($A51,RESULTADOS_GRID!$B:$B,0)),""))</f>
        <v/>
      </c>
      <c r="C51" s="57">
        <f>IF($A51="","",IFERROR(INDEX(RESULTADOS_GRID!$E:$E,MATCH($A51,RESULTADOS_GRID!$B:$B,0)),""))</f>
        <v/>
      </c>
      <c r="D51" s="57">
        <f>IF($A51="","",IFERROR(INDEX(RESULTADOS_GRID!$D:$D,MATCH($A51,RESULTADOS_GRID!$B:$B,0)),""))</f>
        <v/>
      </c>
      <c r="E51" s="57">
        <f>IF($A51="","",COUNTIF(RESULTADOS_GRID!$B:$B,$A51))</f>
        <v/>
      </c>
      <c r="F51" s="54">
        <f>IF($A51="","",SUMIF(RESULTADOS_GRID!$B:$B,$A51,RESULTADOS_GRID!$X:$X))</f>
        <v/>
      </c>
      <c r="G51" s="53" t="n"/>
      <c r="H51" s="58">
        <f>CONFIG_REFERENCIA!$E$7</f>
        <v/>
      </c>
      <c r="I51" s="54">
        <f>IF($A51="","",$F51+N($G51)*$H51)</f>
        <v/>
      </c>
      <c r="J51" s="54">
        <f>IF($A51="","",IF((COUNTIFS(RESULTADOS_GRID!$B:$B,$A51,RESULTADOS_GRID!$Y:$Y,"&gt;=0")+COUNTIFS(RESULTADOS_GRID!$B:$B,$A51,RESULTADOS_GRID!$Y:$Y,"&lt;0"))=0,"",SUMIF(RESULTADOS_GRID!$B:$B,$A51,RESULTADOS_GRID!$Y:$Y)/(COUNTIFS(RESULTADOS_GRID!$B:$B,$A51,RESULTADOS_GRID!$Y:$Y,"&gt;=0")+COUNTIFS(RESULTADOS_GRID!$B:$B,$A51,RESULTADOS_GRID!$Y:$Y,"&lt;0"))))</f>
        <v/>
      </c>
      <c r="K51" s="54">
        <f>IF($A51="","",IF((COUNTIFS(RESULTADOS_GRID!$B:$B,$A51,RESULTADOS_GRID!$Z:$Z,"&gt;=0")+COUNTIFS(RESULTADOS_GRID!$B:$B,$A51,RESULTADOS_GRID!$Z:$Z,"&lt;0"))=0,"",SUMIF(RESULTADOS_GRID!$B:$B,$A51,RESULTADOS_GRID!$Z:$Z)/(COUNTIFS(RESULTADOS_GRID!$B:$B,$A51,RESULTADOS_GRID!$Z:$Z,"&gt;=0")+COUNTIFS(RESULTADOS_GRID!$B:$B,$A51,RESULTADOS_GRID!$Z:$Z,"&lt;0"))))</f>
        <v/>
      </c>
      <c r="L51" s="51">
        <f>IF($A51="","",IF((COUNTIFS(RESULTADOS_GRID!$B:$B,$A51,RESULTADOS_GRID!$AA:$AA,"&gt;=0")+COUNTIFS(RESULTADOS_GRID!$B:$B,$A51,RESULTADOS_GRID!$AA:$AA,"&lt;0"))=0,"",SUMIF(RESULTADOS_GRID!$B:$B,$A51,RESULTADOS_GRID!$AA:$AA)/(COUNTIFS(RESULTADOS_GRID!$B:$B,$A51,RESULTADOS_GRID!$AA:$AA,"&gt;=0")+COUNTIFS(RESULTADOS_GRID!$B:$B,$A51,RESULTADOS_GRID!$AA:$AA,"&lt;0"))))</f>
        <v/>
      </c>
      <c r="M51" s="51">
        <f>IF($A51="","",IF((COUNTIFS(RESULTADOS_GRID!$B:$B,$A51,RESULTADOS_GRID!$AB:$AB,"&gt;=0")+COUNTIFS(RESULTADOS_GRID!$B:$B,$A51,RESULTADOS_GRID!$AB:$AB,"&lt;0"))=0,"",SUMIF(RESULTADOS_GRID!$B:$B,$A51,RESULTADOS_GRID!$AB:$AB)/(COUNTIFS(RESULTADOS_GRID!$B:$B,$A51,RESULTADOS_GRID!$AB:$AB,"&gt;=0")+COUNTIFS(RESULTADOS_GRID!$B:$B,$A51,RESULTADOS_GRID!$AB:$AB,"&lt;0"))))</f>
        <v/>
      </c>
      <c r="N51" s="49" t="n"/>
      <c r="O51" s="57">
        <f>IF($I51="","",COUNTIFS($I$2:$I$101,"&lt;"&amp;$I51)+1)</f>
        <v/>
      </c>
      <c r="P51" s="49" t="n"/>
      <c r="Q51" s="49" t="n"/>
      <c r="R51" s="49" t="n"/>
      <c r="S51" s="49" t="n"/>
      <c r="T51" s="49" t="n"/>
      <c r="U51" s="49" t="n"/>
      <c r="V51" s="49" t="n"/>
      <c r="W51" s="49" t="n"/>
    </row>
    <row r="52" ht="15" customHeight="1" s="27">
      <c r="A52" s="49" t="n"/>
      <c r="B52" s="57">
        <f>IF($A52="","",IFERROR(INDEX(RESULTADOS_GRID!$C:$C,MATCH($A52,RESULTADOS_GRID!$B:$B,0)),""))</f>
        <v/>
      </c>
      <c r="C52" s="57">
        <f>IF($A52="","",IFERROR(INDEX(RESULTADOS_GRID!$E:$E,MATCH($A52,RESULTADOS_GRID!$B:$B,0)),""))</f>
        <v/>
      </c>
      <c r="D52" s="57">
        <f>IF($A52="","",IFERROR(INDEX(RESULTADOS_GRID!$D:$D,MATCH($A52,RESULTADOS_GRID!$B:$B,0)),""))</f>
        <v/>
      </c>
      <c r="E52" s="57">
        <f>IF($A52="","",COUNTIF(RESULTADOS_GRID!$B:$B,$A52))</f>
        <v/>
      </c>
      <c r="F52" s="54">
        <f>IF($A52="","",SUMIF(RESULTADOS_GRID!$B:$B,$A52,RESULTADOS_GRID!$X:$X))</f>
        <v/>
      </c>
      <c r="G52" s="53" t="n"/>
      <c r="H52" s="58">
        <f>CONFIG_REFERENCIA!$E$7</f>
        <v/>
      </c>
      <c r="I52" s="54">
        <f>IF($A52="","",$F52+N($G52)*$H52)</f>
        <v/>
      </c>
      <c r="J52" s="54">
        <f>IF($A52="","",IF((COUNTIFS(RESULTADOS_GRID!$B:$B,$A52,RESULTADOS_GRID!$Y:$Y,"&gt;=0")+COUNTIFS(RESULTADOS_GRID!$B:$B,$A52,RESULTADOS_GRID!$Y:$Y,"&lt;0"))=0,"",SUMIF(RESULTADOS_GRID!$B:$B,$A52,RESULTADOS_GRID!$Y:$Y)/(COUNTIFS(RESULTADOS_GRID!$B:$B,$A52,RESULTADOS_GRID!$Y:$Y,"&gt;=0")+COUNTIFS(RESULTADOS_GRID!$B:$B,$A52,RESULTADOS_GRID!$Y:$Y,"&lt;0"))))</f>
        <v/>
      </c>
      <c r="K52" s="54">
        <f>IF($A52="","",IF((COUNTIFS(RESULTADOS_GRID!$B:$B,$A52,RESULTADOS_GRID!$Z:$Z,"&gt;=0")+COUNTIFS(RESULTADOS_GRID!$B:$B,$A52,RESULTADOS_GRID!$Z:$Z,"&lt;0"))=0,"",SUMIF(RESULTADOS_GRID!$B:$B,$A52,RESULTADOS_GRID!$Z:$Z)/(COUNTIFS(RESULTADOS_GRID!$B:$B,$A52,RESULTADOS_GRID!$Z:$Z,"&gt;=0")+COUNTIFS(RESULTADOS_GRID!$B:$B,$A52,RESULTADOS_GRID!$Z:$Z,"&lt;0"))))</f>
        <v/>
      </c>
      <c r="L52" s="51">
        <f>IF($A52="","",IF((COUNTIFS(RESULTADOS_GRID!$B:$B,$A52,RESULTADOS_GRID!$AA:$AA,"&gt;=0")+COUNTIFS(RESULTADOS_GRID!$B:$B,$A52,RESULTADOS_GRID!$AA:$AA,"&lt;0"))=0,"",SUMIF(RESULTADOS_GRID!$B:$B,$A52,RESULTADOS_GRID!$AA:$AA)/(COUNTIFS(RESULTADOS_GRID!$B:$B,$A52,RESULTADOS_GRID!$AA:$AA,"&gt;=0")+COUNTIFS(RESULTADOS_GRID!$B:$B,$A52,RESULTADOS_GRID!$AA:$AA,"&lt;0"))))</f>
        <v/>
      </c>
      <c r="M52" s="51">
        <f>IF($A52="","",IF((COUNTIFS(RESULTADOS_GRID!$B:$B,$A52,RESULTADOS_GRID!$AB:$AB,"&gt;=0")+COUNTIFS(RESULTADOS_GRID!$B:$B,$A52,RESULTADOS_GRID!$AB:$AB,"&lt;0"))=0,"",SUMIF(RESULTADOS_GRID!$B:$B,$A52,RESULTADOS_GRID!$AB:$AB)/(COUNTIFS(RESULTADOS_GRID!$B:$B,$A52,RESULTADOS_GRID!$AB:$AB,"&gt;=0")+COUNTIFS(RESULTADOS_GRID!$B:$B,$A52,RESULTADOS_GRID!$AB:$AB,"&lt;0"))))</f>
        <v/>
      </c>
      <c r="N52" s="49" t="n"/>
      <c r="O52" s="57">
        <f>IF($I52="","",COUNTIFS($I$2:$I$101,"&lt;"&amp;$I52)+1)</f>
        <v/>
      </c>
      <c r="P52" s="49" t="n"/>
      <c r="Q52" s="49" t="n"/>
      <c r="R52" s="49" t="n"/>
      <c r="S52" s="49" t="n"/>
      <c r="T52" s="49" t="n"/>
      <c r="U52" s="49" t="n"/>
      <c r="V52" s="49" t="n"/>
      <c r="W52" s="49" t="n"/>
    </row>
    <row r="53" ht="15" customHeight="1" s="27">
      <c r="A53" s="49" t="n"/>
      <c r="B53" s="57">
        <f>IF($A53="","",IFERROR(INDEX(RESULTADOS_GRID!$C:$C,MATCH($A53,RESULTADOS_GRID!$B:$B,0)),""))</f>
        <v/>
      </c>
      <c r="C53" s="57">
        <f>IF($A53="","",IFERROR(INDEX(RESULTADOS_GRID!$E:$E,MATCH($A53,RESULTADOS_GRID!$B:$B,0)),""))</f>
        <v/>
      </c>
      <c r="D53" s="57">
        <f>IF($A53="","",IFERROR(INDEX(RESULTADOS_GRID!$D:$D,MATCH($A53,RESULTADOS_GRID!$B:$B,0)),""))</f>
        <v/>
      </c>
      <c r="E53" s="57">
        <f>IF($A53="","",COUNTIF(RESULTADOS_GRID!$B:$B,$A53))</f>
        <v/>
      </c>
      <c r="F53" s="54">
        <f>IF($A53="","",SUMIF(RESULTADOS_GRID!$B:$B,$A53,RESULTADOS_GRID!$X:$X))</f>
        <v/>
      </c>
      <c r="G53" s="53" t="n"/>
      <c r="H53" s="58">
        <f>CONFIG_REFERENCIA!$E$7</f>
        <v/>
      </c>
      <c r="I53" s="54">
        <f>IF($A53="","",$F53+N($G53)*$H53)</f>
        <v/>
      </c>
      <c r="J53" s="54">
        <f>IF($A53="","",IF((COUNTIFS(RESULTADOS_GRID!$B:$B,$A53,RESULTADOS_GRID!$Y:$Y,"&gt;=0")+COUNTIFS(RESULTADOS_GRID!$B:$B,$A53,RESULTADOS_GRID!$Y:$Y,"&lt;0"))=0,"",SUMIF(RESULTADOS_GRID!$B:$B,$A53,RESULTADOS_GRID!$Y:$Y)/(COUNTIFS(RESULTADOS_GRID!$B:$B,$A53,RESULTADOS_GRID!$Y:$Y,"&gt;=0")+COUNTIFS(RESULTADOS_GRID!$B:$B,$A53,RESULTADOS_GRID!$Y:$Y,"&lt;0"))))</f>
        <v/>
      </c>
      <c r="K53" s="54">
        <f>IF($A53="","",IF((COUNTIFS(RESULTADOS_GRID!$B:$B,$A53,RESULTADOS_GRID!$Z:$Z,"&gt;=0")+COUNTIFS(RESULTADOS_GRID!$B:$B,$A53,RESULTADOS_GRID!$Z:$Z,"&lt;0"))=0,"",SUMIF(RESULTADOS_GRID!$B:$B,$A53,RESULTADOS_GRID!$Z:$Z)/(COUNTIFS(RESULTADOS_GRID!$B:$B,$A53,RESULTADOS_GRID!$Z:$Z,"&gt;=0")+COUNTIFS(RESULTADOS_GRID!$B:$B,$A53,RESULTADOS_GRID!$Z:$Z,"&lt;0"))))</f>
        <v/>
      </c>
      <c r="L53" s="51">
        <f>IF($A53="","",IF((COUNTIFS(RESULTADOS_GRID!$B:$B,$A53,RESULTADOS_GRID!$AA:$AA,"&gt;=0")+COUNTIFS(RESULTADOS_GRID!$B:$B,$A53,RESULTADOS_GRID!$AA:$AA,"&lt;0"))=0,"",SUMIF(RESULTADOS_GRID!$B:$B,$A53,RESULTADOS_GRID!$AA:$AA)/(COUNTIFS(RESULTADOS_GRID!$B:$B,$A53,RESULTADOS_GRID!$AA:$AA,"&gt;=0")+COUNTIFS(RESULTADOS_GRID!$B:$B,$A53,RESULTADOS_GRID!$AA:$AA,"&lt;0"))))</f>
        <v/>
      </c>
      <c r="M53" s="51">
        <f>IF($A53="","",IF((COUNTIFS(RESULTADOS_GRID!$B:$B,$A53,RESULTADOS_GRID!$AB:$AB,"&gt;=0")+COUNTIFS(RESULTADOS_GRID!$B:$B,$A53,RESULTADOS_GRID!$AB:$AB,"&lt;0"))=0,"",SUMIF(RESULTADOS_GRID!$B:$B,$A53,RESULTADOS_GRID!$AB:$AB)/(COUNTIFS(RESULTADOS_GRID!$B:$B,$A53,RESULTADOS_GRID!$AB:$AB,"&gt;=0")+COUNTIFS(RESULTADOS_GRID!$B:$B,$A53,RESULTADOS_GRID!$AB:$AB,"&lt;0"))))</f>
        <v/>
      </c>
      <c r="N53" s="49" t="n"/>
      <c r="O53" s="57">
        <f>IF($I53="","",COUNTIFS($I$2:$I$101,"&lt;"&amp;$I53)+1)</f>
        <v/>
      </c>
      <c r="P53" s="49" t="n"/>
      <c r="Q53" s="49" t="n"/>
      <c r="R53" s="49" t="n"/>
      <c r="S53" s="49" t="n"/>
      <c r="T53" s="49" t="n"/>
      <c r="U53" s="49" t="n"/>
      <c r="V53" s="49" t="n"/>
      <c r="W53" s="49" t="n"/>
    </row>
    <row r="54" ht="15" customHeight="1" s="27">
      <c r="A54" s="49" t="n"/>
      <c r="B54" s="57">
        <f>IF($A54="","",IFERROR(INDEX(RESULTADOS_GRID!$C:$C,MATCH($A54,RESULTADOS_GRID!$B:$B,0)),""))</f>
        <v/>
      </c>
      <c r="C54" s="57">
        <f>IF($A54="","",IFERROR(INDEX(RESULTADOS_GRID!$E:$E,MATCH($A54,RESULTADOS_GRID!$B:$B,0)),""))</f>
        <v/>
      </c>
      <c r="D54" s="57">
        <f>IF($A54="","",IFERROR(INDEX(RESULTADOS_GRID!$D:$D,MATCH($A54,RESULTADOS_GRID!$B:$B,0)),""))</f>
        <v/>
      </c>
      <c r="E54" s="57">
        <f>IF($A54="","",COUNTIF(RESULTADOS_GRID!$B:$B,$A54))</f>
        <v/>
      </c>
      <c r="F54" s="54">
        <f>IF($A54="","",SUMIF(RESULTADOS_GRID!$B:$B,$A54,RESULTADOS_GRID!$X:$X))</f>
        <v/>
      </c>
      <c r="G54" s="53" t="n"/>
      <c r="H54" s="58">
        <f>CONFIG_REFERENCIA!$E$7</f>
        <v/>
      </c>
      <c r="I54" s="54">
        <f>IF($A54="","",$F54+N($G54)*$H54)</f>
        <v/>
      </c>
      <c r="J54" s="54">
        <f>IF($A54="","",IF((COUNTIFS(RESULTADOS_GRID!$B:$B,$A54,RESULTADOS_GRID!$Y:$Y,"&gt;=0")+COUNTIFS(RESULTADOS_GRID!$B:$B,$A54,RESULTADOS_GRID!$Y:$Y,"&lt;0"))=0,"",SUMIF(RESULTADOS_GRID!$B:$B,$A54,RESULTADOS_GRID!$Y:$Y)/(COUNTIFS(RESULTADOS_GRID!$B:$B,$A54,RESULTADOS_GRID!$Y:$Y,"&gt;=0")+COUNTIFS(RESULTADOS_GRID!$B:$B,$A54,RESULTADOS_GRID!$Y:$Y,"&lt;0"))))</f>
        <v/>
      </c>
      <c r="K54" s="54">
        <f>IF($A54="","",IF((COUNTIFS(RESULTADOS_GRID!$B:$B,$A54,RESULTADOS_GRID!$Z:$Z,"&gt;=0")+COUNTIFS(RESULTADOS_GRID!$B:$B,$A54,RESULTADOS_GRID!$Z:$Z,"&lt;0"))=0,"",SUMIF(RESULTADOS_GRID!$B:$B,$A54,RESULTADOS_GRID!$Z:$Z)/(COUNTIFS(RESULTADOS_GRID!$B:$B,$A54,RESULTADOS_GRID!$Z:$Z,"&gt;=0")+COUNTIFS(RESULTADOS_GRID!$B:$B,$A54,RESULTADOS_GRID!$Z:$Z,"&lt;0"))))</f>
        <v/>
      </c>
      <c r="L54" s="51">
        <f>IF($A54="","",IF((COUNTIFS(RESULTADOS_GRID!$B:$B,$A54,RESULTADOS_GRID!$AA:$AA,"&gt;=0")+COUNTIFS(RESULTADOS_GRID!$B:$B,$A54,RESULTADOS_GRID!$AA:$AA,"&lt;0"))=0,"",SUMIF(RESULTADOS_GRID!$B:$B,$A54,RESULTADOS_GRID!$AA:$AA)/(COUNTIFS(RESULTADOS_GRID!$B:$B,$A54,RESULTADOS_GRID!$AA:$AA,"&gt;=0")+COUNTIFS(RESULTADOS_GRID!$B:$B,$A54,RESULTADOS_GRID!$AA:$AA,"&lt;0"))))</f>
        <v/>
      </c>
      <c r="M54" s="51">
        <f>IF($A54="","",IF((COUNTIFS(RESULTADOS_GRID!$B:$B,$A54,RESULTADOS_GRID!$AB:$AB,"&gt;=0")+COUNTIFS(RESULTADOS_GRID!$B:$B,$A54,RESULTADOS_GRID!$AB:$AB,"&lt;0"))=0,"",SUMIF(RESULTADOS_GRID!$B:$B,$A54,RESULTADOS_GRID!$AB:$AB)/(COUNTIFS(RESULTADOS_GRID!$B:$B,$A54,RESULTADOS_GRID!$AB:$AB,"&gt;=0")+COUNTIFS(RESULTADOS_GRID!$B:$B,$A54,RESULTADOS_GRID!$AB:$AB,"&lt;0"))))</f>
        <v/>
      </c>
      <c r="N54" s="49" t="n"/>
      <c r="O54" s="57">
        <f>IF($I54="","",COUNTIFS($I$2:$I$101,"&lt;"&amp;$I54)+1)</f>
        <v/>
      </c>
      <c r="P54" s="49" t="n"/>
      <c r="Q54" s="49" t="n"/>
      <c r="R54" s="49" t="n"/>
      <c r="S54" s="49" t="n"/>
      <c r="T54" s="49" t="n"/>
      <c r="U54" s="49" t="n"/>
      <c r="V54" s="49" t="n"/>
      <c r="W54" s="49" t="n"/>
    </row>
    <row r="55" ht="15" customHeight="1" s="27">
      <c r="A55" s="49" t="n"/>
      <c r="B55" s="57">
        <f>IF($A55="","",IFERROR(INDEX(RESULTADOS_GRID!$C:$C,MATCH($A55,RESULTADOS_GRID!$B:$B,0)),""))</f>
        <v/>
      </c>
      <c r="C55" s="57">
        <f>IF($A55="","",IFERROR(INDEX(RESULTADOS_GRID!$E:$E,MATCH($A55,RESULTADOS_GRID!$B:$B,0)),""))</f>
        <v/>
      </c>
      <c r="D55" s="57">
        <f>IF($A55="","",IFERROR(INDEX(RESULTADOS_GRID!$D:$D,MATCH($A55,RESULTADOS_GRID!$B:$B,0)),""))</f>
        <v/>
      </c>
      <c r="E55" s="57">
        <f>IF($A55="","",COUNTIF(RESULTADOS_GRID!$B:$B,$A55))</f>
        <v/>
      </c>
      <c r="F55" s="54">
        <f>IF($A55="","",SUMIF(RESULTADOS_GRID!$B:$B,$A55,RESULTADOS_GRID!$X:$X))</f>
        <v/>
      </c>
      <c r="G55" s="53" t="n"/>
      <c r="H55" s="58">
        <f>CONFIG_REFERENCIA!$E$7</f>
        <v/>
      </c>
      <c r="I55" s="54">
        <f>IF($A55="","",$F55+N($G55)*$H55)</f>
        <v/>
      </c>
      <c r="J55" s="54">
        <f>IF($A55="","",IF((COUNTIFS(RESULTADOS_GRID!$B:$B,$A55,RESULTADOS_GRID!$Y:$Y,"&gt;=0")+COUNTIFS(RESULTADOS_GRID!$B:$B,$A55,RESULTADOS_GRID!$Y:$Y,"&lt;0"))=0,"",SUMIF(RESULTADOS_GRID!$B:$B,$A55,RESULTADOS_GRID!$Y:$Y)/(COUNTIFS(RESULTADOS_GRID!$B:$B,$A55,RESULTADOS_GRID!$Y:$Y,"&gt;=0")+COUNTIFS(RESULTADOS_GRID!$B:$B,$A55,RESULTADOS_GRID!$Y:$Y,"&lt;0"))))</f>
        <v/>
      </c>
      <c r="K55" s="54">
        <f>IF($A55="","",IF((COUNTIFS(RESULTADOS_GRID!$B:$B,$A55,RESULTADOS_GRID!$Z:$Z,"&gt;=0")+COUNTIFS(RESULTADOS_GRID!$B:$B,$A55,RESULTADOS_GRID!$Z:$Z,"&lt;0"))=0,"",SUMIF(RESULTADOS_GRID!$B:$B,$A55,RESULTADOS_GRID!$Z:$Z)/(COUNTIFS(RESULTADOS_GRID!$B:$B,$A55,RESULTADOS_GRID!$Z:$Z,"&gt;=0")+COUNTIFS(RESULTADOS_GRID!$B:$B,$A55,RESULTADOS_GRID!$Z:$Z,"&lt;0"))))</f>
        <v/>
      </c>
      <c r="L55" s="51">
        <f>IF($A55="","",IF((COUNTIFS(RESULTADOS_GRID!$B:$B,$A55,RESULTADOS_GRID!$AA:$AA,"&gt;=0")+COUNTIFS(RESULTADOS_GRID!$B:$B,$A55,RESULTADOS_GRID!$AA:$AA,"&lt;0"))=0,"",SUMIF(RESULTADOS_GRID!$B:$B,$A55,RESULTADOS_GRID!$AA:$AA)/(COUNTIFS(RESULTADOS_GRID!$B:$B,$A55,RESULTADOS_GRID!$AA:$AA,"&gt;=0")+COUNTIFS(RESULTADOS_GRID!$B:$B,$A55,RESULTADOS_GRID!$AA:$AA,"&lt;0"))))</f>
        <v/>
      </c>
      <c r="M55" s="51">
        <f>IF($A55="","",IF((COUNTIFS(RESULTADOS_GRID!$B:$B,$A55,RESULTADOS_GRID!$AB:$AB,"&gt;=0")+COUNTIFS(RESULTADOS_GRID!$B:$B,$A55,RESULTADOS_GRID!$AB:$AB,"&lt;0"))=0,"",SUMIF(RESULTADOS_GRID!$B:$B,$A55,RESULTADOS_GRID!$AB:$AB)/(COUNTIFS(RESULTADOS_GRID!$B:$B,$A55,RESULTADOS_GRID!$AB:$AB,"&gt;=0")+COUNTIFS(RESULTADOS_GRID!$B:$B,$A55,RESULTADOS_GRID!$AB:$AB,"&lt;0"))))</f>
        <v/>
      </c>
      <c r="N55" s="49" t="n"/>
      <c r="O55" s="57">
        <f>IF($I55="","",COUNTIFS($I$2:$I$101,"&lt;"&amp;$I55)+1)</f>
        <v/>
      </c>
      <c r="P55" s="49" t="n"/>
      <c r="Q55" s="49" t="n"/>
      <c r="R55" s="49" t="n"/>
      <c r="S55" s="49" t="n"/>
      <c r="T55" s="49" t="n"/>
      <c r="U55" s="49" t="n"/>
      <c r="V55" s="49" t="n"/>
      <c r="W55" s="49" t="n"/>
    </row>
    <row r="56" ht="15" customHeight="1" s="27">
      <c r="A56" s="49" t="n"/>
      <c r="B56" s="57">
        <f>IF($A56="","",IFERROR(INDEX(RESULTADOS_GRID!$C:$C,MATCH($A56,RESULTADOS_GRID!$B:$B,0)),""))</f>
        <v/>
      </c>
      <c r="C56" s="57">
        <f>IF($A56="","",IFERROR(INDEX(RESULTADOS_GRID!$E:$E,MATCH($A56,RESULTADOS_GRID!$B:$B,0)),""))</f>
        <v/>
      </c>
      <c r="D56" s="57">
        <f>IF($A56="","",IFERROR(INDEX(RESULTADOS_GRID!$D:$D,MATCH($A56,RESULTADOS_GRID!$B:$B,0)),""))</f>
        <v/>
      </c>
      <c r="E56" s="57">
        <f>IF($A56="","",COUNTIF(RESULTADOS_GRID!$B:$B,$A56))</f>
        <v/>
      </c>
      <c r="F56" s="54">
        <f>IF($A56="","",SUMIF(RESULTADOS_GRID!$B:$B,$A56,RESULTADOS_GRID!$X:$X))</f>
        <v/>
      </c>
      <c r="G56" s="53" t="n"/>
      <c r="H56" s="58">
        <f>CONFIG_REFERENCIA!$E$7</f>
        <v/>
      </c>
      <c r="I56" s="54">
        <f>IF($A56="","",$F56+N($G56)*$H56)</f>
        <v/>
      </c>
      <c r="J56" s="54">
        <f>IF($A56="","",IF((COUNTIFS(RESULTADOS_GRID!$B:$B,$A56,RESULTADOS_GRID!$Y:$Y,"&gt;=0")+COUNTIFS(RESULTADOS_GRID!$B:$B,$A56,RESULTADOS_GRID!$Y:$Y,"&lt;0"))=0,"",SUMIF(RESULTADOS_GRID!$B:$B,$A56,RESULTADOS_GRID!$Y:$Y)/(COUNTIFS(RESULTADOS_GRID!$B:$B,$A56,RESULTADOS_GRID!$Y:$Y,"&gt;=0")+COUNTIFS(RESULTADOS_GRID!$B:$B,$A56,RESULTADOS_GRID!$Y:$Y,"&lt;0"))))</f>
        <v/>
      </c>
      <c r="K56" s="54">
        <f>IF($A56="","",IF((COUNTIFS(RESULTADOS_GRID!$B:$B,$A56,RESULTADOS_GRID!$Z:$Z,"&gt;=0")+COUNTIFS(RESULTADOS_GRID!$B:$B,$A56,RESULTADOS_GRID!$Z:$Z,"&lt;0"))=0,"",SUMIF(RESULTADOS_GRID!$B:$B,$A56,RESULTADOS_GRID!$Z:$Z)/(COUNTIFS(RESULTADOS_GRID!$B:$B,$A56,RESULTADOS_GRID!$Z:$Z,"&gt;=0")+COUNTIFS(RESULTADOS_GRID!$B:$B,$A56,RESULTADOS_GRID!$Z:$Z,"&lt;0"))))</f>
        <v/>
      </c>
      <c r="L56" s="51">
        <f>IF($A56="","",IF((COUNTIFS(RESULTADOS_GRID!$B:$B,$A56,RESULTADOS_GRID!$AA:$AA,"&gt;=0")+COUNTIFS(RESULTADOS_GRID!$B:$B,$A56,RESULTADOS_GRID!$AA:$AA,"&lt;0"))=0,"",SUMIF(RESULTADOS_GRID!$B:$B,$A56,RESULTADOS_GRID!$AA:$AA)/(COUNTIFS(RESULTADOS_GRID!$B:$B,$A56,RESULTADOS_GRID!$AA:$AA,"&gt;=0")+COUNTIFS(RESULTADOS_GRID!$B:$B,$A56,RESULTADOS_GRID!$AA:$AA,"&lt;0"))))</f>
        <v/>
      </c>
      <c r="M56" s="51">
        <f>IF($A56="","",IF((COUNTIFS(RESULTADOS_GRID!$B:$B,$A56,RESULTADOS_GRID!$AB:$AB,"&gt;=0")+COUNTIFS(RESULTADOS_GRID!$B:$B,$A56,RESULTADOS_GRID!$AB:$AB,"&lt;0"))=0,"",SUMIF(RESULTADOS_GRID!$B:$B,$A56,RESULTADOS_GRID!$AB:$AB)/(COUNTIFS(RESULTADOS_GRID!$B:$B,$A56,RESULTADOS_GRID!$AB:$AB,"&gt;=0")+COUNTIFS(RESULTADOS_GRID!$B:$B,$A56,RESULTADOS_GRID!$AB:$AB,"&lt;0"))))</f>
        <v/>
      </c>
      <c r="N56" s="49" t="n"/>
      <c r="O56" s="57">
        <f>IF($I56="","",COUNTIFS($I$2:$I$101,"&lt;"&amp;$I56)+1)</f>
        <v/>
      </c>
      <c r="P56" s="49" t="n"/>
      <c r="Q56" s="49" t="n"/>
      <c r="R56" s="49" t="n"/>
      <c r="S56" s="49" t="n"/>
      <c r="T56" s="49" t="n"/>
      <c r="U56" s="49" t="n"/>
      <c r="V56" s="49" t="n"/>
      <c r="W56" s="49" t="n"/>
    </row>
    <row r="57" ht="15" customHeight="1" s="27">
      <c r="A57" s="49" t="n"/>
      <c r="B57" s="57">
        <f>IF($A57="","",IFERROR(INDEX(RESULTADOS_GRID!$C:$C,MATCH($A57,RESULTADOS_GRID!$B:$B,0)),""))</f>
        <v/>
      </c>
      <c r="C57" s="57">
        <f>IF($A57="","",IFERROR(INDEX(RESULTADOS_GRID!$E:$E,MATCH($A57,RESULTADOS_GRID!$B:$B,0)),""))</f>
        <v/>
      </c>
      <c r="D57" s="57">
        <f>IF($A57="","",IFERROR(INDEX(RESULTADOS_GRID!$D:$D,MATCH($A57,RESULTADOS_GRID!$B:$B,0)),""))</f>
        <v/>
      </c>
      <c r="E57" s="57">
        <f>IF($A57="","",COUNTIF(RESULTADOS_GRID!$B:$B,$A57))</f>
        <v/>
      </c>
      <c r="F57" s="54">
        <f>IF($A57="","",SUMIF(RESULTADOS_GRID!$B:$B,$A57,RESULTADOS_GRID!$X:$X))</f>
        <v/>
      </c>
      <c r="G57" s="53" t="n"/>
      <c r="H57" s="58">
        <f>CONFIG_REFERENCIA!$E$7</f>
        <v/>
      </c>
      <c r="I57" s="54">
        <f>IF($A57="","",$F57+N($G57)*$H57)</f>
        <v/>
      </c>
      <c r="J57" s="54">
        <f>IF($A57="","",IF((COUNTIFS(RESULTADOS_GRID!$B:$B,$A57,RESULTADOS_GRID!$Y:$Y,"&gt;=0")+COUNTIFS(RESULTADOS_GRID!$B:$B,$A57,RESULTADOS_GRID!$Y:$Y,"&lt;0"))=0,"",SUMIF(RESULTADOS_GRID!$B:$B,$A57,RESULTADOS_GRID!$Y:$Y)/(COUNTIFS(RESULTADOS_GRID!$B:$B,$A57,RESULTADOS_GRID!$Y:$Y,"&gt;=0")+COUNTIFS(RESULTADOS_GRID!$B:$B,$A57,RESULTADOS_GRID!$Y:$Y,"&lt;0"))))</f>
        <v/>
      </c>
      <c r="K57" s="54">
        <f>IF($A57="","",IF((COUNTIFS(RESULTADOS_GRID!$B:$B,$A57,RESULTADOS_GRID!$Z:$Z,"&gt;=0")+COUNTIFS(RESULTADOS_GRID!$B:$B,$A57,RESULTADOS_GRID!$Z:$Z,"&lt;0"))=0,"",SUMIF(RESULTADOS_GRID!$B:$B,$A57,RESULTADOS_GRID!$Z:$Z)/(COUNTIFS(RESULTADOS_GRID!$B:$B,$A57,RESULTADOS_GRID!$Z:$Z,"&gt;=0")+COUNTIFS(RESULTADOS_GRID!$B:$B,$A57,RESULTADOS_GRID!$Z:$Z,"&lt;0"))))</f>
        <v/>
      </c>
      <c r="L57" s="51">
        <f>IF($A57="","",IF((COUNTIFS(RESULTADOS_GRID!$B:$B,$A57,RESULTADOS_GRID!$AA:$AA,"&gt;=0")+COUNTIFS(RESULTADOS_GRID!$B:$B,$A57,RESULTADOS_GRID!$AA:$AA,"&lt;0"))=0,"",SUMIF(RESULTADOS_GRID!$B:$B,$A57,RESULTADOS_GRID!$AA:$AA)/(COUNTIFS(RESULTADOS_GRID!$B:$B,$A57,RESULTADOS_GRID!$AA:$AA,"&gt;=0")+COUNTIFS(RESULTADOS_GRID!$B:$B,$A57,RESULTADOS_GRID!$AA:$AA,"&lt;0"))))</f>
        <v/>
      </c>
      <c r="M57" s="51">
        <f>IF($A57="","",IF((COUNTIFS(RESULTADOS_GRID!$B:$B,$A57,RESULTADOS_GRID!$AB:$AB,"&gt;=0")+COUNTIFS(RESULTADOS_GRID!$B:$B,$A57,RESULTADOS_GRID!$AB:$AB,"&lt;0"))=0,"",SUMIF(RESULTADOS_GRID!$B:$B,$A57,RESULTADOS_GRID!$AB:$AB)/(COUNTIFS(RESULTADOS_GRID!$B:$B,$A57,RESULTADOS_GRID!$AB:$AB,"&gt;=0")+COUNTIFS(RESULTADOS_GRID!$B:$B,$A57,RESULTADOS_GRID!$AB:$AB,"&lt;0"))))</f>
        <v/>
      </c>
      <c r="N57" s="49" t="n"/>
      <c r="O57" s="57">
        <f>IF($I57="","",COUNTIFS($I$2:$I$101,"&lt;"&amp;$I57)+1)</f>
        <v/>
      </c>
      <c r="P57" s="49" t="n"/>
      <c r="Q57" s="49" t="n"/>
      <c r="R57" s="49" t="n"/>
      <c r="S57" s="49" t="n"/>
      <c r="T57" s="49" t="n"/>
      <c r="U57" s="49" t="n"/>
      <c r="V57" s="49" t="n"/>
      <c r="W57" s="49" t="n"/>
    </row>
    <row r="58" ht="15" customHeight="1" s="27">
      <c r="A58" s="49" t="n"/>
      <c r="B58" s="57">
        <f>IF($A58="","",IFERROR(INDEX(RESULTADOS_GRID!$C:$C,MATCH($A58,RESULTADOS_GRID!$B:$B,0)),""))</f>
        <v/>
      </c>
      <c r="C58" s="57">
        <f>IF($A58="","",IFERROR(INDEX(RESULTADOS_GRID!$E:$E,MATCH($A58,RESULTADOS_GRID!$B:$B,0)),""))</f>
        <v/>
      </c>
      <c r="D58" s="57">
        <f>IF($A58="","",IFERROR(INDEX(RESULTADOS_GRID!$D:$D,MATCH($A58,RESULTADOS_GRID!$B:$B,0)),""))</f>
        <v/>
      </c>
      <c r="E58" s="57">
        <f>IF($A58="","",COUNTIF(RESULTADOS_GRID!$B:$B,$A58))</f>
        <v/>
      </c>
      <c r="F58" s="54">
        <f>IF($A58="","",SUMIF(RESULTADOS_GRID!$B:$B,$A58,RESULTADOS_GRID!$X:$X))</f>
        <v/>
      </c>
      <c r="G58" s="53" t="n"/>
      <c r="H58" s="58">
        <f>CONFIG_REFERENCIA!$E$7</f>
        <v/>
      </c>
      <c r="I58" s="54">
        <f>IF($A58="","",$F58+N($G58)*$H58)</f>
        <v/>
      </c>
      <c r="J58" s="54">
        <f>IF($A58="","",IF((COUNTIFS(RESULTADOS_GRID!$B:$B,$A58,RESULTADOS_GRID!$Y:$Y,"&gt;=0")+COUNTIFS(RESULTADOS_GRID!$B:$B,$A58,RESULTADOS_GRID!$Y:$Y,"&lt;0"))=0,"",SUMIF(RESULTADOS_GRID!$B:$B,$A58,RESULTADOS_GRID!$Y:$Y)/(COUNTIFS(RESULTADOS_GRID!$B:$B,$A58,RESULTADOS_GRID!$Y:$Y,"&gt;=0")+COUNTIFS(RESULTADOS_GRID!$B:$B,$A58,RESULTADOS_GRID!$Y:$Y,"&lt;0"))))</f>
        <v/>
      </c>
      <c r="K58" s="54">
        <f>IF($A58="","",IF((COUNTIFS(RESULTADOS_GRID!$B:$B,$A58,RESULTADOS_GRID!$Z:$Z,"&gt;=0")+COUNTIFS(RESULTADOS_GRID!$B:$B,$A58,RESULTADOS_GRID!$Z:$Z,"&lt;0"))=0,"",SUMIF(RESULTADOS_GRID!$B:$B,$A58,RESULTADOS_GRID!$Z:$Z)/(COUNTIFS(RESULTADOS_GRID!$B:$B,$A58,RESULTADOS_GRID!$Z:$Z,"&gt;=0")+COUNTIFS(RESULTADOS_GRID!$B:$B,$A58,RESULTADOS_GRID!$Z:$Z,"&lt;0"))))</f>
        <v/>
      </c>
      <c r="L58" s="51">
        <f>IF($A58="","",IF((COUNTIFS(RESULTADOS_GRID!$B:$B,$A58,RESULTADOS_GRID!$AA:$AA,"&gt;=0")+COUNTIFS(RESULTADOS_GRID!$B:$B,$A58,RESULTADOS_GRID!$AA:$AA,"&lt;0"))=0,"",SUMIF(RESULTADOS_GRID!$B:$B,$A58,RESULTADOS_GRID!$AA:$AA)/(COUNTIFS(RESULTADOS_GRID!$B:$B,$A58,RESULTADOS_GRID!$AA:$AA,"&gt;=0")+COUNTIFS(RESULTADOS_GRID!$B:$B,$A58,RESULTADOS_GRID!$AA:$AA,"&lt;0"))))</f>
        <v/>
      </c>
      <c r="M58" s="51">
        <f>IF($A58="","",IF((COUNTIFS(RESULTADOS_GRID!$B:$B,$A58,RESULTADOS_GRID!$AB:$AB,"&gt;=0")+COUNTIFS(RESULTADOS_GRID!$B:$B,$A58,RESULTADOS_GRID!$AB:$AB,"&lt;0"))=0,"",SUMIF(RESULTADOS_GRID!$B:$B,$A58,RESULTADOS_GRID!$AB:$AB)/(COUNTIFS(RESULTADOS_GRID!$B:$B,$A58,RESULTADOS_GRID!$AB:$AB,"&gt;=0")+COUNTIFS(RESULTADOS_GRID!$B:$B,$A58,RESULTADOS_GRID!$AB:$AB,"&lt;0"))))</f>
        <v/>
      </c>
      <c r="N58" s="49" t="n"/>
      <c r="O58" s="57">
        <f>IF($I58="","",COUNTIFS($I$2:$I$101,"&lt;"&amp;$I58)+1)</f>
        <v/>
      </c>
      <c r="P58" s="49" t="n"/>
      <c r="Q58" s="49" t="n"/>
      <c r="R58" s="49" t="n"/>
      <c r="S58" s="49" t="n"/>
      <c r="T58" s="49" t="n"/>
      <c r="U58" s="49" t="n"/>
      <c r="V58" s="49" t="n"/>
      <c r="W58" s="49" t="n"/>
    </row>
    <row r="59" ht="15" customHeight="1" s="27">
      <c r="A59" s="49" t="n"/>
      <c r="B59" s="57">
        <f>IF($A59="","",IFERROR(INDEX(RESULTADOS_GRID!$C:$C,MATCH($A59,RESULTADOS_GRID!$B:$B,0)),""))</f>
        <v/>
      </c>
      <c r="C59" s="57">
        <f>IF($A59="","",IFERROR(INDEX(RESULTADOS_GRID!$E:$E,MATCH($A59,RESULTADOS_GRID!$B:$B,0)),""))</f>
        <v/>
      </c>
      <c r="D59" s="57">
        <f>IF($A59="","",IFERROR(INDEX(RESULTADOS_GRID!$D:$D,MATCH($A59,RESULTADOS_GRID!$B:$B,0)),""))</f>
        <v/>
      </c>
      <c r="E59" s="57">
        <f>IF($A59="","",COUNTIF(RESULTADOS_GRID!$B:$B,$A59))</f>
        <v/>
      </c>
      <c r="F59" s="54">
        <f>IF($A59="","",SUMIF(RESULTADOS_GRID!$B:$B,$A59,RESULTADOS_GRID!$X:$X))</f>
        <v/>
      </c>
      <c r="G59" s="53" t="n"/>
      <c r="H59" s="58">
        <f>CONFIG_REFERENCIA!$E$7</f>
        <v/>
      </c>
      <c r="I59" s="54">
        <f>IF($A59="","",$F59+N($G59)*$H59)</f>
        <v/>
      </c>
      <c r="J59" s="54">
        <f>IF($A59="","",IF((COUNTIFS(RESULTADOS_GRID!$B:$B,$A59,RESULTADOS_GRID!$Y:$Y,"&gt;=0")+COUNTIFS(RESULTADOS_GRID!$B:$B,$A59,RESULTADOS_GRID!$Y:$Y,"&lt;0"))=0,"",SUMIF(RESULTADOS_GRID!$B:$B,$A59,RESULTADOS_GRID!$Y:$Y)/(COUNTIFS(RESULTADOS_GRID!$B:$B,$A59,RESULTADOS_GRID!$Y:$Y,"&gt;=0")+COUNTIFS(RESULTADOS_GRID!$B:$B,$A59,RESULTADOS_GRID!$Y:$Y,"&lt;0"))))</f>
        <v/>
      </c>
      <c r="K59" s="54">
        <f>IF($A59="","",IF((COUNTIFS(RESULTADOS_GRID!$B:$B,$A59,RESULTADOS_GRID!$Z:$Z,"&gt;=0")+COUNTIFS(RESULTADOS_GRID!$B:$B,$A59,RESULTADOS_GRID!$Z:$Z,"&lt;0"))=0,"",SUMIF(RESULTADOS_GRID!$B:$B,$A59,RESULTADOS_GRID!$Z:$Z)/(COUNTIFS(RESULTADOS_GRID!$B:$B,$A59,RESULTADOS_GRID!$Z:$Z,"&gt;=0")+COUNTIFS(RESULTADOS_GRID!$B:$B,$A59,RESULTADOS_GRID!$Z:$Z,"&lt;0"))))</f>
        <v/>
      </c>
      <c r="L59" s="51">
        <f>IF($A59="","",IF((COUNTIFS(RESULTADOS_GRID!$B:$B,$A59,RESULTADOS_GRID!$AA:$AA,"&gt;=0")+COUNTIFS(RESULTADOS_GRID!$B:$B,$A59,RESULTADOS_GRID!$AA:$AA,"&lt;0"))=0,"",SUMIF(RESULTADOS_GRID!$B:$B,$A59,RESULTADOS_GRID!$AA:$AA)/(COUNTIFS(RESULTADOS_GRID!$B:$B,$A59,RESULTADOS_GRID!$AA:$AA,"&gt;=0")+COUNTIFS(RESULTADOS_GRID!$B:$B,$A59,RESULTADOS_GRID!$AA:$AA,"&lt;0"))))</f>
        <v/>
      </c>
      <c r="M59" s="51">
        <f>IF($A59="","",IF((COUNTIFS(RESULTADOS_GRID!$B:$B,$A59,RESULTADOS_GRID!$AB:$AB,"&gt;=0")+COUNTIFS(RESULTADOS_GRID!$B:$B,$A59,RESULTADOS_GRID!$AB:$AB,"&lt;0"))=0,"",SUMIF(RESULTADOS_GRID!$B:$B,$A59,RESULTADOS_GRID!$AB:$AB)/(COUNTIFS(RESULTADOS_GRID!$B:$B,$A59,RESULTADOS_GRID!$AB:$AB,"&gt;=0")+COUNTIFS(RESULTADOS_GRID!$B:$B,$A59,RESULTADOS_GRID!$AB:$AB,"&lt;0"))))</f>
        <v/>
      </c>
      <c r="N59" s="49" t="n"/>
      <c r="O59" s="57">
        <f>IF($I59="","",COUNTIFS($I$2:$I$101,"&lt;"&amp;$I59)+1)</f>
        <v/>
      </c>
      <c r="P59" s="49" t="n"/>
      <c r="Q59" s="49" t="n"/>
      <c r="R59" s="49" t="n"/>
      <c r="S59" s="49" t="n"/>
      <c r="T59" s="49" t="n"/>
      <c r="U59" s="49" t="n"/>
      <c r="V59" s="49" t="n"/>
      <c r="W59" s="49" t="n"/>
    </row>
    <row r="60" ht="15" customHeight="1" s="27">
      <c r="A60" s="49" t="n"/>
      <c r="B60" s="57">
        <f>IF($A60="","",IFERROR(INDEX(RESULTADOS_GRID!$C:$C,MATCH($A60,RESULTADOS_GRID!$B:$B,0)),""))</f>
        <v/>
      </c>
      <c r="C60" s="57">
        <f>IF($A60="","",IFERROR(INDEX(RESULTADOS_GRID!$E:$E,MATCH($A60,RESULTADOS_GRID!$B:$B,0)),""))</f>
        <v/>
      </c>
      <c r="D60" s="57">
        <f>IF($A60="","",IFERROR(INDEX(RESULTADOS_GRID!$D:$D,MATCH($A60,RESULTADOS_GRID!$B:$B,0)),""))</f>
        <v/>
      </c>
      <c r="E60" s="57">
        <f>IF($A60="","",COUNTIF(RESULTADOS_GRID!$B:$B,$A60))</f>
        <v/>
      </c>
      <c r="F60" s="54">
        <f>IF($A60="","",SUMIF(RESULTADOS_GRID!$B:$B,$A60,RESULTADOS_GRID!$X:$X))</f>
        <v/>
      </c>
      <c r="G60" s="53" t="n"/>
      <c r="H60" s="58">
        <f>CONFIG_REFERENCIA!$E$7</f>
        <v/>
      </c>
      <c r="I60" s="54">
        <f>IF($A60="","",$F60+N($G60)*$H60)</f>
        <v/>
      </c>
      <c r="J60" s="54">
        <f>IF($A60="","",IF((COUNTIFS(RESULTADOS_GRID!$B:$B,$A60,RESULTADOS_GRID!$Y:$Y,"&gt;=0")+COUNTIFS(RESULTADOS_GRID!$B:$B,$A60,RESULTADOS_GRID!$Y:$Y,"&lt;0"))=0,"",SUMIF(RESULTADOS_GRID!$B:$B,$A60,RESULTADOS_GRID!$Y:$Y)/(COUNTIFS(RESULTADOS_GRID!$B:$B,$A60,RESULTADOS_GRID!$Y:$Y,"&gt;=0")+COUNTIFS(RESULTADOS_GRID!$B:$B,$A60,RESULTADOS_GRID!$Y:$Y,"&lt;0"))))</f>
        <v/>
      </c>
      <c r="K60" s="54">
        <f>IF($A60="","",IF((COUNTIFS(RESULTADOS_GRID!$B:$B,$A60,RESULTADOS_GRID!$Z:$Z,"&gt;=0")+COUNTIFS(RESULTADOS_GRID!$B:$B,$A60,RESULTADOS_GRID!$Z:$Z,"&lt;0"))=0,"",SUMIF(RESULTADOS_GRID!$B:$B,$A60,RESULTADOS_GRID!$Z:$Z)/(COUNTIFS(RESULTADOS_GRID!$B:$B,$A60,RESULTADOS_GRID!$Z:$Z,"&gt;=0")+COUNTIFS(RESULTADOS_GRID!$B:$B,$A60,RESULTADOS_GRID!$Z:$Z,"&lt;0"))))</f>
        <v/>
      </c>
      <c r="L60" s="51">
        <f>IF($A60="","",IF((COUNTIFS(RESULTADOS_GRID!$B:$B,$A60,RESULTADOS_GRID!$AA:$AA,"&gt;=0")+COUNTIFS(RESULTADOS_GRID!$B:$B,$A60,RESULTADOS_GRID!$AA:$AA,"&lt;0"))=0,"",SUMIF(RESULTADOS_GRID!$B:$B,$A60,RESULTADOS_GRID!$AA:$AA)/(COUNTIFS(RESULTADOS_GRID!$B:$B,$A60,RESULTADOS_GRID!$AA:$AA,"&gt;=0")+COUNTIFS(RESULTADOS_GRID!$B:$B,$A60,RESULTADOS_GRID!$AA:$AA,"&lt;0"))))</f>
        <v/>
      </c>
      <c r="M60" s="51">
        <f>IF($A60="","",IF((COUNTIFS(RESULTADOS_GRID!$B:$B,$A60,RESULTADOS_GRID!$AB:$AB,"&gt;=0")+COUNTIFS(RESULTADOS_GRID!$B:$B,$A60,RESULTADOS_GRID!$AB:$AB,"&lt;0"))=0,"",SUMIF(RESULTADOS_GRID!$B:$B,$A60,RESULTADOS_GRID!$AB:$AB)/(COUNTIFS(RESULTADOS_GRID!$B:$B,$A60,RESULTADOS_GRID!$AB:$AB,"&gt;=0")+COUNTIFS(RESULTADOS_GRID!$B:$B,$A60,RESULTADOS_GRID!$AB:$AB,"&lt;0"))))</f>
        <v/>
      </c>
      <c r="N60" s="49" t="n"/>
      <c r="O60" s="57">
        <f>IF($I60="","",COUNTIFS($I$2:$I$101,"&lt;"&amp;$I60)+1)</f>
        <v/>
      </c>
      <c r="P60" s="49" t="n"/>
      <c r="Q60" s="49" t="n"/>
      <c r="R60" s="49" t="n"/>
      <c r="S60" s="49" t="n"/>
      <c r="T60" s="49" t="n"/>
      <c r="U60" s="49" t="n"/>
      <c r="V60" s="49" t="n"/>
      <c r="W60" s="49" t="n"/>
    </row>
    <row r="61" ht="15" customHeight="1" s="27">
      <c r="A61" s="49" t="n"/>
      <c r="B61" s="57">
        <f>IF($A61="","",IFERROR(INDEX(RESULTADOS_GRID!$C:$C,MATCH($A61,RESULTADOS_GRID!$B:$B,0)),""))</f>
        <v/>
      </c>
      <c r="C61" s="57">
        <f>IF($A61="","",IFERROR(INDEX(RESULTADOS_GRID!$E:$E,MATCH($A61,RESULTADOS_GRID!$B:$B,0)),""))</f>
        <v/>
      </c>
      <c r="D61" s="57">
        <f>IF($A61="","",IFERROR(INDEX(RESULTADOS_GRID!$D:$D,MATCH($A61,RESULTADOS_GRID!$B:$B,0)),""))</f>
        <v/>
      </c>
      <c r="E61" s="57">
        <f>IF($A61="","",COUNTIF(RESULTADOS_GRID!$B:$B,$A61))</f>
        <v/>
      </c>
      <c r="F61" s="54">
        <f>IF($A61="","",SUMIF(RESULTADOS_GRID!$B:$B,$A61,RESULTADOS_GRID!$X:$X))</f>
        <v/>
      </c>
      <c r="G61" s="53" t="n"/>
      <c r="H61" s="58">
        <f>CONFIG_REFERENCIA!$E$7</f>
        <v/>
      </c>
      <c r="I61" s="54">
        <f>IF($A61="","",$F61+N($G61)*$H61)</f>
        <v/>
      </c>
      <c r="J61" s="54">
        <f>IF($A61="","",IF((COUNTIFS(RESULTADOS_GRID!$B:$B,$A61,RESULTADOS_GRID!$Y:$Y,"&gt;=0")+COUNTIFS(RESULTADOS_GRID!$B:$B,$A61,RESULTADOS_GRID!$Y:$Y,"&lt;0"))=0,"",SUMIF(RESULTADOS_GRID!$B:$B,$A61,RESULTADOS_GRID!$Y:$Y)/(COUNTIFS(RESULTADOS_GRID!$B:$B,$A61,RESULTADOS_GRID!$Y:$Y,"&gt;=0")+COUNTIFS(RESULTADOS_GRID!$B:$B,$A61,RESULTADOS_GRID!$Y:$Y,"&lt;0"))))</f>
        <v/>
      </c>
      <c r="K61" s="54">
        <f>IF($A61="","",IF((COUNTIFS(RESULTADOS_GRID!$B:$B,$A61,RESULTADOS_GRID!$Z:$Z,"&gt;=0")+COUNTIFS(RESULTADOS_GRID!$B:$B,$A61,RESULTADOS_GRID!$Z:$Z,"&lt;0"))=0,"",SUMIF(RESULTADOS_GRID!$B:$B,$A61,RESULTADOS_GRID!$Z:$Z)/(COUNTIFS(RESULTADOS_GRID!$B:$B,$A61,RESULTADOS_GRID!$Z:$Z,"&gt;=0")+COUNTIFS(RESULTADOS_GRID!$B:$B,$A61,RESULTADOS_GRID!$Z:$Z,"&lt;0"))))</f>
        <v/>
      </c>
      <c r="L61" s="51">
        <f>IF($A61="","",IF((COUNTIFS(RESULTADOS_GRID!$B:$B,$A61,RESULTADOS_GRID!$AA:$AA,"&gt;=0")+COUNTIFS(RESULTADOS_GRID!$B:$B,$A61,RESULTADOS_GRID!$AA:$AA,"&lt;0"))=0,"",SUMIF(RESULTADOS_GRID!$B:$B,$A61,RESULTADOS_GRID!$AA:$AA)/(COUNTIFS(RESULTADOS_GRID!$B:$B,$A61,RESULTADOS_GRID!$AA:$AA,"&gt;=0")+COUNTIFS(RESULTADOS_GRID!$B:$B,$A61,RESULTADOS_GRID!$AA:$AA,"&lt;0"))))</f>
        <v/>
      </c>
      <c r="M61" s="51">
        <f>IF($A61="","",IF((COUNTIFS(RESULTADOS_GRID!$B:$B,$A61,RESULTADOS_GRID!$AB:$AB,"&gt;=0")+COUNTIFS(RESULTADOS_GRID!$B:$B,$A61,RESULTADOS_GRID!$AB:$AB,"&lt;0"))=0,"",SUMIF(RESULTADOS_GRID!$B:$B,$A61,RESULTADOS_GRID!$AB:$AB)/(COUNTIFS(RESULTADOS_GRID!$B:$B,$A61,RESULTADOS_GRID!$AB:$AB,"&gt;=0")+COUNTIFS(RESULTADOS_GRID!$B:$B,$A61,RESULTADOS_GRID!$AB:$AB,"&lt;0"))))</f>
        <v/>
      </c>
      <c r="N61" s="49" t="n"/>
      <c r="O61" s="57">
        <f>IF($I61="","",COUNTIFS($I$2:$I$101,"&lt;"&amp;$I61)+1)</f>
        <v/>
      </c>
      <c r="P61" s="49" t="n"/>
      <c r="Q61" s="49" t="n"/>
      <c r="R61" s="49" t="n"/>
      <c r="S61" s="49" t="n"/>
      <c r="T61" s="49" t="n"/>
      <c r="U61" s="49" t="n"/>
      <c r="V61" s="49" t="n"/>
      <c r="W61" s="49" t="n"/>
    </row>
    <row r="62" ht="15" customHeight="1" s="27">
      <c r="A62" s="49" t="n"/>
      <c r="B62" s="57">
        <f>IF($A62="","",IFERROR(INDEX(RESULTADOS_GRID!$C:$C,MATCH($A62,RESULTADOS_GRID!$B:$B,0)),""))</f>
        <v/>
      </c>
      <c r="C62" s="57">
        <f>IF($A62="","",IFERROR(INDEX(RESULTADOS_GRID!$E:$E,MATCH($A62,RESULTADOS_GRID!$B:$B,0)),""))</f>
        <v/>
      </c>
      <c r="D62" s="57">
        <f>IF($A62="","",IFERROR(INDEX(RESULTADOS_GRID!$D:$D,MATCH($A62,RESULTADOS_GRID!$B:$B,0)),""))</f>
        <v/>
      </c>
      <c r="E62" s="57">
        <f>IF($A62="","",COUNTIF(RESULTADOS_GRID!$B:$B,$A62))</f>
        <v/>
      </c>
      <c r="F62" s="54">
        <f>IF($A62="","",SUMIF(RESULTADOS_GRID!$B:$B,$A62,RESULTADOS_GRID!$X:$X))</f>
        <v/>
      </c>
      <c r="G62" s="53" t="n"/>
      <c r="H62" s="58">
        <f>CONFIG_REFERENCIA!$E$7</f>
        <v/>
      </c>
      <c r="I62" s="54">
        <f>IF($A62="","",$F62+N($G62)*$H62)</f>
        <v/>
      </c>
      <c r="J62" s="54">
        <f>IF($A62="","",IF((COUNTIFS(RESULTADOS_GRID!$B:$B,$A62,RESULTADOS_GRID!$Y:$Y,"&gt;=0")+COUNTIFS(RESULTADOS_GRID!$B:$B,$A62,RESULTADOS_GRID!$Y:$Y,"&lt;0"))=0,"",SUMIF(RESULTADOS_GRID!$B:$B,$A62,RESULTADOS_GRID!$Y:$Y)/(COUNTIFS(RESULTADOS_GRID!$B:$B,$A62,RESULTADOS_GRID!$Y:$Y,"&gt;=0")+COUNTIFS(RESULTADOS_GRID!$B:$B,$A62,RESULTADOS_GRID!$Y:$Y,"&lt;0"))))</f>
        <v/>
      </c>
      <c r="K62" s="54">
        <f>IF($A62="","",IF((COUNTIFS(RESULTADOS_GRID!$B:$B,$A62,RESULTADOS_GRID!$Z:$Z,"&gt;=0")+COUNTIFS(RESULTADOS_GRID!$B:$B,$A62,RESULTADOS_GRID!$Z:$Z,"&lt;0"))=0,"",SUMIF(RESULTADOS_GRID!$B:$B,$A62,RESULTADOS_GRID!$Z:$Z)/(COUNTIFS(RESULTADOS_GRID!$B:$B,$A62,RESULTADOS_GRID!$Z:$Z,"&gt;=0")+COUNTIFS(RESULTADOS_GRID!$B:$B,$A62,RESULTADOS_GRID!$Z:$Z,"&lt;0"))))</f>
        <v/>
      </c>
      <c r="L62" s="51">
        <f>IF($A62="","",IF((COUNTIFS(RESULTADOS_GRID!$B:$B,$A62,RESULTADOS_GRID!$AA:$AA,"&gt;=0")+COUNTIFS(RESULTADOS_GRID!$B:$B,$A62,RESULTADOS_GRID!$AA:$AA,"&lt;0"))=0,"",SUMIF(RESULTADOS_GRID!$B:$B,$A62,RESULTADOS_GRID!$AA:$AA)/(COUNTIFS(RESULTADOS_GRID!$B:$B,$A62,RESULTADOS_GRID!$AA:$AA,"&gt;=0")+COUNTIFS(RESULTADOS_GRID!$B:$B,$A62,RESULTADOS_GRID!$AA:$AA,"&lt;0"))))</f>
        <v/>
      </c>
      <c r="M62" s="51">
        <f>IF($A62="","",IF((COUNTIFS(RESULTADOS_GRID!$B:$B,$A62,RESULTADOS_GRID!$AB:$AB,"&gt;=0")+COUNTIFS(RESULTADOS_GRID!$B:$B,$A62,RESULTADOS_GRID!$AB:$AB,"&lt;0"))=0,"",SUMIF(RESULTADOS_GRID!$B:$B,$A62,RESULTADOS_GRID!$AB:$AB)/(COUNTIFS(RESULTADOS_GRID!$B:$B,$A62,RESULTADOS_GRID!$AB:$AB,"&gt;=0")+COUNTIFS(RESULTADOS_GRID!$B:$B,$A62,RESULTADOS_GRID!$AB:$AB,"&lt;0"))))</f>
        <v/>
      </c>
      <c r="N62" s="49" t="n"/>
      <c r="O62" s="57">
        <f>IF($I62="","",COUNTIFS($I$2:$I$101,"&lt;"&amp;$I62)+1)</f>
        <v/>
      </c>
      <c r="P62" s="49" t="n"/>
      <c r="Q62" s="49" t="n"/>
      <c r="R62" s="49" t="n"/>
      <c r="S62" s="49" t="n"/>
      <c r="T62" s="49" t="n"/>
      <c r="U62" s="49" t="n"/>
      <c r="V62" s="49" t="n"/>
      <c r="W62" s="49" t="n"/>
    </row>
    <row r="63" ht="15" customHeight="1" s="27">
      <c r="A63" s="49" t="n"/>
      <c r="B63" s="57">
        <f>IF($A63="","",IFERROR(INDEX(RESULTADOS_GRID!$C:$C,MATCH($A63,RESULTADOS_GRID!$B:$B,0)),""))</f>
        <v/>
      </c>
      <c r="C63" s="57">
        <f>IF($A63="","",IFERROR(INDEX(RESULTADOS_GRID!$E:$E,MATCH($A63,RESULTADOS_GRID!$B:$B,0)),""))</f>
        <v/>
      </c>
      <c r="D63" s="57">
        <f>IF($A63="","",IFERROR(INDEX(RESULTADOS_GRID!$D:$D,MATCH($A63,RESULTADOS_GRID!$B:$B,0)),""))</f>
        <v/>
      </c>
      <c r="E63" s="57">
        <f>IF($A63="","",COUNTIF(RESULTADOS_GRID!$B:$B,$A63))</f>
        <v/>
      </c>
      <c r="F63" s="54">
        <f>IF($A63="","",SUMIF(RESULTADOS_GRID!$B:$B,$A63,RESULTADOS_GRID!$X:$X))</f>
        <v/>
      </c>
      <c r="G63" s="53" t="n"/>
      <c r="H63" s="58">
        <f>CONFIG_REFERENCIA!$E$7</f>
        <v/>
      </c>
      <c r="I63" s="54">
        <f>IF($A63="","",$F63+N($G63)*$H63)</f>
        <v/>
      </c>
      <c r="J63" s="54">
        <f>IF($A63="","",IF((COUNTIFS(RESULTADOS_GRID!$B:$B,$A63,RESULTADOS_GRID!$Y:$Y,"&gt;=0")+COUNTIFS(RESULTADOS_GRID!$B:$B,$A63,RESULTADOS_GRID!$Y:$Y,"&lt;0"))=0,"",SUMIF(RESULTADOS_GRID!$B:$B,$A63,RESULTADOS_GRID!$Y:$Y)/(COUNTIFS(RESULTADOS_GRID!$B:$B,$A63,RESULTADOS_GRID!$Y:$Y,"&gt;=0")+COUNTIFS(RESULTADOS_GRID!$B:$B,$A63,RESULTADOS_GRID!$Y:$Y,"&lt;0"))))</f>
        <v/>
      </c>
      <c r="K63" s="54">
        <f>IF($A63="","",IF((COUNTIFS(RESULTADOS_GRID!$B:$B,$A63,RESULTADOS_GRID!$Z:$Z,"&gt;=0")+COUNTIFS(RESULTADOS_GRID!$B:$B,$A63,RESULTADOS_GRID!$Z:$Z,"&lt;0"))=0,"",SUMIF(RESULTADOS_GRID!$B:$B,$A63,RESULTADOS_GRID!$Z:$Z)/(COUNTIFS(RESULTADOS_GRID!$B:$B,$A63,RESULTADOS_GRID!$Z:$Z,"&gt;=0")+COUNTIFS(RESULTADOS_GRID!$B:$B,$A63,RESULTADOS_GRID!$Z:$Z,"&lt;0"))))</f>
        <v/>
      </c>
      <c r="L63" s="51">
        <f>IF($A63="","",IF((COUNTIFS(RESULTADOS_GRID!$B:$B,$A63,RESULTADOS_GRID!$AA:$AA,"&gt;=0")+COUNTIFS(RESULTADOS_GRID!$B:$B,$A63,RESULTADOS_GRID!$AA:$AA,"&lt;0"))=0,"",SUMIF(RESULTADOS_GRID!$B:$B,$A63,RESULTADOS_GRID!$AA:$AA)/(COUNTIFS(RESULTADOS_GRID!$B:$B,$A63,RESULTADOS_GRID!$AA:$AA,"&gt;=0")+COUNTIFS(RESULTADOS_GRID!$B:$B,$A63,RESULTADOS_GRID!$AA:$AA,"&lt;0"))))</f>
        <v/>
      </c>
      <c r="M63" s="51">
        <f>IF($A63="","",IF((COUNTIFS(RESULTADOS_GRID!$B:$B,$A63,RESULTADOS_GRID!$AB:$AB,"&gt;=0")+COUNTIFS(RESULTADOS_GRID!$B:$B,$A63,RESULTADOS_GRID!$AB:$AB,"&lt;0"))=0,"",SUMIF(RESULTADOS_GRID!$B:$B,$A63,RESULTADOS_GRID!$AB:$AB)/(COUNTIFS(RESULTADOS_GRID!$B:$B,$A63,RESULTADOS_GRID!$AB:$AB,"&gt;=0")+COUNTIFS(RESULTADOS_GRID!$B:$B,$A63,RESULTADOS_GRID!$AB:$AB,"&lt;0"))))</f>
        <v/>
      </c>
      <c r="N63" s="49" t="n"/>
      <c r="O63" s="57">
        <f>IF($I63="","",COUNTIFS($I$2:$I$101,"&lt;"&amp;$I63)+1)</f>
        <v/>
      </c>
      <c r="P63" s="49" t="n"/>
      <c r="Q63" s="49" t="n"/>
      <c r="R63" s="49" t="n"/>
      <c r="S63" s="49" t="n"/>
      <c r="T63" s="49" t="n"/>
      <c r="U63" s="49" t="n"/>
      <c r="V63" s="49" t="n"/>
      <c r="W63" s="49" t="n"/>
    </row>
    <row r="64" ht="15" customHeight="1" s="27">
      <c r="A64" s="49" t="n"/>
      <c r="B64" s="57">
        <f>IF($A64="","",IFERROR(INDEX(RESULTADOS_GRID!$C:$C,MATCH($A64,RESULTADOS_GRID!$B:$B,0)),""))</f>
        <v/>
      </c>
      <c r="C64" s="57">
        <f>IF($A64="","",IFERROR(INDEX(RESULTADOS_GRID!$E:$E,MATCH($A64,RESULTADOS_GRID!$B:$B,0)),""))</f>
        <v/>
      </c>
      <c r="D64" s="57">
        <f>IF($A64="","",IFERROR(INDEX(RESULTADOS_GRID!$D:$D,MATCH($A64,RESULTADOS_GRID!$B:$B,0)),""))</f>
        <v/>
      </c>
      <c r="E64" s="57">
        <f>IF($A64="","",COUNTIF(RESULTADOS_GRID!$B:$B,$A64))</f>
        <v/>
      </c>
      <c r="F64" s="54">
        <f>IF($A64="","",SUMIF(RESULTADOS_GRID!$B:$B,$A64,RESULTADOS_GRID!$X:$X))</f>
        <v/>
      </c>
      <c r="G64" s="53" t="n"/>
      <c r="H64" s="58">
        <f>CONFIG_REFERENCIA!$E$7</f>
        <v/>
      </c>
      <c r="I64" s="54">
        <f>IF($A64="","",$F64+N($G64)*$H64)</f>
        <v/>
      </c>
      <c r="J64" s="54">
        <f>IF($A64="","",IF((COUNTIFS(RESULTADOS_GRID!$B:$B,$A64,RESULTADOS_GRID!$Y:$Y,"&gt;=0")+COUNTIFS(RESULTADOS_GRID!$B:$B,$A64,RESULTADOS_GRID!$Y:$Y,"&lt;0"))=0,"",SUMIF(RESULTADOS_GRID!$B:$B,$A64,RESULTADOS_GRID!$Y:$Y)/(COUNTIFS(RESULTADOS_GRID!$B:$B,$A64,RESULTADOS_GRID!$Y:$Y,"&gt;=0")+COUNTIFS(RESULTADOS_GRID!$B:$B,$A64,RESULTADOS_GRID!$Y:$Y,"&lt;0"))))</f>
        <v/>
      </c>
      <c r="K64" s="54">
        <f>IF($A64="","",IF((COUNTIFS(RESULTADOS_GRID!$B:$B,$A64,RESULTADOS_GRID!$Z:$Z,"&gt;=0")+COUNTIFS(RESULTADOS_GRID!$B:$B,$A64,RESULTADOS_GRID!$Z:$Z,"&lt;0"))=0,"",SUMIF(RESULTADOS_GRID!$B:$B,$A64,RESULTADOS_GRID!$Z:$Z)/(COUNTIFS(RESULTADOS_GRID!$B:$B,$A64,RESULTADOS_GRID!$Z:$Z,"&gt;=0")+COUNTIFS(RESULTADOS_GRID!$B:$B,$A64,RESULTADOS_GRID!$Z:$Z,"&lt;0"))))</f>
        <v/>
      </c>
      <c r="L64" s="51">
        <f>IF($A64="","",IF((COUNTIFS(RESULTADOS_GRID!$B:$B,$A64,RESULTADOS_GRID!$AA:$AA,"&gt;=0")+COUNTIFS(RESULTADOS_GRID!$B:$B,$A64,RESULTADOS_GRID!$AA:$AA,"&lt;0"))=0,"",SUMIF(RESULTADOS_GRID!$B:$B,$A64,RESULTADOS_GRID!$AA:$AA)/(COUNTIFS(RESULTADOS_GRID!$B:$B,$A64,RESULTADOS_GRID!$AA:$AA,"&gt;=0")+COUNTIFS(RESULTADOS_GRID!$B:$B,$A64,RESULTADOS_GRID!$AA:$AA,"&lt;0"))))</f>
        <v/>
      </c>
      <c r="M64" s="51">
        <f>IF($A64="","",IF((COUNTIFS(RESULTADOS_GRID!$B:$B,$A64,RESULTADOS_GRID!$AB:$AB,"&gt;=0")+COUNTIFS(RESULTADOS_GRID!$B:$B,$A64,RESULTADOS_GRID!$AB:$AB,"&lt;0"))=0,"",SUMIF(RESULTADOS_GRID!$B:$B,$A64,RESULTADOS_GRID!$AB:$AB)/(COUNTIFS(RESULTADOS_GRID!$B:$B,$A64,RESULTADOS_GRID!$AB:$AB,"&gt;=0")+COUNTIFS(RESULTADOS_GRID!$B:$B,$A64,RESULTADOS_GRID!$AB:$AB,"&lt;0"))))</f>
        <v/>
      </c>
      <c r="N64" s="49" t="n"/>
      <c r="O64" s="57">
        <f>IF($I64="","",COUNTIFS($I$2:$I$101,"&lt;"&amp;$I64)+1)</f>
        <v/>
      </c>
      <c r="P64" s="49" t="n"/>
      <c r="Q64" s="49" t="n"/>
      <c r="R64" s="49" t="n"/>
      <c r="S64" s="49" t="n"/>
      <c r="T64" s="49" t="n"/>
      <c r="U64" s="49" t="n"/>
      <c r="V64" s="49" t="n"/>
      <c r="W64" s="49" t="n"/>
    </row>
    <row r="65" ht="15" customHeight="1" s="27">
      <c r="A65" s="49" t="n"/>
      <c r="B65" s="57">
        <f>IF($A65="","",IFERROR(INDEX(RESULTADOS_GRID!$C:$C,MATCH($A65,RESULTADOS_GRID!$B:$B,0)),""))</f>
        <v/>
      </c>
      <c r="C65" s="57">
        <f>IF($A65="","",IFERROR(INDEX(RESULTADOS_GRID!$E:$E,MATCH($A65,RESULTADOS_GRID!$B:$B,0)),""))</f>
        <v/>
      </c>
      <c r="D65" s="57">
        <f>IF($A65="","",IFERROR(INDEX(RESULTADOS_GRID!$D:$D,MATCH($A65,RESULTADOS_GRID!$B:$B,0)),""))</f>
        <v/>
      </c>
      <c r="E65" s="57">
        <f>IF($A65="","",COUNTIF(RESULTADOS_GRID!$B:$B,$A65))</f>
        <v/>
      </c>
      <c r="F65" s="54">
        <f>IF($A65="","",SUMIF(RESULTADOS_GRID!$B:$B,$A65,RESULTADOS_GRID!$X:$X))</f>
        <v/>
      </c>
      <c r="G65" s="53" t="n"/>
      <c r="H65" s="58">
        <f>CONFIG_REFERENCIA!$E$7</f>
        <v/>
      </c>
      <c r="I65" s="54">
        <f>IF($A65="","",$F65+N($G65)*$H65)</f>
        <v/>
      </c>
      <c r="J65" s="54">
        <f>IF($A65="","",IF((COUNTIFS(RESULTADOS_GRID!$B:$B,$A65,RESULTADOS_GRID!$Y:$Y,"&gt;=0")+COUNTIFS(RESULTADOS_GRID!$B:$B,$A65,RESULTADOS_GRID!$Y:$Y,"&lt;0"))=0,"",SUMIF(RESULTADOS_GRID!$B:$B,$A65,RESULTADOS_GRID!$Y:$Y)/(COUNTIFS(RESULTADOS_GRID!$B:$B,$A65,RESULTADOS_GRID!$Y:$Y,"&gt;=0")+COUNTIFS(RESULTADOS_GRID!$B:$B,$A65,RESULTADOS_GRID!$Y:$Y,"&lt;0"))))</f>
        <v/>
      </c>
      <c r="K65" s="54">
        <f>IF($A65="","",IF((COUNTIFS(RESULTADOS_GRID!$B:$B,$A65,RESULTADOS_GRID!$Z:$Z,"&gt;=0")+COUNTIFS(RESULTADOS_GRID!$B:$B,$A65,RESULTADOS_GRID!$Z:$Z,"&lt;0"))=0,"",SUMIF(RESULTADOS_GRID!$B:$B,$A65,RESULTADOS_GRID!$Z:$Z)/(COUNTIFS(RESULTADOS_GRID!$B:$B,$A65,RESULTADOS_GRID!$Z:$Z,"&gt;=0")+COUNTIFS(RESULTADOS_GRID!$B:$B,$A65,RESULTADOS_GRID!$Z:$Z,"&lt;0"))))</f>
        <v/>
      </c>
      <c r="L65" s="51">
        <f>IF($A65="","",IF((COUNTIFS(RESULTADOS_GRID!$B:$B,$A65,RESULTADOS_GRID!$AA:$AA,"&gt;=0")+COUNTIFS(RESULTADOS_GRID!$B:$B,$A65,RESULTADOS_GRID!$AA:$AA,"&lt;0"))=0,"",SUMIF(RESULTADOS_GRID!$B:$B,$A65,RESULTADOS_GRID!$AA:$AA)/(COUNTIFS(RESULTADOS_GRID!$B:$B,$A65,RESULTADOS_GRID!$AA:$AA,"&gt;=0")+COUNTIFS(RESULTADOS_GRID!$B:$B,$A65,RESULTADOS_GRID!$AA:$AA,"&lt;0"))))</f>
        <v/>
      </c>
      <c r="M65" s="51">
        <f>IF($A65="","",IF((COUNTIFS(RESULTADOS_GRID!$B:$B,$A65,RESULTADOS_GRID!$AB:$AB,"&gt;=0")+COUNTIFS(RESULTADOS_GRID!$B:$B,$A65,RESULTADOS_GRID!$AB:$AB,"&lt;0"))=0,"",SUMIF(RESULTADOS_GRID!$B:$B,$A65,RESULTADOS_GRID!$AB:$AB)/(COUNTIFS(RESULTADOS_GRID!$B:$B,$A65,RESULTADOS_GRID!$AB:$AB,"&gt;=0")+COUNTIFS(RESULTADOS_GRID!$B:$B,$A65,RESULTADOS_GRID!$AB:$AB,"&lt;0"))))</f>
        <v/>
      </c>
      <c r="N65" s="49" t="n"/>
      <c r="O65" s="57">
        <f>IF($I65="","",COUNTIFS($I$2:$I$101,"&lt;"&amp;$I65)+1)</f>
        <v/>
      </c>
      <c r="P65" s="49" t="n"/>
      <c r="Q65" s="49" t="n"/>
      <c r="R65" s="49" t="n"/>
      <c r="S65" s="49" t="n"/>
      <c r="T65" s="49" t="n"/>
      <c r="U65" s="49" t="n"/>
      <c r="V65" s="49" t="n"/>
      <c r="W65" s="49" t="n"/>
    </row>
    <row r="66" ht="15" customHeight="1" s="27">
      <c r="A66" s="49" t="n"/>
      <c r="B66" s="57">
        <f>IF($A66="","",IFERROR(INDEX(RESULTADOS_GRID!$C:$C,MATCH($A66,RESULTADOS_GRID!$B:$B,0)),""))</f>
        <v/>
      </c>
      <c r="C66" s="57">
        <f>IF($A66="","",IFERROR(INDEX(RESULTADOS_GRID!$E:$E,MATCH($A66,RESULTADOS_GRID!$B:$B,0)),""))</f>
        <v/>
      </c>
      <c r="D66" s="57">
        <f>IF($A66="","",IFERROR(INDEX(RESULTADOS_GRID!$D:$D,MATCH($A66,RESULTADOS_GRID!$B:$B,0)),""))</f>
        <v/>
      </c>
      <c r="E66" s="57">
        <f>IF($A66="","",COUNTIF(RESULTADOS_GRID!$B:$B,$A66))</f>
        <v/>
      </c>
      <c r="F66" s="54">
        <f>IF($A66="","",SUMIF(RESULTADOS_GRID!$B:$B,$A66,RESULTADOS_GRID!$X:$X))</f>
        <v/>
      </c>
      <c r="G66" s="53" t="n"/>
      <c r="H66" s="58">
        <f>CONFIG_REFERENCIA!$E$7</f>
        <v/>
      </c>
      <c r="I66" s="54">
        <f>IF($A66="","",$F66+N($G66)*$H66)</f>
        <v/>
      </c>
      <c r="J66" s="54">
        <f>IF($A66="","",IF((COUNTIFS(RESULTADOS_GRID!$B:$B,$A66,RESULTADOS_GRID!$Y:$Y,"&gt;=0")+COUNTIFS(RESULTADOS_GRID!$B:$B,$A66,RESULTADOS_GRID!$Y:$Y,"&lt;0"))=0,"",SUMIF(RESULTADOS_GRID!$B:$B,$A66,RESULTADOS_GRID!$Y:$Y)/(COUNTIFS(RESULTADOS_GRID!$B:$B,$A66,RESULTADOS_GRID!$Y:$Y,"&gt;=0")+COUNTIFS(RESULTADOS_GRID!$B:$B,$A66,RESULTADOS_GRID!$Y:$Y,"&lt;0"))))</f>
        <v/>
      </c>
      <c r="K66" s="54">
        <f>IF($A66="","",IF((COUNTIFS(RESULTADOS_GRID!$B:$B,$A66,RESULTADOS_GRID!$Z:$Z,"&gt;=0")+COUNTIFS(RESULTADOS_GRID!$B:$B,$A66,RESULTADOS_GRID!$Z:$Z,"&lt;0"))=0,"",SUMIF(RESULTADOS_GRID!$B:$B,$A66,RESULTADOS_GRID!$Z:$Z)/(COUNTIFS(RESULTADOS_GRID!$B:$B,$A66,RESULTADOS_GRID!$Z:$Z,"&gt;=0")+COUNTIFS(RESULTADOS_GRID!$B:$B,$A66,RESULTADOS_GRID!$Z:$Z,"&lt;0"))))</f>
        <v/>
      </c>
      <c r="L66" s="51">
        <f>IF($A66="","",IF((COUNTIFS(RESULTADOS_GRID!$B:$B,$A66,RESULTADOS_GRID!$AA:$AA,"&gt;=0")+COUNTIFS(RESULTADOS_GRID!$B:$B,$A66,RESULTADOS_GRID!$AA:$AA,"&lt;0"))=0,"",SUMIF(RESULTADOS_GRID!$B:$B,$A66,RESULTADOS_GRID!$AA:$AA)/(COUNTIFS(RESULTADOS_GRID!$B:$B,$A66,RESULTADOS_GRID!$AA:$AA,"&gt;=0")+COUNTIFS(RESULTADOS_GRID!$B:$B,$A66,RESULTADOS_GRID!$AA:$AA,"&lt;0"))))</f>
        <v/>
      </c>
      <c r="M66" s="51">
        <f>IF($A66="","",IF((COUNTIFS(RESULTADOS_GRID!$B:$B,$A66,RESULTADOS_GRID!$AB:$AB,"&gt;=0")+COUNTIFS(RESULTADOS_GRID!$B:$B,$A66,RESULTADOS_GRID!$AB:$AB,"&lt;0"))=0,"",SUMIF(RESULTADOS_GRID!$B:$B,$A66,RESULTADOS_GRID!$AB:$AB)/(COUNTIFS(RESULTADOS_GRID!$B:$B,$A66,RESULTADOS_GRID!$AB:$AB,"&gt;=0")+COUNTIFS(RESULTADOS_GRID!$B:$B,$A66,RESULTADOS_GRID!$AB:$AB,"&lt;0"))))</f>
        <v/>
      </c>
      <c r="N66" s="49" t="n"/>
      <c r="O66" s="57">
        <f>IF($I66="","",COUNTIFS($I$2:$I$101,"&lt;"&amp;$I66)+1)</f>
        <v/>
      </c>
      <c r="P66" s="49" t="n"/>
      <c r="Q66" s="49" t="n"/>
      <c r="R66" s="49" t="n"/>
      <c r="S66" s="49" t="n"/>
      <c r="T66" s="49" t="n"/>
      <c r="U66" s="49" t="n"/>
      <c r="V66" s="49" t="n"/>
      <c r="W66" s="49" t="n"/>
    </row>
    <row r="67" ht="15" customHeight="1" s="27">
      <c r="A67" s="49" t="n"/>
      <c r="B67" s="57">
        <f>IF($A67="","",IFERROR(INDEX(RESULTADOS_GRID!$C:$C,MATCH($A67,RESULTADOS_GRID!$B:$B,0)),""))</f>
        <v/>
      </c>
      <c r="C67" s="57">
        <f>IF($A67="","",IFERROR(INDEX(RESULTADOS_GRID!$E:$E,MATCH($A67,RESULTADOS_GRID!$B:$B,0)),""))</f>
        <v/>
      </c>
      <c r="D67" s="57">
        <f>IF($A67="","",IFERROR(INDEX(RESULTADOS_GRID!$D:$D,MATCH($A67,RESULTADOS_GRID!$B:$B,0)),""))</f>
        <v/>
      </c>
      <c r="E67" s="57">
        <f>IF($A67="","",COUNTIF(RESULTADOS_GRID!$B:$B,$A67))</f>
        <v/>
      </c>
      <c r="F67" s="54">
        <f>IF($A67="","",SUMIF(RESULTADOS_GRID!$B:$B,$A67,RESULTADOS_GRID!$X:$X))</f>
        <v/>
      </c>
      <c r="G67" s="53" t="n"/>
      <c r="H67" s="58">
        <f>CONFIG_REFERENCIA!$E$7</f>
        <v/>
      </c>
      <c r="I67" s="54">
        <f>IF($A67="","",$F67+N($G67)*$H67)</f>
        <v/>
      </c>
      <c r="J67" s="54">
        <f>IF($A67="","",IF((COUNTIFS(RESULTADOS_GRID!$B:$B,$A67,RESULTADOS_GRID!$Y:$Y,"&gt;=0")+COUNTIFS(RESULTADOS_GRID!$B:$B,$A67,RESULTADOS_GRID!$Y:$Y,"&lt;0"))=0,"",SUMIF(RESULTADOS_GRID!$B:$B,$A67,RESULTADOS_GRID!$Y:$Y)/(COUNTIFS(RESULTADOS_GRID!$B:$B,$A67,RESULTADOS_GRID!$Y:$Y,"&gt;=0")+COUNTIFS(RESULTADOS_GRID!$B:$B,$A67,RESULTADOS_GRID!$Y:$Y,"&lt;0"))))</f>
        <v/>
      </c>
      <c r="K67" s="54">
        <f>IF($A67="","",IF((COUNTIFS(RESULTADOS_GRID!$B:$B,$A67,RESULTADOS_GRID!$Z:$Z,"&gt;=0")+COUNTIFS(RESULTADOS_GRID!$B:$B,$A67,RESULTADOS_GRID!$Z:$Z,"&lt;0"))=0,"",SUMIF(RESULTADOS_GRID!$B:$B,$A67,RESULTADOS_GRID!$Z:$Z)/(COUNTIFS(RESULTADOS_GRID!$B:$B,$A67,RESULTADOS_GRID!$Z:$Z,"&gt;=0")+COUNTIFS(RESULTADOS_GRID!$B:$B,$A67,RESULTADOS_GRID!$Z:$Z,"&lt;0"))))</f>
        <v/>
      </c>
      <c r="L67" s="51">
        <f>IF($A67="","",IF((COUNTIFS(RESULTADOS_GRID!$B:$B,$A67,RESULTADOS_GRID!$AA:$AA,"&gt;=0")+COUNTIFS(RESULTADOS_GRID!$B:$B,$A67,RESULTADOS_GRID!$AA:$AA,"&lt;0"))=0,"",SUMIF(RESULTADOS_GRID!$B:$B,$A67,RESULTADOS_GRID!$AA:$AA)/(COUNTIFS(RESULTADOS_GRID!$B:$B,$A67,RESULTADOS_GRID!$AA:$AA,"&gt;=0")+COUNTIFS(RESULTADOS_GRID!$B:$B,$A67,RESULTADOS_GRID!$AA:$AA,"&lt;0"))))</f>
        <v/>
      </c>
      <c r="M67" s="51">
        <f>IF($A67="","",IF((COUNTIFS(RESULTADOS_GRID!$B:$B,$A67,RESULTADOS_GRID!$AB:$AB,"&gt;=0")+COUNTIFS(RESULTADOS_GRID!$B:$B,$A67,RESULTADOS_GRID!$AB:$AB,"&lt;0"))=0,"",SUMIF(RESULTADOS_GRID!$B:$B,$A67,RESULTADOS_GRID!$AB:$AB)/(COUNTIFS(RESULTADOS_GRID!$B:$B,$A67,RESULTADOS_GRID!$AB:$AB,"&gt;=0")+COUNTIFS(RESULTADOS_GRID!$B:$B,$A67,RESULTADOS_GRID!$AB:$AB,"&lt;0"))))</f>
        <v/>
      </c>
      <c r="N67" s="49" t="n"/>
      <c r="O67" s="57">
        <f>IF($I67="","",COUNTIFS($I$2:$I$101,"&lt;"&amp;$I67)+1)</f>
        <v/>
      </c>
      <c r="P67" s="49" t="n"/>
      <c r="Q67" s="49" t="n"/>
      <c r="R67" s="49" t="n"/>
      <c r="S67" s="49" t="n"/>
      <c r="T67" s="49" t="n"/>
      <c r="U67" s="49" t="n"/>
      <c r="V67" s="49" t="n"/>
      <c r="W67" s="49" t="n"/>
    </row>
    <row r="68" ht="15" customHeight="1" s="27">
      <c r="A68" s="49" t="n"/>
      <c r="B68" s="57">
        <f>IF($A68="","",IFERROR(INDEX(RESULTADOS_GRID!$C:$C,MATCH($A68,RESULTADOS_GRID!$B:$B,0)),""))</f>
        <v/>
      </c>
      <c r="C68" s="57">
        <f>IF($A68="","",IFERROR(INDEX(RESULTADOS_GRID!$E:$E,MATCH($A68,RESULTADOS_GRID!$B:$B,0)),""))</f>
        <v/>
      </c>
      <c r="D68" s="57">
        <f>IF($A68="","",IFERROR(INDEX(RESULTADOS_GRID!$D:$D,MATCH($A68,RESULTADOS_GRID!$B:$B,0)),""))</f>
        <v/>
      </c>
      <c r="E68" s="57">
        <f>IF($A68="","",COUNTIF(RESULTADOS_GRID!$B:$B,$A68))</f>
        <v/>
      </c>
      <c r="F68" s="54">
        <f>IF($A68="","",SUMIF(RESULTADOS_GRID!$B:$B,$A68,RESULTADOS_GRID!$X:$X))</f>
        <v/>
      </c>
      <c r="G68" s="53" t="n"/>
      <c r="H68" s="58">
        <f>CONFIG_REFERENCIA!$E$7</f>
        <v/>
      </c>
      <c r="I68" s="54">
        <f>IF($A68="","",$F68+N($G68)*$H68)</f>
        <v/>
      </c>
      <c r="J68" s="54">
        <f>IF($A68="","",IF((COUNTIFS(RESULTADOS_GRID!$B:$B,$A68,RESULTADOS_GRID!$Y:$Y,"&gt;=0")+COUNTIFS(RESULTADOS_GRID!$B:$B,$A68,RESULTADOS_GRID!$Y:$Y,"&lt;0"))=0,"",SUMIF(RESULTADOS_GRID!$B:$B,$A68,RESULTADOS_GRID!$Y:$Y)/(COUNTIFS(RESULTADOS_GRID!$B:$B,$A68,RESULTADOS_GRID!$Y:$Y,"&gt;=0")+COUNTIFS(RESULTADOS_GRID!$B:$B,$A68,RESULTADOS_GRID!$Y:$Y,"&lt;0"))))</f>
        <v/>
      </c>
      <c r="K68" s="54">
        <f>IF($A68="","",IF((COUNTIFS(RESULTADOS_GRID!$B:$B,$A68,RESULTADOS_GRID!$Z:$Z,"&gt;=0")+COUNTIFS(RESULTADOS_GRID!$B:$B,$A68,RESULTADOS_GRID!$Z:$Z,"&lt;0"))=0,"",SUMIF(RESULTADOS_GRID!$B:$B,$A68,RESULTADOS_GRID!$Z:$Z)/(COUNTIFS(RESULTADOS_GRID!$B:$B,$A68,RESULTADOS_GRID!$Z:$Z,"&gt;=0")+COUNTIFS(RESULTADOS_GRID!$B:$B,$A68,RESULTADOS_GRID!$Z:$Z,"&lt;0"))))</f>
        <v/>
      </c>
      <c r="L68" s="51">
        <f>IF($A68="","",IF((COUNTIFS(RESULTADOS_GRID!$B:$B,$A68,RESULTADOS_GRID!$AA:$AA,"&gt;=0")+COUNTIFS(RESULTADOS_GRID!$B:$B,$A68,RESULTADOS_GRID!$AA:$AA,"&lt;0"))=0,"",SUMIF(RESULTADOS_GRID!$B:$B,$A68,RESULTADOS_GRID!$AA:$AA)/(COUNTIFS(RESULTADOS_GRID!$B:$B,$A68,RESULTADOS_GRID!$AA:$AA,"&gt;=0")+COUNTIFS(RESULTADOS_GRID!$B:$B,$A68,RESULTADOS_GRID!$AA:$AA,"&lt;0"))))</f>
        <v/>
      </c>
      <c r="M68" s="51">
        <f>IF($A68="","",IF((COUNTIFS(RESULTADOS_GRID!$B:$B,$A68,RESULTADOS_GRID!$AB:$AB,"&gt;=0")+COUNTIFS(RESULTADOS_GRID!$B:$B,$A68,RESULTADOS_GRID!$AB:$AB,"&lt;0"))=0,"",SUMIF(RESULTADOS_GRID!$B:$B,$A68,RESULTADOS_GRID!$AB:$AB)/(COUNTIFS(RESULTADOS_GRID!$B:$B,$A68,RESULTADOS_GRID!$AB:$AB,"&gt;=0")+COUNTIFS(RESULTADOS_GRID!$B:$B,$A68,RESULTADOS_GRID!$AB:$AB,"&lt;0"))))</f>
        <v/>
      </c>
      <c r="N68" s="49" t="n"/>
      <c r="O68" s="57">
        <f>IF($I68="","",COUNTIFS($I$2:$I$101,"&lt;"&amp;$I68)+1)</f>
        <v/>
      </c>
      <c r="P68" s="49" t="n"/>
      <c r="Q68" s="49" t="n"/>
      <c r="R68" s="49" t="n"/>
      <c r="S68" s="49" t="n"/>
      <c r="T68" s="49" t="n"/>
      <c r="U68" s="49" t="n"/>
      <c r="V68" s="49" t="n"/>
      <c r="W68" s="49" t="n"/>
    </row>
    <row r="69" ht="15" customHeight="1" s="27">
      <c r="A69" s="49" t="n"/>
      <c r="B69" s="57">
        <f>IF($A69="","",IFERROR(INDEX(RESULTADOS_GRID!$C:$C,MATCH($A69,RESULTADOS_GRID!$B:$B,0)),""))</f>
        <v/>
      </c>
      <c r="C69" s="57">
        <f>IF($A69="","",IFERROR(INDEX(RESULTADOS_GRID!$E:$E,MATCH($A69,RESULTADOS_GRID!$B:$B,0)),""))</f>
        <v/>
      </c>
      <c r="D69" s="57">
        <f>IF($A69="","",IFERROR(INDEX(RESULTADOS_GRID!$D:$D,MATCH($A69,RESULTADOS_GRID!$B:$B,0)),""))</f>
        <v/>
      </c>
      <c r="E69" s="57">
        <f>IF($A69="","",COUNTIF(RESULTADOS_GRID!$B:$B,$A69))</f>
        <v/>
      </c>
      <c r="F69" s="54">
        <f>IF($A69="","",SUMIF(RESULTADOS_GRID!$B:$B,$A69,RESULTADOS_GRID!$X:$X))</f>
        <v/>
      </c>
      <c r="G69" s="53" t="n"/>
      <c r="H69" s="58">
        <f>CONFIG_REFERENCIA!$E$7</f>
        <v/>
      </c>
      <c r="I69" s="54">
        <f>IF($A69="","",$F69+N($G69)*$H69)</f>
        <v/>
      </c>
      <c r="J69" s="54">
        <f>IF($A69="","",IF((COUNTIFS(RESULTADOS_GRID!$B:$B,$A69,RESULTADOS_GRID!$Y:$Y,"&gt;=0")+COUNTIFS(RESULTADOS_GRID!$B:$B,$A69,RESULTADOS_GRID!$Y:$Y,"&lt;0"))=0,"",SUMIF(RESULTADOS_GRID!$B:$B,$A69,RESULTADOS_GRID!$Y:$Y)/(COUNTIFS(RESULTADOS_GRID!$B:$B,$A69,RESULTADOS_GRID!$Y:$Y,"&gt;=0")+COUNTIFS(RESULTADOS_GRID!$B:$B,$A69,RESULTADOS_GRID!$Y:$Y,"&lt;0"))))</f>
        <v/>
      </c>
      <c r="K69" s="54">
        <f>IF($A69="","",IF((COUNTIFS(RESULTADOS_GRID!$B:$B,$A69,RESULTADOS_GRID!$Z:$Z,"&gt;=0")+COUNTIFS(RESULTADOS_GRID!$B:$B,$A69,RESULTADOS_GRID!$Z:$Z,"&lt;0"))=0,"",SUMIF(RESULTADOS_GRID!$B:$B,$A69,RESULTADOS_GRID!$Z:$Z)/(COUNTIFS(RESULTADOS_GRID!$B:$B,$A69,RESULTADOS_GRID!$Z:$Z,"&gt;=0")+COUNTIFS(RESULTADOS_GRID!$B:$B,$A69,RESULTADOS_GRID!$Z:$Z,"&lt;0"))))</f>
        <v/>
      </c>
      <c r="L69" s="51">
        <f>IF($A69="","",IF((COUNTIFS(RESULTADOS_GRID!$B:$B,$A69,RESULTADOS_GRID!$AA:$AA,"&gt;=0")+COUNTIFS(RESULTADOS_GRID!$B:$B,$A69,RESULTADOS_GRID!$AA:$AA,"&lt;0"))=0,"",SUMIF(RESULTADOS_GRID!$B:$B,$A69,RESULTADOS_GRID!$AA:$AA)/(COUNTIFS(RESULTADOS_GRID!$B:$B,$A69,RESULTADOS_GRID!$AA:$AA,"&gt;=0")+COUNTIFS(RESULTADOS_GRID!$B:$B,$A69,RESULTADOS_GRID!$AA:$AA,"&lt;0"))))</f>
        <v/>
      </c>
      <c r="M69" s="51">
        <f>IF($A69="","",IF((COUNTIFS(RESULTADOS_GRID!$B:$B,$A69,RESULTADOS_GRID!$AB:$AB,"&gt;=0")+COUNTIFS(RESULTADOS_GRID!$B:$B,$A69,RESULTADOS_GRID!$AB:$AB,"&lt;0"))=0,"",SUMIF(RESULTADOS_GRID!$B:$B,$A69,RESULTADOS_GRID!$AB:$AB)/(COUNTIFS(RESULTADOS_GRID!$B:$B,$A69,RESULTADOS_GRID!$AB:$AB,"&gt;=0")+COUNTIFS(RESULTADOS_GRID!$B:$B,$A69,RESULTADOS_GRID!$AB:$AB,"&lt;0"))))</f>
        <v/>
      </c>
      <c r="N69" s="49" t="n"/>
      <c r="O69" s="57">
        <f>IF($I69="","",COUNTIFS($I$2:$I$101,"&lt;"&amp;$I69)+1)</f>
        <v/>
      </c>
      <c r="P69" s="49" t="n"/>
      <c r="Q69" s="49" t="n"/>
      <c r="R69" s="49" t="n"/>
      <c r="S69" s="49" t="n"/>
      <c r="T69" s="49" t="n"/>
      <c r="U69" s="49" t="n"/>
      <c r="V69" s="49" t="n"/>
      <c r="W69" s="49" t="n"/>
    </row>
    <row r="70" ht="15" customHeight="1" s="27">
      <c r="A70" s="49" t="n"/>
      <c r="B70" s="57">
        <f>IF($A70="","",IFERROR(INDEX(RESULTADOS_GRID!$C:$C,MATCH($A70,RESULTADOS_GRID!$B:$B,0)),""))</f>
        <v/>
      </c>
      <c r="C70" s="57">
        <f>IF($A70="","",IFERROR(INDEX(RESULTADOS_GRID!$E:$E,MATCH($A70,RESULTADOS_GRID!$B:$B,0)),""))</f>
        <v/>
      </c>
      <c r="D70" s="57">
        <f>IF($A70="","",IFERROR(INDEX(RESULTADOS_GRID!$D:$D,MATCH($A70,RESULTADOS_GRID!$B:$B,0)),""))</f>
        <v/>
      </c>
      <c r="E70" s="57">
        <f>IF($A70="","",COUNTIF(RESULTADOS_GRID!$B:$B,$A70))</f>
        <v/>
      </c>
      <c r="F70" s="54">
        <f>IF($A70="","",SUMIF(RESULTADOS_GRID!$B:$B,$A70,RESULTADOS_GRID!$X:$X))</f>
        <v/>
      </c>
      <c r="G70" s="53" t="n"/>
      <c r="H70" s="58">
        <f>CONFIG_REFERENCIA!$E$7</f>
        <v/>
      </c>
      <c r="I70" s="54">
        <f>IF($A70="","",$F70+N($G70)*$H70)</f>
        <v/>
      </c>
      <c r="J70" s="54">
        <f>IF($A70="","",IF((COUNTIFS(RESULTADOS_GRID!$B:$B,$A70,RESULTADOS_GRID!$Y:$Y,"&gt;=0")+COUNTIFS(RESULTADOS_GRID!$B:$B,$A70,RESULTADOS_GRID!$Y:$Y,"&lt;0"))=0,"",SUMIF(RESULTADOS_GRID!$B:$B,$A70,RESULTADOS_GRID!$Y:$Y)/(COUNTIFS(RESULTADOS_GRID!$B:$B,$A70,RESULTADOS_GRID!$Y:$Y,"&gt;=0")+COUNTIFS(RESULTADOS_GRID!$B:$B,$A70,RESULTADOS_GRID!$Y:$Y,"&lt;0"))))</f>
        <v/>
      </c>
      <c r="K70" s="54">
        <f>IF($A70="","",IF((COUNTIFS(RESULTADOS_GRID!$B:$B,$A70,RESULTADOS_GRID!$Z:$Z,"&gt;=0")+COUNTIFS(RESULTADOS_GRID!$B:$B,$A70,RESULTADOS_GRID!$Z:$Z,"&lt;0"))=0,"",SUMIF(RESULTADOS_GRID!$B:$B,$A70,RESULTADOS_GRID!$Z:$Z)/(COUNTIFS(RESULTADOS_GRID!$B:$B,$A70,RESULTADOS_GRID!$Z:$Z,"&gt;=0")+COUNTIFS(RESULTADOS_GRID!$B:$B,$A70,RESULTADOS_GRID!$Z:$Z,"&lt;0"))))</f>
        <v/>
      </c>
      <c r="L70" s="51">
        <f>IF($A70="","",IF((COUNTIFS(RESULTADOS_GRID!$B:$B,$A70,RESULTADOS_GRID!$AA:$AA,"&gt;=0")+COUNTIFS(RESULTADOS_GRID!$B:$B,$A70,RESULTADOS_GRID!$AA:$AA,"&lt;0"))=0,"",SUMIF(RESULTADOS_GRID!$B:$B,$A70,RESULTADOS_GRID!$AA:$AA)/(COUNTIFS(RESULTADOS_GRID!$B:$B,$A70,RESULTADOS_GRID!$AA:$AA,"&gt;=0")+COUNTIFS(RESULTADOS_GRID!$B:$B,$A70,RESULTADOS_GRID!$AA:$AA,"&lt;0"))))</f>
        <v/>
      </c>
      <c r="M70" s="51">
        <f>IF($A70="","",IF((COUNTIFS(RESULTADOS_GRID!$B:$B,$A70,RESULTADOS_GRID!$AB:$AB,"&gt;=0")+COUNTIFS(RESULTADOS_GRID!$B:$B,$A70,RESULTADOS_GRID!$AB:$AB,"&lt;0"))=0,"",SUMIF(RESULTADOS_GRID!$B:$B,$A70,RESULTADOS_GRID!$AB:$AB)/(COUNTIFS(RESULTADOS_GRID!$B:$B,$A70,RESULTADOS_GRID!$AB:$AB,"&gt;=0")+COUNTIFS(RESULTADOS_GRID!$B:$B,$A70,RESULTADOS_GRID!$AB:$AB,"&lt;0"))))</f>
        <v/>
      </c>
      <c r="N70" s="49" t="n"/>
      <c r="O70" s="57">
        <f>IF($I70="","",COUNTIFS($I$2:$I$101,"&lt;"&amp;$I70)+1)</f>
        <v/>
      </c>
      <c r="P70" s="49" t="n"/>
      <c r="Q70" s="49" t="n"/>
      <c r="R70" s="49" t="n"/>
      <c r="S70" s="49" t="n"/>
      <c r="T70" s="49" t="n"/>
      <c r="U70" s="49" t="n"/>
      <c r="V70" s="49" t="n"/>
      <c r="W70" s="49" t="n"/>
    </row>
    <row r="71" ht="15" customHeight="1" s="27">
      <c r="A71" s="49" t="n"/>
      <c r="B71" s="57">
        <f>IF($A71="","",IFERROR(INDEX(RESULTADOS_GRID!$C:$C,MATCH($A71,RESULTADOS_GRID!$B:$B,0)),""))</f>
        <v/>
      </c>
      <c r="C71" s="57">
        <f>IF($A71="","",IFERROR(INDEX(RESULTADOS_GRID!$E:$E,MATCH($A71,RESULTADOS_GRID!$B:$B,0)),""))</f>
        <v/>
      </c>
      <c r="D71" s="57">
        <f>IF($A71="","",IFERROR(INDEX(RESULTADOS_GRID!$D:$D,MATCH($A71,RESULTADOS_GRID!$B:$B,0)),""))</f>
        <v/>
      </c>
      <c r="E71" s="57">
        <f>IF($A71="","",COUNTIF(RESULTADOS_GRID!$B:$B,$A71))</f>
        <v/>
      </c>
      <c r="F71" s="54">
        <f>IF($A71="","",SUMIF(RESULTADOS_GRID!$B:$B,$A71,RESULTADOS_GRID!$X:$X))</f>
        <v/>
      </c>
      <c r="G71" s="53" t="n"/>
      <c r="H71" s="58">
        <f>CONFIG_REFERENCIA!$E$7</f>
        <v/>
      </c>
      <c r="I71" s="54">
        <f>IF($A71="","",$F71+N($G71)*$H71)</f>
        <v/>
      </c>
      <c r="J71" s="54">
        <f>IF($A71="","",IF((COUNTIFS(RESULTADOS_GRID!$B:$B,$A71,RESULTADOS_GRID!$Y:$Y,"&gt;=0")+COUNTIFS(RESULTADOS_GRID!$B:$B,$A71,RESULTADOS_GRID!$Y:$Y,"&lt;0"))=0,"",SUMIF(RESULTADOS_GRID!$B:$B,$A71,RESULTADOS_GRID!$Y:$Y)/(COUNTIFS(RESULTADOS_GRID!$B:$B,$A71,RESULTADOS_GRID!$Y:$Y,"&gt;=0")+COUNTIFS(RESULTADOS_GRID!$B:$B,$A71,RESULTADOS_GRID!$Y:$Y,"&lt;0"))))</f>
        <v/>
      </c>
      <c r="K71" s="54">
        <f>IF($A71="","",IF((COUNTIFS(RESULTADOS_GRID!$B:$B,$A71,RESULTADOS_GRID!$Z:$Z,"&gt;=0")+COUNTIFS(RESULTADOS_GRID!$B:$B,$A71,RESULTADOS_GRID!$Z:$Z,"&lt;0"))=0,"",SUMIF(RESULTADOS_GRID!$B:$B,$A71,RESULTADOS_GRID!$Z:$Z)/(COUNTIFS(RESULTADOS_GRID!$B:$B,$A71,RESULTADOS_GRID!$Z:$Z,"&gt;=0")+COUNTIFS(RESULTADOS_GRID!$B:$B,$A71,RESULTADOS_GRID!$Z:$Z,"&lt;0"))))</f>
        <v/>
      </c>
      <c r="L71" s="51">
        <f>IF($A71="","",IF((COUNTIFS(RESULTADOS_GRID!$B:$B,$A71,RESULTADOS_GRID!$AA:$AA,"&gt;=0")+COUNTIFS(RESULTADOS_GRID!$B:$B,$A71,RESULTADOS_GRID!$AA:$AA,"&lt;0"))=0,"",SUMIF(RESULTADOS_GRID!$B:$B,$A71,RESULTADOS_GRID!$AA:$AA)/(COUNTIFS(RESULTADOS_GRID!$B:$B,$A71,RESULTADOS_GRID!$AA:$AA,"&gt;=0")+COUNTIFS(RESULTADOS_GRID!$B:$B,$A71,RESULTADOS_GRID!$AA:$AA,"&lt;0"))))</f>
        <v/>
      </c>
      <c r="M71" s="51">
        <f>IF($A71="","",IF((COUNTIFS(RESULTADOS_GRID!$B:$B,$A71,RESULTADOS_GRID!$AB:$AB,"&gt;=0")+COUNTIFS(RESULTADOS_GRID!$B:$B,$A71,RESULTADOS_GRID!$AB:$AB,"&lt;0"))=0,"",SUMIF(RESULTADOS_GRID!$B:$B,$A71,RESULTADOS_GRID!$AB:$AB)/(COUNTIFS(RESULTADOS_GRID!$B:$B,$A71,RESULTADOS_GRID!$AB:$AB,"&gt;=0")+COUNTIFS(RESULTADOS_GRID!$B:$B,$A71,RESULTADOS_GRID!$AB:$AB,"&lt;0"))))</f>
        <v/>
      </c>
      <c r="N71" s="49" t="n"/>
      <c r="O71" s="57">
        <f>IF($I71="","",COUNTIFS($I$2:$I$101,"&lt;"&amp;$I71)+1)</f>
        <v/>
      </c>
      <c r="P71" s="49" t="n"/>
      <c r="Q71" s="49" t="n"/>
      <c r="R71" s="49" t="n"/>
      <c r="S71" s="49" t="n"/>
      <c r="T71" s="49" t="n"/>
      <c r="U71" s="49" t="n"/>
      <c r="V71" s="49" t="n"/>
      <c r="W71" s="49" t="n"/>
    </row>
    <row r="72" ht="15" customHeight="1" s="27">
      <c r="A72" s="49" t="n"/>
      <c r="B72" s="57">
        <f>IF($A72="","",IFERROR(INDEX(RESULTADOS_GRID!$C:$C,MATCH($A72,RESULTADOS_GRID!$B:$B,0)),""))</f>
        <v/>
      </c>
      <c r="C72" s="57">
        <f>IF($A72="","",IFERROR(INDEX(RESULTADOS_GRID!$E:$E,MATCH($A72,RESULTADOS_GRID!$B:$B,0)),""))</f>
        <v/>
      </c>
      <c r="D72" s="57">
        <f>IF($A72="","",IFERROR(INDEX(RESULTADOS_GRID!$D:$D,MATCH($A72,RESULTADOS_GRID!$B:$B,0)),""))</f>
        <v/>
      </c>
      <c r="E72" s="57">
        <f>IF($A72="","",COUNTIF(RESULTADOS_GRID!$B:$B,$A72))</f>
        <v/>
      </c>
      <c r="F72" s="54">
        <f>IF($A72="","",SUMIF(RESULTADOS_GRID!$B:$B,$A72,RESULTADOS_GRID!$X:$X))</f>
        <v/>
      </c>
      <c r="G72" s="53" t="n"/>
      <c r="H72" s="58">
        <f>CONFIG_REFERENCIA!$E$7</f>
        <v/>
      </c>
      <c r="I72" s="54">
        <f>IF($A72="","",$F72+N($G72)*$H72)</f>
        <v/>
      </c>
      <c r="J72" s="54">
        <f>IF($A72="","",IF((COUNTIFS(RESULTADOS_GRID!$B:$B,$A72,RESULTADOS_GRID!$Y:$Y,"&gt;=0")+COUNTIFS(RESULTADOS_GRID!$B:$B,$A72,RESULTADOS_GRID!$Y:$Y,"&lt;0"))=0,"",SUMIF(RESULTADOS_GRID!$B:$B,$A72,RESULTADOS_GRID!$Y:$Y)/(COUNTIFS(RESULTADOS_GRID!$B:$B,$A72,RESULTADOS_GRID!$Y:$Y,"&gt;=0")+COUNTIFS(RESULTADOS_GRID!$B:$B,$A72,RESULTADOS_GRID!$Y:$Y,"&lt;0"))))</f>
        <v/>
      </c>
      <c r="K72" s="54">
        <f>IF($A72="","",IF((COUNTIFS(RESULTADOS_GRID!$B:$B,$A72,RESULTADOS_GRID!$Z:$Z,"&gt;=0")+COUNTIFS(RESULTADOS_GRID!$B:$B,$A72,RESULTADOS_GRID!$Z:$Z,"&lt;0"))=0,"",SUMIF(RESULTADOS_GRID!$B:$B,$A72,RESULTADOS_GRID!$Z:$Z)/(COUNTIFS(RESULTADOS_GRID!$B:$B,$A72,RESULTADOS_GRID!$Z:$Z,"&gt;=0")+COUNTIFS(RESULTADOS_GRID!$B:$B,$A72,RESULTADOS_GRID!$Z:$Z,"&lt;0"))))</f>
        <v/>
      </c>
      <c r="L72" s="51">
        <f>IF($A72="","",IF((COUNTIFS(RESULTADOS_GRID!$B:$B,$A72,RESULTADOS_GRID!$AA:$AA,"&gt;=0")+COUNTIFS(RESULTADOS_GRID!$B:$B,$A72,RESULTADOS_GRID!$AA:$AA,"&lt;0"))=0,"",SUMIF(RESULTADOS_GRID!$B:$B,$A72,RESULTADOS_GRID!$AA:$AA)/(COUNTIFS(RESULTADOS_GRID!$B:$B,$A72,RESULTADOS_GRID!$AA:$AA,"&gt;=0")+COUNTIFS(RESULTADOS_GRID!$B:$B,$A72,RESULTADOS_GRID!$AA:$AA,"&lt;0"))))</f>
        <v/>
      </c>
      <c r="M72" s="51">
        <f>IF($A72="","",IF((COUNTIFS(RESULTADOS_GRID!$B:$B,$A72,RESULTADOS_GRID!$AB:$AB,"&gt;=0")+COUNTIFS(RESULTADOS_GRID!$B:$B,$A72,RESULTADOS_GRID!$AB:$AB,"&lt;0"))=0,"",SUMIF(RESULTADOS_GRID!$B:$B,$A72,RESULTADOS_GRID!$AB:$AB)/(COUNTIFS(RESULTADOS_GRID!$B:$B,$A72,RESULTADOS_GRID!$AB:$AB,"&gt;=0")+COUNTIFS(RESULTADOS_GRID!$B:$B,$A72,RESULTADOS_GRID!$AB:$AB,"&lt;0"))))</f>
        <v/>
      </c>
      <c r="N72" s="49" t="n"/>
      <c r="O72" s="57">
        <f>IF($I72="","",COUNTIFS($I$2:$I$101,"&lt;"&amp;$I72)+1)</f>
        <v/>
      </c>
      <c r="P72" s="49" t="n"/>
      <c r="Q72" s="49" t="n"/>
      <c r="R72" s="49" t="n"/>
      <c r="S72" s="49" t="n"/>
      <c r="T72" s="49" t="n"/>
      <c r="U72" s="49" t="n"/>
      <c r="V72" s="49" t="n"/>
      <c r="W72" s="49" t="n"/>
    </row>
    <row r="73" ht="15" customHeight="1" s="27">
      <c r="A73" s="49" t="n"/>
      <c r="B73" s="57">
        <f>IF($A73="","",IFERROR(INDEX(RESULTADOS_GRID!$C:$C,MATCH($A73,RESULTADOS_GRID!$B:$B,0)),""))</f>
        <v/>
      </c>
      <c r="C73" s="57">
        <f>IF($A73="","",IFERROR(INDEX(RESULTADOS_GRID!$E:$E,MATCH($A73,RESULTADOS_GRID!$B:$B,0)),""))</f>
        <v/>
      </c>
      <c r="D73" s="57">
        <f>IF($A73="","",IFERROR(INDEX(RESULTADOS_GRID!$D:$D,MATCH($A73,RESULTADOS_GRID!$B:$B,0)),""))</f>
        <v/>
      </c>
      <c r="E73" s="57">
        <f>IF($A73="","",COUNTIF(RESULTADOS_GRID!$B:$B,$A73))</f>
        <v/>
      </c>
      <c r="F73" s="54">
        <f>IF($A73="","",SUMIF(RESULTADOS_GRID!$B:$B,$A73,RESULTADOS_GRID!$X:$X))</f>
        <v/>
      </c>
      <c r="G73" s="53" t="n"/>
      <c r="H73" s="58">
        <f>CONFIG_REFERENCIA!$E$7</f>
        <v/>
      </c>
      <c r="I73" s="54">
        <f>IF($A73="","",$F73+N($G73)*$H73)</f>
        <v/>
      </c>
      <c r="J73" s="54">
        <f>IF($A73="","",IF((COUNTIFS(RESULTADOS_GRID!$B:$B,$A73,RESULTADOS_GRID!$Y:$Y,"&gt;=0")+COUNTIFS(RESULTADOS_GRID!$B:$B,$A73,RESULTADOS_GRID!$Y:$Y,"&lt;0"))=0,"",SUMIF(RESULTADOS_GRID!$B:$B,$A73,RESULTADOS_GRID!$Y:$Y)/(COUNTIFS(RESULTADOS_GRID!$B:$B,$A73,RESULTADOS_GRID!$Y:$Y,"&gt;=0")+COUNTIFS(RESULTADOS_GRID!$B:$B,$A73,RESULTADOS_GRID!$Y:$Y,"&lt;0"))))</f>
        <v/>
      </c>
      <c r="K73" s="54">
        <f>IF($A73="","",IF((COUNTIFS(RESULTADOS_GRID!$B:$B,$A73,RESULTADOS_GRID!$Z:$Z,"&gt;=0")+COUNTIFS(RESULTADOS_GRID!$B:$B,$A73,RESULTADOS_GRID!$Z:$Z,"&lt;0"))=0,"",SUMIF(RESULTADOS_GRID!$B:$B,$A73,RESULTADOS_GRID!$Z:$Z)/(COUNTIFS(RESULTADOS_GRID!$B:$B,$A73,RESULTADOS_GRID!$Z:$Z,"&gt;=0")+COUNTIFS(RESULTADOS_GRID!$B:$B,$A73,RESULTADOS_GRID!$Z:$Z,"&lt;0"))))</f>
        <v/>
      </c>
      <c r="L73" s="51">
        <f>IF($A73="","",IF((COUNTIFS(RESULTADOS_GRID!$B:$B,$A73,RESULTADOS_GRID!$AA:$AA,"&gt;=0")+COUNTIFS(RESULTADOS_GRID!$B:$B,$A73,RESULTADOS_GRID!$AA:$AA,"&lt;0"))=0,"",SUMIF(RESULTADOS_GRID!$B:$B,$A73,RESULTADOS_GRID!$AA:$AA)/(COUNTIFS(RESULTADOS_GRID!$B:$B,$A73,RESULTADOS_GRID!$AA:$AA,"&gt;=0")+COUNTIFS(RESULTADOS_GRID!$B:$B,$A73,RESULTADOS_GRID!$AA:$AA,"&lt;0"))))</f>
        <v/>
      </c>
      <c r="M73" s="51">
        <f>IF($A73="","",IF((COUNTIFS(RESULTADOS_GRID!$B:$B,$A73,RESULTADOS_GRID!$AB:$AB,"&gt;=0")+COUNTIFS(RESULTADOS_GRID!$B:$B,$A73,RESULTADOS_GRID!$AB:$AB,"&lt;0"))=0,"",SUMIF(RESULTADOS_GRID!$B:$B,$A73,RESULTADOS_GRID!$AB:$AB)/(COUNTIFS(RESULTADOS_GRID!$B:$B,$A73,RESULTADOS_GRID!$AB:$AB,"&gt;=0")+COUNTIFS(RESULTADOS_GRID!$B:$B,$A73,RESULTADOS_GRID!$AB:$AB,"&lt;0"))))</f>
        <v/>
      </c>
      <c r="N73" s="49" t="n"/>
      <c r="O73" s="57">
        <f>IF($I73="","",COUNTIFS($I$2:$I$101,"&lt;"&amp;$I73)+1)</f>
        <v/>
      </c>
      <c r="P73" s="49" t="n"/>
      <c r="Q73" s="49" t="n"/>
      <c r="R73" s="49" t="n"/>
      <c r="S73" s="49" t="n"/>
      <c r="T73" s="49" t="n"/>
      <c r="U73" s="49" t="n"/>
      <c r="V73" s="49" t="n"/>
      <c r="W73" s="49" t="n"/>
    </row>
    <row r="74" ht="15" customHeight="1" s="27">
      <c r="A74" s="49" t="n"/>
      <c r="B74" s="57">
        <f>IF($A74="","",IFERROR(INDEX(RESULTADOS_GRID!$C:$C,MATCH($A74,RESULTADOS_GRID!$B:$B,0)),""))</f>
        <v/>
      </c>
      <c r="C74" s="57">
        <f>IF($A74="","",IFERROR(INDEX(RESULTADOS_GRID!$E:$E,MATCH($A74,RESULTADOS_GRID!$B:$B,0)),""))</f>
        <v/>
      </c>
      <c r="D74" s="57">
        <f>IF($A74="","",IFERROR(INDEX(RESULTADOS_GRID!$D:$D,MATCH($A74,RESULTADOS_GRID!$B:$B,0)),""))</f>
        <v/>
      </c>
      <c r="E74" s="57">
        <f>IF($A74="","",COUNTIF(RESULTADOS_GRID!$B:$B,$A74))</f>
        <v/>
      </c>
      <c r="F74" s="54">
        <f>IF($A74="","",SUMIF(RESULTADOS_GRID!$B:$B,$A74,RESULTADOS_GRID!$X:$X))</f>
        <v/>
      </c>
      <c r="G74" s="53" t="n"/>
      <c r="H74" s="58">
        <f>CONFIG_REFERENCIA!$E$7</f>
        <v/>
      </c>
      <c r="I74" s="54">
        <f>IF($A74="","",$F74+N($G74)*$H74)</f>
        <v/>
      </c>
      <c r="J74" s="54">
        <f>IF($A74="","",IF((COUNTIFS(RESULTADOS_GRID!$B:$B,$A74,RESULTADOS_GRID!$Y:$Y,"&gt;=0")+COUNTIFS(RESULTADOS_GRID!$B:$B,$A74,RESULTADOS_GRID!$Y:$Y,"&lt;0"))=0,"",SUMIF(RESULTADOS_GRID!$B:$B,$A74,RESULTADOS_GRID!$Y:$Y)/(COUNTIFS(RESULTADOS_GRID!$B:$B,$A74,RESULTADOS_GRID!$Y:$Y,"&gt;=0")+COUNTIFS(RESULTADOS_GRID!$B:$B,$A74,RESULTADOS_GRID!$Y:$Y,"&lt;0"))))</f>
        <v/>
      </c>
      <c r="K74" s="54">
        <f>IF($A74="","",IF((COUNTIFS(RESULTADOS_GRID!$B:$B,$A74,RESULTADOS_GRID!$Z:$Z,"&gt;=0")+COUNTIFS(RESULTADOS_GRID!$B:$B,$A74,RESULTADOS_GRID!$Z:$Z,"&lt;0"))=0,"",SUMIF(RESULTADOS_GRID!$B:$B,$A74,RESULTADOS_GRID!$Z:$Z)/(COUNTIFS(RESULTADOS_GRID!$B:$B,$A74,RESULTADOS_GRID!$Z:$Z,"&gt;=0")+COUNTIFS(RESULTADOS_GRID!$B:$B,$A74,RESULTADOS_GRID!$Z:$Z,"&lt;0"))))</f>
        <v/>
      </c>
      <c r="L74" s="51">
        <f>IF($A74="","",IF((COUNTIFS(RESULTADOS_GRID!$B:$B,$A74,RESULTADOS_GRID!$AA:$AA,"&gt;=0")+COUNTIFS(RESULTADOS_GRID!$B:$B,$A74,RESULTADOS_GRID!$AA:$AA,"&lt;0"))=0,"",SUMIF(RESULTADOS_GRID!$B:$B,$A74,RESULTADOS_GRID!$AA:$AA)/(COUNTIFS(RESULTADOS_GRID!$B:$B,$A74,RESULTADOS_GRID!$AA:$AA,"&gt;=0")+COUNTIFS(RESULTADOS_GRID!$B:$B,$A74,RESULTADOS_GRID!$AA:$AA,"&lt;0"))))</f>
        <v/>
      </c>
      <c r="M74" s="51">
        <f>IF($A74="","",IF((COUNTIFS(RESULTADOS_GRID!$B:$B,$A74,RESULTADOS_GRID!$AB:$AB,"&gt;=0")+COUNTIFS(RESULTADOS_GRID!$B:$B,$A74,RESULTADOS_GRID!$AB:$AB,"&lt;0"))=0,"",SUMIF(RESULTADOS_GRID!$B:$B,$A74,RESULTADOS_GRID!$AB:$AB)/(COUNTIFS(RESULTADOS_GRID!$B:$B,$A74,RESULTADOS_GRID!$AB:$AB,"&gt;=0")+COUNTIFS(RESULTADOS_GRID!$B:$B,$A74,RESULTADOS_GRID!$AB:$AB,"&lt;0"))))</f>
        <v/>
      </c>
      <c r="N74" s="49" t="n"/>
      <c r="O74" s="57">
        <f>IF($I74="","",COUNTIFS($I$2:$I$101,"&lt;"&amp;$I74)+1)</f>
        <v/>
      </c>
      <c r="P74" s="49" t="n"/>
      <c r="Q74" s="49" t="n"/>
      <c r="R74" s="49" t="n"/>
      <c r="S74" s="49" t="n"/>
      <c r="T74" s="49" t="n"/>
      <c r="U74" s="49" t="n"/>
      <c r="V74" s="49" t="n"/>
      <c r="W74" s="49" t="n"/>
    </row>
    <row r="75" ht="15" customHeight="1" s="27">
      <c r="A75" s="49" t="n"/>
      <c r="B75" s="57">
        <f>IF($A75="","",IFERROR(INDEX(RESULTADOS_GRID!$C:$C,MATCH($A75,RESULTADOS_GRID!$B:$B,0)),""))</f>
        <v/>
      </c>
      <c r="C75" s="57">
        <f>IF($A75="","",IFERROR(INDEX(RESULTADOS_GRID!$E:$E,MATCH($A75,RESULTADOS_GRID!$B:$B,0)),""))</f>
        <v/>
      </c>
      <c r="D75" s="57">
        <f>IF($A75="","",IFERROR(INDEX(RESULTADOS_GRID!$D:$D,MATCH($A75,RESULTADOS_GRID!$B:$B,0)),""))</f>
        <v/>
      </c>
      <c r="E75" s="57">
        <f>IF($A75="","",COUNTIF(RESULTADOS_GRID!$B:$B,$A75))</f>
        <v/>
      </c>
      <c r="F75" s="54">
        <f>IF($A75="","",SUMIF(RESULTADOS_GRID!$B:$B,$A75,RESULTADOS_GRID!$X:$X))</f>
        <v/>
      </c>
      <c r="G75" s="53" t="n"/>
      <c r="H75" s="58">
        <f>CONFIG_REFERENCIA!$E$7</f>
        <v/>
      </c>
      <c r="I75" s="54">
        <f>IF($A75="","",$F75+N($G75)*$H75)</f>
        <v/>
      </c>
      <c r="J75" s="54">
        <f>IF($A75="","",IF((COUNTIFS(RESULTADOS_GRID!$B:$B,$A75,RESULTADOS_GRID!$Y:$Y,"&gt;=0")+COUNTIFS(RESULTADOS_GRID!$B:$B,$A75,RESULTADOS_GRID!$Y:$Y,"&lt;0"))=0,"",SUMIF(RESULTADOS_GRID!$B:$B,$A75,RESULTADOS_GRID!$Y:$Y)/(COUNTIFS(RESULTADOS_GRID!$B:$B,$A75,RESULTADOS_GRID!$Y:$Y,"&gt;=0")+COUNTIFS(RESULTADOS_GRID!$B:$B,$A75,RESULTADOS_GRID!$Y:$Y,"&lt;0"))))</f>
        <v/>
      </c>
      <c r="K75" s="54">
        <f>IF($A75="","",IF((COUNTIFS(RESULTADOS_GRID!$B:$B,$A75,RESULTADOS_GRID!$Z:$Z,"&gt;=0")+COUNTIFS(RESULTADOS_GRID!$B:$B,$A75,RESULTADOS_GRID!$Z:$Z,"&lt;0"))=0,"",SUMIF(RESULTADOS_GRID!$B:$B,$A75,RESULTADOS_GRID!$Z:$Z)/(COUNTIFS(RESULTADOS_GRID!$B:$B,$A75,RESULTADOS_GRID!$Z:$Z,"&gt;=0")+COUNTIFS(RESULTADOS_GRID!$B:$B,$A75,RESULTADOS_GRID!$Z:$Z,"&lt;0"))))</f>
        <v/>
      </c>
      <c r="L75" s="51">
        <f>IF($A75="","",IF((COUNTIFS(RESULTADOS_GRID!$B:$B,$A75,RESULTADOS_GRID!$AA:$AA,"&gt;=0")+COUNTIFS(RESULTADOS_GRID!$B:$B,$A75,RESULTADOS_GRID!$AA:$AA,"&lt;0"))=0,"",SUMIF(RESULTADOS_GRID!$B:$B,$A75,RESULTADOS_GRID!$AA:$AA)/(COUNTIFS(RESULTADOS_GRID!$B:$B,$A75,RESULTADOS_GRID!$AA:$AA,"&gt;=0")+COUNTIFS(RESULTADOS_GRID!$B:$B,$A75,RESULTADOS_GRID!$AA:$AA,"&lt;0"))))</f>
        <v/>
      </c>
      <c r="M75" s="51">
        <f>IF($A75="","",IF((COUNTIFS(RESULTADOS_GRID!$B:$B,$A75,RESULTADOS_GRID!$AB:$AB,"&gt;=0")+COUNTIFS(RESULTADOS_GRID!$B:$B,$A75,RESULTADOS_GRID!$AB:$AB,"&lt;0"))=0,"",SUMIF(RESULTADOS_GRID!$B:$B,$A75,RESULTADOS_GRID!$AB:$AB)/(COUNTIFS(RESULTADOS_GRID!$B:$B,$A75,RESULTADOS_GRID!$AB:$AB,"&gt;=0")+COUNTIFS(RESULTADOS_GRID!$B:$B,$A75,RESULTADOS_GRID!$AB:$AB,"&lt;0"))))</f>
        <v/>
      </c>
      <c r="N75" s="49" t="n"/>
      <c r="O75" s="57">
        <f>IF($I75="","",COUNTIFS($I$2:$I$101,"&lt;"&amp;$I75)+1)</f>
        <v/>
      </c>
      <c r="P75" s="49" t="n"/>
      <c r="Q75" s="49" t="n"/>
      <c r="R75" s="49" t="n"/>
      <c r="S75" s="49" t="n"/>
      <c r="T75" s="49" t="n"/>
      <c r="U75" s="49" t="n"/>
      <c r="V75" s="49" t="n"/>
      <c r="W75" s="49" t="n"/>
    </row>
    <row r="76" ht="15" customHeight="1" s="27">
      <c r="A76" s="49" t="n"/>
      <c r="B76" s="57">
        <f>IF($A76="","",IFERROR(INDEX(RESULTADOS_GRID!$C:$C,MATCH($A76,RESULTADOS_GRID!$B:$B,0)),""))</f>
        <v/>
      </c>
      <c r="C76" s="57">
        <f>IF($A76="","",IFERROR(INDEX(RESULTADOS_GRID!$E:$E,MATCH($A76,RESULTADOS_GRID!$B:$B,0)),""))</f>
        <v/>
      </c>
      <c r="D76" s="57">
        <f>IF($A76="","",IFERROR(INDEX(RESULTADOS_GRID!$D:$D,MATCH($A76,RESULTADOS_GRID!$B:$B,0)),""))</f>
        <v/>
      </c>
      <c r="E76" s="57">
        <f>IF($A76="","",COUNTIF(RESULTADOS_GRID!$B:$B,$A76))</f>
        <v/>
      </c>
      <c r="F76" s="54">
        <f>IF($A76="","",SUMIF(RESULTADOS_GRID!$B:$B,$A76,RESULTADOS_GRID!$X:$X))</f>
        <v/>
      </c>
      <c r="G76" s="53" t="n"/>
      <c r="H76" s="58">
        <f>CONFIG_REFERENCIA!$E$7</f>
        <v/>
      </c>
      <c r="I76" s="54">
        <f>IF($A76="","",$F76+N($G76)*$H76)</f>
        <v/>
      </c>
      <c r="J76" s="54">
        <f>IF($A76="","",IF((COUNTIFS(RESULTADOS_GRID!$B:$B,$A76,RESULTADOS_GRID!$Y:$Y,"&gt;=0")+COUNTIFS(RESULTADOS_GRID!$B:$B,$A76,RESULTADOS_GRID!$Y:$Y,"&lt;0"))=0,"",SUMIF(RESULTADOS_GRID!$B:$B,$A76,RESULTADOS_GRID!$Y:$Y)/(COUNTIFS(RESULTADOS_GRID!$B:$B,$A76,RESULTADOS_GRID!$Y:$Y,"&gt;=0")+COUNTIFS(RESULTADOS_GRID!$B:$B,$A76,RESULTADOS_GRID!$Y:$Y,"&lt;0"))))</f>
        <v/>
      </c>
      <c r="K76" s="54">
        <f>IF($A76="","",IF((COUNTIFS(RESULTADOS_GRID!$B:$B,$A76,RESULTADOS_GRID!$Z:$Z,"&gt;=0")+COUNTIFS(RESULTADOS_GRID!$B:$B,$A76,RESULTADOS_GRID!$Z:$Z,"&lt;0"))=0,"",SUMIF(RESULTADOS_GRID!$B:$B,$A76,RESULTADOS_GRID!$Z:$Z)/(COUNTIFS(RESULTADOS_GRID!$B:$B,$A76,RESULTADOS_GRID!$Z:$Z,"&gt;=0")+COUNTIFS(RESULTADOS_GRID!$B:$B,$A76,RESULTADOS_GRID!$Z:$Z,"&lt;0"))))</f>
        <v/>
      </c>
      <c r="L76" s="51">
        <f>IF($A76="","",IF((COUNTIFS(RESULTADOS_GRID!$B:$B,$A76,RESULTADOS_GRID!$AA:$AA,"&gt;=0")+COUNTIFS(RESULTADOS_GRID!$B:$B,$A76,RESULTADOS_GRID!$AA:$AA,"&lt;0"))=0,"",SUMIF(RESULTADOS_GRID!$B:$B,$A76,RESULTADOS_GRID!$AA:$AA)/(COUNTIFS(RESULTADOS_GRID!$B:$B,$A76,RESULTADOS_GRID!$AA:$AA,"&gt;=0")+COUNTIFS(RESULTADOS_GRID!$B:$B,$A76,RESULTADOS_GRID!$AA:$AA,"&lt;0"))))</f>
        <v/>
      </c>
      <c r="M76" s="51">
        <f>IF($A76="","",IF((COUNTIFS(RESULTADOS_GRID!$B:$B,$A76,RESULTADOS_GRID!$AB:$AB,"&gt;=0")+COUNTIFS(RESULTADOS_GRID!$B:$B,$A76,RESULTADOS_GRID!$AB:$AB,"&lt;0"))=0,"",SUMIF(RESULTADOS_GRID!$B:$B,$A76,RESULTADOS_GRID!$AB:$AB)/(COUNTIFS(RESULTADOS_GRID!$B:$B,$A76,RESULTADOS_GRID!$AB:$AB,"&gt;=0")+COUNTIFS(RESULTADOS_GRID!$B:$B,$A76,RESULTADOS_GRID!$AB:$AB,"&lt;0"))))</f>
        <v/>
      </c>
      <c r="N76" s="49" t="n"/>
      <c r="O76" s="57">
        <f>IF($I76="","",COUNTIFS($I$2:$I$101,"&lt;"&amp;$I76)+1)</f>
        <v/>
      </c>
      <c r="P76" s="49" t="n"/>
      <c r="Q76" s="49" t="n"/>
      <c r="R76" s="49" t="n"/>
      <c r="S76" s="49" t="n"/>
      <c r="T76" s="49" t="n"/>
      <c r="U76" s="49" t="n"/>
      <c r="V76" s="49" t="n"/>
      <c r="W76" s="49" t="n"/>
    </row>
    <row r="77" ht="15" customHeight="1" s="27">
      <c r="A77" s="49" t="n"/>
      <c r="B77" s="57">
        <f>IF($A77="","",IFERROR(INDEX(RESULTADOS_GRID!$C:$C,MATCH($A77,RESULTADOS_GRID!$B:$B,0)),""))</f>
        <v/>
      </c>
      <c r="C77" s="57">
        <f>IF($A77="","",IFERROR(INDEX(RESULTADOS_GRID!$E:$E,MATCH($A77,RESULTADOS_GRID!$B:$B,0)),""))</f>
        <v/>
      </c>
      <c r="D77" s="57">
        <f>IF($A77="","",IFERROR(INDEX(RESULTADOS_GRID!$D:$D,MATCH($A77,RESULTADOS_GRID!$B:$B,0)),""))</f>
        <v/>
      </c>
      <c r="E77" s="57">
        <f>IF($A77="","",COUNTIF(RESULTADOS_GRID!$B:$B,$A77))</f>
        <v/>
      </c>
      <c r="F77" s="54">
        <f>IF($A77="","",SUMIF(RESULTADOS_GRID!$B:$B,$A77,RESULTADOS_GRID!$X:$X))</f>
        <v/>
      </c>
      <c r="G77" s="53" t="n"/>
      <c r="H77" s="58">
        <f>CONFIG_REFERENCIA!$E$7</f>
        <v/>
      </c>
      <c r="I77" s="54">
        <f>IF($A77="","",$F77+N($G77)*$H77)</f>
        <v/>
      </c>
      <c r="J77" s="54">
        <f>IF($A77="","",IF((COUNTIFS(RESULTADOS_GRID!$B:$B,$A77,RESULTADOS_GRID!$Y:$Y,"&gt;=0")+COUNTIFS(RESULTADOS_GRID!$B:$B,$A77,RESULTADOS_GRID!$Y:$Y,"&lt;0"))=0,"",SUMIF(RESULTADOS_GRID!$B:$B,$A77,RESULTADOS_GRID!$Y:$Y)/(COUNTIFS(RESULTADOS_GRID!$B:$B,$A77,RESULTADOS_GRID!$Y:$Y,"&gt;=0")+COUNTIFS(RESULTADOS_GRID!$B:$B,$A77,RESULTADOS_GRID!$Y:$Y,"&lt;0"))))</f>
        <v/>
      </c>
      <c r="K77" s="54">
        <f>IF($A77="","",IF((COUNTIFS(RESULTADOS_GRID!$B:$B,$A77,RESULTADOS_GRID!$Z:$Z,"&gt;=0")+COUNTIFS(RESULTADOS_GRID!$B:$B,$A77,RESULTADOS_GRID!$Z:$Z,"&lt;0"))=0,"",SUMIF(RESULTADOS_GRID!$B:$B,$A77,RESULTADOS_GRID!$Z:$Z)/(COUNTIFS(RESULTADOS_GRID!$B:$B,$A77,RESULTADOS_GRID!$Z:$Z,"&gt;=0")+COUNTIFS(RESULTADOS_GRID!$B:$B,$A77,RESULTADOS_GRID!$Z:$Z,"&lt;0"))))</f>
        <v/>
      </c>
      <c r="L77" s="51">
        <f>IF($A77="","",IF((COUNTIFS(RESULTADOS_GRID!$B:$B,$A77,RESULTADOS_GRID!$AA:$AA,"&gt;=0")+COUNTIFS(RESULTADOS_GRID!$B:$B,$A77,RESULTADOS_GRID!$AA:$AA,"&lt;0"))=0,"",SUMIF(RESULTADOS_GRID!$B:$B,$A77,RESULTADOS_GRID!$AA:$AA)/(COUNTIFS(RESULTADOS_GRID!$B:$B,$A77,RESULTADOS_GRID!$AA:$AA,"&gt;=0")+COUNTIFS(RESULTADOS_GRID!$B:$B,$A77,RESULTADOS_GRID!$AA:$AA,"&lt;0"))))</f>
        <v/>
      </c>
      <c r="M77" s="51">
        <f>IF($A77="","",IF((COUNTIFS(RESULTADOS_GRID!$B:$B,$A77,RESULTADOS_GRID!$AB:$AB,"&gt;=0")+COUNTIFS(RESULTADOS_GRID!$B:$B,$A77,RESULTADOS_GRID!$AB:$AB,"&lt;0"))=0,"",SUMIF(RESULTADOS_GRID!$B:$B,$A77,RESULTADOS_GRID!$AB:$AB)/(COUNTIFS(RESULTADOS_GRID!$B:$B,$A77,RESULTADOS_GRID!$AB:$AB,"&gt;=0")+COUNTIFS(RESULTADOS_GRID!$B:$B,$A77,RESULTADOS_GRID!$AB:$AB,"&lt;0"))))</f>
        <v/>
      </c>
      <c r="N77" s="49" t="n"/>
      <c r="O77" s="57">
        <f>IF($I77="","",COUNTIFS($I$2:$I$101,"&lt;"&amp;$I77)+1)</f>
        <v/>
      </c>
      <c r="P77" s="49" t="n"/>
      <c r="Q77" s="49" t="n"/>
      <c r="R77" s="49" t="n"/>
      <c r="S77" s="49" t="n"/>
      <c r="T77" s="49" t="n"/>
      <c r="U77" s="49" t="n"/>
      <c r="V77" s="49" t="n"/>
      <c r="W77" s="49" t="n"/>
    </row>
    <row r="78" ht="15" customHeight="1" s="27">
      <c r="A78" s="49" t="n"/>
      <c r="B78" s="57">
        <f>IF($A78="","",IFERROR(INDEX(RESULTADOS_GRID!$C:$C,MATCH($A78,RESULTADOS_GRID!$B:$B,0)),""))</f>
        <v/>
      </c>
      <c r="C78" s="57">
        <f>IF($A78="","",IFERROR(INDEX(RESULTADOS_GRID!$E:$E,MATCH($A78,RESULTADOS_GRID!$B:$B,0)),""))</f>
        <v/>
      </c>
      <c r="D78" s="57">
        <f>IF($A78="","",IFERROR(INDEX(RESULTADOS_GRID!$D:$D,MATCH($A78,RESULTADOS_GRID!$B:$B,0)),""))</f>
        <v/>
      </c>
      <c r="E78" s="57">
        <f>IF($A78="","",COUNTIF(RESULTADOS_GRID!$B:$B,$A78))</f>
        <v/>
      </c>
      <c r="F78" s="54">
        <f>IF($A78="","",SUMIF(RESULTADOS_GRID!$B:$B,$A78,RESULTADOS_GRID!$X:$X))</f>
        <v/>
      </c>
      <c r="G78" s="53" t="n"/>
      <c r="H78" s="58">
        <f>CONFIG_REFERENCIA!$E$7</f>
        <v/>
      </c>
      <c r="I78" s="54">
        <f>IF($A78="","",$F78+N($G78)*$H78)</f>
        <v/>
      </c>
      <c r="J78" s="54">
        <f>IF($A78="","",IF((COUNTIFS(RESULTADOS_GRID!$B:$B,$A78,RESULTADOS_GRID!$Y:$Y,"&gt;=0")+COUNTIFS(RESULTADOS_GRID!$B:$B,$A78,RESULTADOS_GRID!$Y:$Y,"&lt;0"))=0,"",SUMIF(RESULTADOS_GRID!$B:$B,$A78,RESULTADOS_GRID!$Y:$Y)/(COUNTIFS(RESULTADOS_GRID!$B:$B,$A78,RESULTADOS_GRID!$Y:$Y,"&gt;=0")+COUNTIFS(RESULTADOS_GRID!$B:$B,$A78,RESULTADOS_GRID!$Y:$Y,"&lt;0"))))</f>
        <v/>
      </c>
      <c r="K78" s="54">
        <f>IF($A78="","",IF((COUNTIFS(RESULTADOS_GRID!$B:$B,$A78,RESULTADOS_GRID!$Z:$Z,"&gt;=0")+COUNTIFS(RESULTADOS_GRID!$B:$B,$A78,RESULTADOS_GRID!$Z:$Z,"&lt;0"))=0,"",SUMIF(RESULTADOS_GRID!$B:$B,$A78,RESULTADOS_GRID!$Z:$Z)/(COUNTIFS(RESULTADOS_GRID!$B:$B,$A78,RESULTADOS_GRID!$Z:$Z,"&gt;=0")+COUNTIFS(RESULTADOS_GRID!$B:$B,$A78,RESULTADOS_GRID!$Z:$Z,"&lt;0"))))</f>
        <v/>
      </c>
      <c r="L78" s="51">
        <f>IF($A78="","",IF((COUNTIFS(RESULTADOS_GRID!$B:$B,$A78,RESULTADOS_GRID!$AA:$AA,"&gt;=0")+COUNTIFS(RESULTADOS_GRID!$B:$B,$A78,RESULTADOS_GRID!$AA:$AA,"&lt;0"))=0,"",SUMIF(RESULTADOS_GRID!$B:$B,$A78,RESULTADOS_GRID!$AA:$AA)/(COUNTIFS(RESULTADOS_GRID!$B:$B,$A78,RESULTADOS_GRID!$AA:$AA,"&gt;=0")+COUNTIFS(RESULTADOS_GRID!$B:$B,$A78,RESULTADOS_GRID!$AA:$AA,"&lt;0"))))</f>
        <v/>
      </c>
      <c r="M78" s="51">
        <f>IF($A78="","",IF((COUNTIFS(RESULTADOS_GRID!$B:$B,$A78,RESULTADOS_GRID!$AB:$AB,"&gt;=0")+COUNTIFS(RESULTADOS_GRID!$B:$B,$A78,RESULTADOS_GRID!$AB:$AB,"&lt;0"))=0,"",SUMIF(RESULTADOS_GRID!$B:$B,$A78,RESULTADOS_GRID!$AB:$AB)/(COUNTIFS(RESULTADOS_GRID!$B:$B,$A78,RESULTADOS_GRID!$AB:$AB,"&gt;=0")+COUNTIFS(RESULTADOS_GRID!$B:$B,$A78,RESULTADOS_GRID!$AB:$AB,"&lt;0"))))</f>
        <v/>
      </c>
      <c r="N78" s="49" t="n"/>
      <c r="O78" s="57">
        <f>IF($I78="","",COUNTIFS($I$2:$I$101,"&lt;"&amp;$I78)+1)</f>
        <v/>
      </c>
      <c r="P78" s="49" t="n"/>
      <c r="Q78" s="49" t="n"/>
      <c r="R78" s="49" t="n"/>
      <c r="S78" s="49" t="n"/>
      <c r="T78" s="49" t="n"/>
      <c r="U78" s="49" t="n"/>
      <c r="V78" s="49" t="n"/>
      <c r="W78" s="49" t="n"/>
    </row>
    <row r="79" ht="15" customHeight="1" s="27">
      <c r="A79" s="49" t="n"/>
      <c r="B79" s="57">
        <f>IF($A79="","",IFERROR(INDEX(RESULTADOS_GRID!$C:$C,MATCH($A79,RESULTADOS_GRID!$B:$B,0)),""))</f>
        <v/>
      </c>
      <c r="C79" s="57">
        <f>IF($A79="","",IFERROR(INDEX(RESULTADOS_GRID!$E:$E,MATCH($A79,RESULTADOS_GRID!$B:$B,0)),""))</f>
        <v/>
      </c>
      <c r="D79" s="57">
        <f>IF($A79="","",IFERROR(INDEX(RESULTADOS_GRID!$D:$D,MATCH($A79,RESULTADOS_GRID!$B:$B,0)),""))</f>
        <v/>
      </c>
      <c r="E79" s="57">
        <f>IF($A79="","",COUNTIF(RESULTADOS_GRID!$B:$B,$A79))</f>
        <v/>
      </c>
      <c r="F79" s="54">
        <f>IF($A79="","",SUMIF(RESULTADOS_GRID!$B:$B,$A79,RESULTADOS_GRID!$X:$X))</f>
        <v/>
      </c>
      <c r="G79" s="53" t="n"/>
      <c r="H79" s="58">
        <f>CONFIG_REFERENCIA!$E$7</f>
        <v/>
      </c>
      <c r="I79" s="54">
        <f>IF($A79="","",$F79+N($G79)*$H79)</f>
        <v/>
      </c>
      <c r="J79" s="54">
        <f>IF($A79="","",IF((COUNTIFS(RESULTADOS_GRID!$B:$B,$A79,RESULTADOS_GRID!$Y:$Y,"&gt;=0")+COUNTIFS(RESULTADOS_GRID!$B:$B,$A79,RESULTADOS_GRID!$Y:$Y,"&lt;0"))=0,"",SUMIF(RESULTADOS_GRID!$B:$B,$A79,RESULTADOS_GRID!$Y:$Y)/(COUNTIFS(RESULTADOS_GRID!$B:$B,$A79,RESULTADOS_GRID!$Y:$Y,"&gt;=0")+COUNTIFS(RESULTADOS_GRID!$B:$B,$A79,RESULTADOS_GRID!$Y:$Y,"&lt;0"))))</f>
        <v/>
      </c>
      <c r="K79" s="54">
        <f>IF($A79="","",IF((COUNTIFS(RESULTADOS_GRID!$B:$B,$A79,RESULTADOS_GRID!$Z:$Z,"&gt;=0")+COUNTIFS(RESULTADOS_GRID!$B:$B,$A79,RESULTADOS_GRID!$Z:$Z,"&lt;0"))=0,"",SUMIF(RESULTADOS_GRID!$B:$B,$A79,RESULTADOS_GRID!$Z:$Z)/(COUNTIFS(RESULTADOS_GRID!$B:$B,$A79,RESULTADOS_GRID!$Z:$Z,"&gt;=0")+COUNTIFS(RESULTADOS_GRID!$B:$B,$A79,RESULTADOS_GRID!$Z:$Z,"&lt;0"))))</f>
        <v/>
      </c>
      <c r="L79" s="51">
        <f>IF($A79="","",IF((COUNTIFS(RESULTADOS_GRID!$B:$B,$A79,RESULTADOS_GRID!$AA:$AA,"&gt;=0")+COUNTIFS(RESULTADOS_GRID!$B:$B,$A79,RESULTADOS_GRID!$AA:$AA,"&lt;0"))=0,"",SUMIF(RESULTADOS_GRID!$B:$B,$A79,RESULTADOS_GRID!$AA:$AA)/(COUNTIFS(RESULTADOS_GRID!$B:$B,$A79,RESULTADOS_GRID!$AA:$AA,"&gt;=0")+COUNTIFS(RESULTADOS_GRID!$B:$B,$A79,RESULTADOS_GRID!$AA:$AA,"&lt;0"))))</f>
        <v/>
      </c>
      <c r="M79" s="51">
        <f>IF($A79="","",IF((COUNTIFS(RESULTADOS_GRID!$B:$B,$A79,RESULTADOS_GRID!$AB:$AB,"&gt;=0")+COUNTIFS(RESULTADOS_GRID!$B:$B,$A79,RESULTADOS_GRID!$AB:$AB,"&lt;0"))=0,"",SUMIF(RESULTADOS_GRID!$B:$B,$A79,RESULTADOS_GRID!$AB:$AB)/(COUNTIFS(RESULTADOS_GRID!$B:$B,$A79,RESULTADOS_GRID!$AB:$AB,"&gt;=0")+COUNTIFS(RESULTADOS_GRID!$B:$B,$A79,RESULTADOS_GRID!$AB:$AB,"&lt;0"))))</f>
        <v/>
      </c>
      <c r="N79" s="49" t="n"/>
      <c r="O79" s="57">
        <f>IF($I79="","",COUNTIFS($I$2:$I$101,"&lt;"&amp;$I79)+1)</f>
        <v/>
      </c>
      <c r="P79" s="49" t="n"/>
      <c r="Q79" s="49" t="n"/>
      <c r="R79" s="49" t="n"/>
      <c r="S79" s="49" t="n"/>
      <c r="T79" s="49" t="n"/>
      <c r="U79" s="49" t="n"/>
      <c r="V79" s="49" t="n"/>
      <c r="W79" s="49" t="n"/>
    </row>
    <row r="80" ht="15" customHeight="1" s="27">
      <c r="A80" s="49" t="n"/>
      <c r="B80" s="57">
        <f>IF($A80="","",IFERROR(INDEX(RESULTADOS_GRID!$C:$C,MATCH($A80,RESULTADOS_GRID!$B:$B,0)),""))</f>
        <v/>
      </c>
      <c r="C80" s="57">
        <f>IF($A80="","",IFERROR(INDEX(RESULTADOS_GRID!$E:$E,MATCH($A80,RESULTADOS_GRID!$B:$B,0)),""))</f>
        <v/>
      </c>
      <c r="D80" s="57">
        <f>IF($A80="","",IFERROR(INDEX(RESULTADOS_GRID!$D:$D,MATCH($A80,RESULTADOS_GRID!$B:$B,0)),""))</f>
        <v/>
      </c>
      <c r="E80" s="57">
        <f>IF($A80="","",COUNTIF(RESULTADOS_GRID!$B:$B,$A80))</f>
        <v/>
      </c>
      <c r="F80" s="54">
        <f>IF($A80="","",SUMIF(RESULTADOS_GRID!$B:$B,$A80,RESULTADOS_GRID!$X:$X))</f>
        <v/>
      </c>
      <c r="G80" s="53" t="n"/>
      <c r="H80" s="58">
        <f>CONFIG_REFERENCIA!$E$7</f>
        <v/>
      </c>
      <c r="I80" s="54">
        <f>IF($A80="","",$F80+N($G80)*$H80)</f>
        <v/>
      </c>
      <c r="J80" s="54">
        <f>IF($A80="","",IF((COUNTIFS(RESULTADOS_GRID!$B:$B,$A80,RESULTADOS_GRID!$Y:$Y,"&gt;=0")+COUNTIFS(RESULTADOS_GRID!$B:$B,$A80,RESULTADOS_GRID!$Y:$Y,"&lt;0"))=0,"",SUMIF(RESULTADOS_GRID!$B:$B,$A80,RESULTADOS_GRID!$Y:$Y)/(COUNTIFS(RESULTADOS_GRID!$B:$B,$A80,RESULTADOS_GRID!$Y:$Y,"&gt;=0")+COUNTIFS(RESULTADOS_GRID!$B:$B,$A80,RESULTADOS_GRID!$Y:$Y,"&lt;0"))))</f>
        <v/>
      </c>
      <c r="K80" s="54">
        <f>IF($A80="","",IF((COUNTIFS(RESULTADOS_GRID!$B:$B,$A80,RESULTADOS_GRID!$Z:$Z,"&gt;=0")+COUNTIFS(RESULTADOS_GRID!$B:$B,$A80,RESULTADOS_GRID!$Z:$Z,"&lt;0"))=0,"",SUMIF(RESULTADOS_GRID!$B:$B,$A80,RESULTADOS_GRID!$Z:$Z)/(COUNTIFS(RESULTADOS_GRID!$B:$B,$A80,RESULTADOS_GRID!$Z:$Z,"&gt;=0")+COUNTIFS(RESULTADOS_GRID!$B:$B,$A80,RESULTADOS_GRID!$Z:$Z,"&lt;0"))))</f>
        <v/>
      </c>
      <c r="L80" s="51">
        <f>IF($A80="","",IF((COUNTIFS(RESULTADOS_GRID!$B:$B,$A80,RESULTADOS_GRID!$AA:$AA,"&gt;=0")+COUNTIFS(RESULTADOS_GRID!$B:$B,$A80,RESULTADOS_GRID!$AA:$AA,"&lt;0"))=0,"",SUMIF(RESULTADOS_GRID!$B:$B,$A80,RESULTADOS_GRID!$AA:$AA)/(COUNTIFS(RESULTADOS_GRID!$B:$B,$A80,RESULTADOS_GRID!$AA:$AA,"&gt;=0")+COUNTIFS(RESULTADOS_GRID!$B:$B,$A80,RESULTADOS_GRID!$AA:$AA,"&lt;0"))))</f>
        <v/>
      </c>
      <c r="M80" s="51">
        <f>IF($A80="","",IF((COUNTIFS(RESULTADOS_GRID!$B:$B,$A80,RESULTADOS_GRID!$AB:$AB,"&gt;=0")+COUNTIFS(RESULTADOS_GRID!$B:$B,$A80,RESULTADOS_GRID!$AB:$AB,"&lt;0"))=0,"",SUMIF(RESULTADOS_GRID!$B:$B,$A80,RESULTADOS_GRID!$AB:$AB)/(COUNTIFS(RESULTADOS_GRID!$B:$B,$A80,RESULTADOS_GRID!$AB:$AB,"&gt;=0")+COUNTIFS(RESULTADOS_GRID!$B:$B,$A80,RESULTADOS_GRID!$AB:$AB,"&lt;0"))))</f>
        <v/>
      </c>
      <c r="N80" s="49" t="n"/>
      <c r="O80" s="57">
        <f>IF($I80="","",COUNTIFS($I$2:$I$101,"&lt;"&amp;$I80)+1)</f>
        <v/>
      </c>
      <c r="P80" s="49" t="n"/>
      <c r="Q80" s="49" t="n"/>
      <c r="R80" s="49" t="n"/>
      <c r="S80" s="49" t="n"/>
      <c r="T80" s="49" t="n"/>
      <c r="U80" s="49" t="n"/>
      <c r="V80" s="49" t="n"/>
      <c r="W80" s="49" t="n"/>
    </row>
    <row r="81" ht="15" customHeight="1" s="27">
      <c r="A81" s="49" t="n"/>
      <c r="B81" s="57">
        <f>IF($A81="","",IFERROR(INDEX(RESULTADOS_GRID!$C:$C,MATCH($A81,RESULTADOS_GRID!$B:$B,0)),""))</f>
        <v/>
      </c>
      <c r="C81" s="57">
        <f>IF($A81="","",IFERROR(INDEX(RESULTADOS_GRID!$E:$E,MATCH($A81,RESULTADOS_GRID!$B:$B,0)),""))</f>
        <v/>
      </c>
      <c r="D81" s="57">
        <f>IF($A81="","",IFERROR(INDEX(RESULTADOS_GRID!$D:$D,MATCH($A81,RESULTADOS_GRID!$B:$B,0)),""))</f>
        <v/>
      </c>
      <c r="E81" s="57">
        <f>IF($A81="","",COUNTIF(RESULTADOS_GRID!$B:$B,$A81))</f>
        <v/>
      </c>
      <c r="F81" s="54">
        <f>IF($A81="","",SUMIF(RESULTADOS_GRID!$B:$B,$A81,RESULTADOS_GRID!$X:$X))</f>
        <v/>
      </c>
      <c r="G81" s="53" t="n"/>
      <c r="H81" s="58">
        <f>CONFIG_REFERENCIA!$E$7</f>
        <v/>
      </c>
      <c r="I81" s="54">
        <f>IF($A81="","",$F81+N($G81)*$H81)</f>
        <v/>
      </c>
      <c r="J81" s="54">
        <f>IF($A81="","",IF((COUNTIFS(RESULTADOS_GRID!$B:$B,$A81,RESULTADOS_GRID!$Y:$Y,"&gt;=0")+COUNTIFS(RESULTADOS_GRID!$B:$B,$A81,RESULTADOS_GRID!$Y:$Y,"&lt;0"))=0,"",SUMIF(RESULTADOS_GRID!$B:$B,$A81,RESULTADOS_GRID!$Y:$Y)/(COUNTIFS(RESULTADOS_GRID!$B:$B,$A81,RESULTADOS_GRID!$Y:$Y,"&gt;=0")+COUNTIFS(RESULTADOS_GRID!$B:$B,$A81,RESULTADOS_GRID!$Y:$Y,"&lt;0"))))</f>
        <v/>
      </c>
      <c r="K81" s="54">
        <f>IF($A81="","",IF((COUNTIFS(RESULTADOS_GRID!$B:$B,$A81,RESULTADOS_GRID!$Z:$Z,"&gt;=0")+COUNTIFS(RESULTADOS_GRID!$B:$B,$A81,RESULTADOS_GRID!$Z:$Z,"&lt;0"))=0,"",SUMIF(RESULTADOS_GRID!$B:$B,$A81,RESULTADOS_GRID!$Z:$Z)/(COUNTIFS(RESULTADOS_GRID!$B:$B,$A81,RESULTADOS_GRID!$Z:$Z,"&gt;=0")+COUNTIFS(RESULTADOS_GRID!$B:$B,$A81,RESULTADOS_GRID!$Z:$Z,"&lt;0"))))</f>
        <v/>
      </c>
      <c r="L81" s="51">
        <f>IF($A81="","",IF((COUNTIFS(RESULTADOS_GRID!$B:$B,$A81,RESULTADOS_GRID!$AA:$AA,"&gt;=0")+COUNTIFS(RESULTADOS_GRID!$B:$B,$A81,RESULTADOS_GRID!$AA:$AA,"&lt;0"))=0,"",SUMIF(RESULTADOS_GRID!$B:$B,$A81,RESULTADOS_GRID!$AA:$AA)/(COUNTIFS(RESULTADOS_GRID!$B:$B,$A81,RESULTADOS_GRID!$AA:$AA,"&gt;=0")+COUNTIFS(RESULTADOS_GRID!$B:$B,$A81,RESULTADOS_GRID!$AA:$AA,"&lt;0"))))</f>
        <v/>
      </c>
      <c r="M81" s="51">
        <f>IF($A81="","",IF((COUNTIFS(RESULTADOS_GRID!$B:$B,$A81,RESULTADOS_GRID!$AB:$AB,"&gt;=0")+COUNTIFS(RESULTADOS_GRID!$B:$B,$A81,RESULTADOS_GRID!$AB:$AB,"&lt;0"))=0,"",SUMIF(RESULTADOS_GRID!$B:$B,$A81,RESULTADOS_GRID!$AB:$AB)/(COUNTIFS(RESULTADOS_GRID!$B:$B,$A81,RESULTADOS_GRID!$AB:$AB,"&gt;=0")+COUNTIFS(RESULTADOS_GRID!$B:$B,$A81,RESULTADOS_GRID!$AB:$AB,"&lt;0"))))</f>
        <v/>
      </c>
      <c r="N81" s="49" t="n"/>
      <c r="O81" s="57">
        <f>IF($I81="","",COUNTIFS($I$2:$I$101,"&lt;"&amp;$I81)+1)</f>
        <v/>
      </c>
      <c r="P81" s="49" t="n"/>
      <c r="Q81" s="49" t="n"/>
      <c r="R81" s="49" t="n"/>
      <c r="S81" s="49" t="n"/>
      <c r="T81" s="49" t="n"/>
      <c r="U81" s="49" t="n"/>
      <c r="V81" s="49" t="n"/>
      <c r="W81" s="49" t="n"/>
    </row>
    <row r="82" ht="15" customHeight="1" s="27">
      <c r="A82" s="49" t="n"/>
      <c r="B82" s="57">
        <f>IF($A82="","",IFERROR(INDEX(RESULTADOS_GRID!$C:$C,MATCH($A82,RESULTADOS_GRID!$B:$B,0)),""))</f>
        <v/>
      </c>
      <c r="C82" s="57">
        <f>IF($A82="","",IFERROR(INDEX(RESULTADOS_GRID!$E:$E,MATCH($A82,RESULTADOS_GRID!$B:$B,0)),""))</f>
        <v/>
      </c>
      <c r="D82" s="57">
        <f>IF($A82="","",IFERROR(INDEX(RESULTADOS_GRID!$D:$D,MATCH($A82,RESULTADOS_GRID!$B:$B,0)),""))</f>
        <v/>
      </c>
      <c r="E82" s="57">
        <f>IF($A82="","",COUNTIF(RESULTADOS_GRID!$B:$B,$A82))</f>
        <v/>
      </c>
      <c r="F82" s="54">
        <f>IF($A82="","",SUMIF(RESULTADOS_GRID!$B:$B,$A82,RESULTADOS_GRID!$X:$X))</f>
        <v/>
      </c>
      <c r="G82" s="53" t="n"/>
      <c r="H82" s="58">
        <f>CONFIG_REFERENCIA!$E$7</f>
        <v/>
      </c>
      <c r="I82" s="54">
        <f>IF($A82="","",$F82+N($G82)*$H82)</f>
        <v/>
      </c>
      <c r="J82" s="54">
        <f>IF($A82="","",IF((COUNTIFS(RESULTADOS_GRID!$B:$B,$A82,RESULTADOS_GRID!$Y:$Y,"&gt;=0")+COUNTIFS(RESULTADOS_GRID!$B:$B,$A82,RESULTADOS_GRID!$Y:$Y,"&lt;0"))=0,"",SUMIF(RESULTADOS_GRID!$B:$B,$A82,RESULTADOS_GRID!$Y:$Y)/(COUNTIFS(RESULTADOS_GRID!$B:$B,$A82,RESULTADOS_GRID!$Y:$Y,"&gt;=0")+COUNTIFS(RESULTADOS_GRID!$B:$B,$A82,RESULTADOS_GRID!$Y:$Y,"&lt;0"))))</f>
        <v/>
      </c>
      <c r="K82" s="54">
        <f>IF($A82="","",IF((COUNTIFS(RESULTADOS_GRID!$B:$B,$A82,RESULTADOS_GRID!$Z:$Z,"&gt;=0")+COUNTIFS(RESULTADOS_GRID!$B:$B,$A82,RESULTADOS_GRID!$Z:$Z,"&lt;0"))=0,"",SUMIF(RESULTADOS_GRID!$B:$B,$A82,RESULTADOS_GRID!$Z:$Z)/(COUNTIFS(RESULTADOS_GRID!$B:$B,$A82,RESULTADOS_GRID!$Z:$Z,"&gt;=0")+COUNTIFS(RESULTADOS_GRID!$B:$B,$A82,RESULTADOS_GRID!$Z:$Z,"&lt;0"))))</f>
        <v/>
      </c>
      <c r="L82" s="51">
        <f>IF($A82="","",IF((COUNTIFS(RESULTADOS_GRID!$B:$B,$A82,RESULTADOS_GRID!$AA:$AA,"&gt;=0")+COUNTIFS(RESULTADOS_GRID!$B:$B,$A82,RESULTADOS_GRID!$AA:$AA,"&lt;0"))=0,"",SUMIF(RESULTADOS_GRID!$B:$B,$A82,RESULTADOS_GRID!$AA:$AA)/(COUNTIFS(RESULTADOS_GRID!$B:$B,$A82,RESULTADOS_GRID!$AA:$AA,"&gt;=0")+COUNTIFS(RESULTADOS_GRID!$B:$B,$A82,RESULTADOS_GRID!$AA:$AA,"&lt;0"))))</f>
        <v/>
      </c>
      <c r="M82" s="51">
        <f>IF($A82="","",IF((COUNTIFS(RESULTADOS_GRID!$B:$B,$A82,RESULTADOS_GRID!$AB:$AB,"&gt;=0")+COUNTIFS(RESULTADOS_GRID!$B:$B,$A82,RESULTADOS_GRID!$AB:$AB,"&lt;0"))=0,"",SUMIF(RESULTADOS_GRID!$B:$B,$A82,RESULTADOS_GRID!$AB:$AB)/(COUNTIFS(RESULTADOS_GRID!$B:$B,$A82,RESULTADOS_GRID!$AB:$AB,"&gt;=0")+COUNTIFS(RESULTADOS_GRID!$B:$B,$A82,RESULTADOS_GRID!$AB:$AB,"&lt;0"))))</f>
        <v/>
      </c>
      <c r="N82" s="49" t="n"/>
      <c r="O82" s="57">
        <f>IF($I82="","",COUNTIFS($I$2:$I$101,"&lt;"&amp;$I82)+1)</f>
        <v/>
      </c>
      <c r="P82" s="49" t="n"/>
      <c r="Q82" s="49" t="n"/>
      <c r="R82" s="49" t="n"/>
      <c r="S82" s="49" t="n"/>
      <c r="T82" s="49" t="n"/>
      <c r="U82" s="49" t="n"/>
      <c r="V82" s="49" t="n"/>
      <c r="W82" s="49" t="n"/>
    </row>
    <row r="83" ht="15" customHeight="1" s="27">
      <c r="A83" s="49" t="n"/>
      <c r="B83" s="57">
        <f>IF($A83="","",IFERROR(INDEX(RESULTADOS_GRID!$C:$C,MATCH($A83,RESULTADOS_GRID!$B:$B,0)),""))</f>
        <v/>
      </c>
      <c r="C83" s="57">
        <f>IF($A83="","",IFERROR(INDEX(RESULTADOS_GRID!$E:$E,MATCH($A83,RESULTADOS_GRID!$B:$B,0)),""))</f>
        <v/>
      </c>
      <c r="D83" s="57">
        <f>IF($A83="","",IFERROR(INDEX(RESULTADOS_GRID!$D:$D,MATCH($A83,RESULTADOS_GRID!$B:$B,0)),""))</f>
        <v/>
      </c>
      <c r="E83" s="57">
        <f>IF($A83="","",COUNTIF(RESULTADOS_GRID!$B:$B,$A83))</f>
        <v/>
      </c>
      <c r="F83" s="54">
        <f>IF($A83="","",SUMIF(RESULTADOS_GRID!$B:$B,$A83,RESULTADOS_GRID!$X:$X))</f>
        <v/>
      </c>
      <c r="G83" s="53" t="n"/>
      <c r="H83" s="58">
        <f>CONFIG_REFERENCIA!$E$7</f>
        <v/>
      </c>
      <c r="I83" s="54">
        <f>IF($A83="","",$F83+N($G83)*$H83)</f>
        <v/>
      </c>
      <c r="J83" s="54">
        <f>IF($A83="","",IF((COUNTIFS(RESULTADOS_GRID!$B:$B,$A83,RESULTADOS_GRID!$Y:$Y,"&gt;=0")+COUNTIFS(RESULTADOS_GRID!$B:$B,$A83,RESULTADOS_GRID!$Y:$Y,"&lt;0"))=0,"",SUMIF(RESULTADOS_GRID!$B:$B,$A83,RESULTADOS_GRID!$Y:$Y)/(COUNTIFS(RESULTADOS_GRID!$B:$B,$A83,RESULTADOS_GRID!$Y:$Y,"&gt;=0")+COUNTIFS(RESULTADOS_GRID!$B:$B,$A83,RESULTADOS_GRID!$Y:$Y,"&lt;0"))))</f>
        <v/>
      </c>
      <c r="K83" s="54">
        <f>IF($A83="","",IF((COUNTIFS(RESULTADOS_GRID!$B:$B,$A83,RESULTADOS_GRID!$Z:$Z,"&gt;=0")+COUNTIFS(RESULTADOS_GRID!$B:$B,$A83,RESULTADOS_GRID!$Z:$Z,"&lt;0"))=0,"",SUMIF(RESULTADOS_GRID!$B:$B,$A83,RESULTADOS_GRID!$Z:$Z)/(COUNTIFS(RESULTADOS_GRID!$B:$B,$A83,RESULTADOS_GRID!$Z:$Z,"&gt;=0")+COUNTIFS(RESULTADOS_GRID!$B:$B,$A83,RESULTADOS_GRID!$Z:$Z,"&lt;0"))))</f>
        <v/>
      </c>
      <c r="L83" s="51">
        <f>IF($A83="","",IF((COUNTIFS(RESULTADOS_GRID!$B:$B,$A83,RESULTADOS_GRID!$AA:$AA,"&gt;=0")+COUNTIFS(RESULTADOS_GRID!$B:$B,$A83,RESULTADOS_GRID!$AA:$AA,"&lt;0"))=0,"",SUMIF(RESULTADOS_GRID!$B:$B,$A83,RESULTADOS_GRID!$AA:$AA)/(COUNTIFS(RESULTADOS_GRID!$B:$B,$A83,RESULTADOS_GRID!$AA:$AA,"&gt;=0")+COUNTIFS(RESULTADOS_GRID!$B:$B,$A83,RESULTADOS_GRID!$AA:$AA,"&lt;0"))))</f>
        <v/>
      </c>
      <c r="M83" s="51">
        <f>IF($A83="","",IF((COUNTIFS(RESULTADOS_GRID!$B:$B,$A83,RESULTADOS_GRID!$AB:$AB,"&gt;=0")+COUNTIFS(RESULTADOS_GRID!$B:$B,$A83,RESULTADOS_GRID!$AB:$AB,"&lt;0"))=0,"",SUMIF(RESULTADOS_GRID!$B:$B,$A83,RESULTADOS_GRID!$AB:$AB)/(COUNTIFS(RESULTADOS_GRID!$B:$B,$A83,RESULTADOS_GRID!$AB:$AB,"&gt;=0")+COUNTIFS(RESULTADOS_GRID!$B:$B,$A83,RESULTADOS_GRID!$AB:$AB,"&lt;0"))))</f>
        <v/>
      </c>
      <c r="N83" s="49" t="n"/>
      <c r="O83" s="57">
        <f>IF($I83="","",COUNTIFS($I$2:$I$101,"&lt;"&amp;$I83)+1)</f>
        <v/>
      </c>
      <c r="P83" s="49" t="n"/>
      <c r="Q83" s="49" t="n"/>
      <c r="R83" s="49" t="n"/>
      <c r="S83" s="49" t="n"/>
      <c r="T83" s="49" t="n"/>
      <c r="U83" s="49" t="n"/>
      <c r="V83" s="49" t="n"/>
      <c r="W83" s="49" t="n"/>
    </row>
    <row r="84" ht="15" customHeight="1" s="27">
      <c r="A84" s="49" t="n"/>
      <c r="B84" s="57">
        <f>IF($A84="","",IFERROR(INDEX(RESULTADOS_GRID!$C:$C,MATCH($A84,RESULTADOS_GRID!$B:$B,0)),""))</f>
        <v/>
      </c>
      <c r="C84" s="57">
        <f>IF($A84="","",IFERROR(INDEX(RESULTADOS_GRID!$E:$E,MATCH($A84,RESULTADOS_GRID!$B:$B,0)),""))</f>
        <v/>
      </c>
      <c r="D84" s="57">
        <f>IF($A84="","",IFERROR(INDEX(RESULTADOS_GRID!$D:$D,MATCH($A84,RESULTADOS_GRID!$B:$B,0)),""))</f>
        <v/>
      </c>
      <c r="E84" s="57">
        <f>IF($A84="","",COUNTIF(RESULTADOS_GRID!$B:$B,$A84))</f>
        <v/>
      </c>
      <c r="F84" s="54">
        <f>IF($A84="","",SUMIF(RESULTADOS_GRID!$B:$B,$A84,RESULTADOS_GRID!$X:$X))</f>
        <v/>
      </c>
      <c r="G84" s="53" t="n"/>
      <c r="H84" s="58">
        <f>CONFIG_REFERENCIA!$E$7</f>
        <v/>
      </c>
      <c r="I84" s="54">
        <f>IF($A84="","",$F84+N($G84)*$H84)</f>
        <v/>
      </c>
      <c r="J84" s="54">
        <f>IF($A84="","",IF((COUNTIFS(RESULTADOS_GRID!$B:$B,$A84,RESULTADOS_GRID!$Y:$Y,"&gt;=0")+COUNTIFS(RESULTADOS_GRID!$B:$B,$A84,RESULTADOS_GRID!$Y:$Y,"&lt;0"))=0,"",SUMIF(RESULTADOS_GRID!$B:$B,$A84,RESULTADOS_GRID!$Y:$Y)/(COUNTIFS(RESULTADOS_GRID!$B:$B,$A84,RESULTADOS_GRID!$Y:$Y,"&gt;=0")+COUNTIFS(RESULTADOS_GRID!$B:$B,$A84,RESULTADOS_GRID!$Y:$Y,"&lt;0"))))</f>
        <v/>
      </c>
      <c r="K84" s="54">
        <f>IF($A84="","",IF((COUNTIFS(RESULTADOS_GRID!$B:$B,$A84,RESULTADOS_GRID!$Z:$Z,"&gt;=0")+COUNTIFS(RESULTADOS_GRID!$B:$B,$A84,RESULTADOS_GRID!$Z:$Z,"&lt;0"))=0,"",SUMIF(RESULTADOS_GRID!$B:$B,$A84,RESULTADOS_GRID!$Z:$Z)/(COUNTIFS(RESULTADOS_GRID!$B:$B,$A84,RESULTADOS_GRID!$Z:$Z,"&gt;=0")+COUNTIFS(RESULTADOS_GRID!$B:$B,$A84,RESULTADOS_GRID!$Z:$Z,"&lt;0"))))</f>
        <v/>
      </c>
      <c r="L84" s="51">
        <f>IF($A84="","",IF((COUNTIFS(RESULTADOS_GRID!$B:$B,$A84,RESULTADOS_GRID!$AA:$AA,"&gt;=0")+COUNTIFS(RESULTADOS_GRID!$B:$B,$A84,RESULTADOS_GRID!$AA:$AA,"&lt;0"))=0,"",SUMIF(RESULTADOS_GRID!$B:$B,$A84,RESULTADOS_GRID!$AA:$AA)/(COUNTIFS(RESULTADOS_GRID!$B:$B,$A84,RESULTADOS_GRID!$AA:$AA,"&gt;=0")+COUNTIFS(RESULTADOS_GRID!$B:$B,$A84,RESULTADOS_GRID!$AA:$AA,"&lt;0"))))</f>
        <v/>
      </c>
      <c r="M84" s="51">
        <f>IF($A84="","",IF((COUNTIFS(RESULTADOS_GRID!$B:$B,$A84,RESULTADOS_GRID!$AB:$AB,"&gt;=0")+COUNTIFS(RESULTADOS_GRID!$B:$B,$A84,RESULTADOS_GRID!$AB:$AB,"&lt;0"))=0,"",SUMIF(RESULTADOS_GRID!$B:$B,$A84,RESULTADOS_GRID!$AB:$AB)/(COUNTIFS(RESULTADOS_GRID!$B:$B,$A84,RESULTADOS_GRID!$AB:$AB,"&gt;=0")+COUNTIFS(RESULTADOS_GRID!$B:$B,$A84,RESULTADOS_GRID!$AB:$AB,"&lt;0"))))</f>
        <v/>
      </c>
      <c r="N84" s="49" t="n"/>
      <c r="O84" s="57">
        <f>IF($I84="","",COUNTIFS($I$2:$I$101,"&lt;"&amp;$I84)+1)</f>
        <v/>
      </c>
      <c r="P84" s="49" t="n"/>
      <c r="Q84" s="49" t="n"/>
      <c r="R84" s="49" t="n"/>
      <c r="S84" s="49" t="n"/>
      <c r="T84" s="49" t="n"/>
      <c r="U84" s="49" t="n"/>
      <c r="V84" s="49" t="n"/>
      <c r="W84" s="49" t="n"/>
    </row>
    <row r="85" ht="15" customHeight="1" s="27">
      <c r="A85" s="49" t="n"/>
      <c r="B85" s="57">
        <f>IF($A85="","",IFERROR(INDEX(RESULTADOS_GRID!$C:$C,MATCH($A85,RESULTADOS_GRID!$B:$B,0)),""))</f>
        <v/>
      </c>
      <c r="C85" s="57">
        <f>IF($A85="","",IFERROR(INDEX(RESULTADOS_GRID!$E:$E,MATCH($A85,RESULTADOS_GRID!$B:$B,0)),""))</f>
        <v/>
      </c>
      <c r="D85" s="57">
        <f>IF($A85="","",IFERROR(INDEX(RESULTADOS_GRID!$D:$D,MATCH($A85,RESULTADOS_GRID!$B:$B,0)),""))</f>
        <v/>
      </c>
      <c r="E85" s="57">
        <f>IF($A85="","",COUNTIF(RESULTADOS_GRID!$B:$B,$A85))</f>
        <v/>
      </c>
      <c r="F85" s="54">
        <f>IF($A85="","",SUMIF(RESULTADOS_GRID!$B:$B,$A85,RESULTADOS_GRID!$X:$X))</f>
        <v/>
      </c>
      <c r="G85" s="53" t="n"/>
      <c r="H85" s="58">
        <f>CONFIG_REFERENCIA!$E$7</f>
        <v/>
      </c>
      <c r="I85" s="54">
        <f>IF($A85="","",$F85+N($G85)*$H85)</f>
        <v/>
      </c>
      <c r="J85" s="54">
        <f>IF($A85="","",IF((COUNTIFS(RESULTADOS_GRID!$B:$B,$A85,RESULTADOS_GRID!$Y:$Y,"&gt;=0")+COUNTIFS(RESULTADOS_GRID!$B:$B,$A85,RESULTADOS_GRID!$Y:$Y,"&lt;0"))=0,"",SUMIF(RESULTADOS_GRID!$B:$B,$A85,RESULTADOS_GRID!$Y:$Y)/(COUNTIFS(RESULTADOS_GRID!$B:$B,$A85,RESULTADOS_GRID!$Y:$Y,"&gt;=0")+COUNTIFS(RESULTADOS_GRID!$B:$B,$A85,RESULTADOS_GRID!$Y:$Y,"&lt;0"))))</f>
        <v/>
      </c>
      <c r="K85" s="54">
        <f>IF($A85="","",IF((COUNTIFS(RESULTADOS_GRID!$B:$B,$A85,RESULTADOS_GRID!$Z:$Z,"&gt;=0")+COUNTIFS(RESULTADOS_GRID!$B:$B,$A85,RESULTADOS_GRID!$Z:$Z,"&lt;0"))=0,"",SUMIF(RESULTADOS_GRID!$B:$B,$A85,RESULTADOS_GRID!$Z:$Z)/(COUNTIFS(RESULTADOS_GRID!$B:$B,$A85,RESULTADOS_GRID!$Z:$Z,"&gt;=0")+COUNTIFS(RESULTADOS_GRID!$B:$B,$A85,RESULTADOS_GRID!$Z:$Z,"&lt;0"))))</f>
        <v/>
      </c>
      <c r="L85" s="51">
        <f>IF($A85="","",IF((COUNTIFS(RESULTADOS_GRID!$B:$B,$A85,RESULTADOS_GRID!$AA:$AA,"&gt;=0")+COUNTIFS(RESULTADOS_GRID!$B:$B,$A85,RESULTADOS_GRID!$AA:$AA,"&lt;0"))=0,"",SUMIF(RESULTADOS_GRID!$B:$B,$A85,RESULTADOS_GRID!$AA:$AA)/(COUNTIFS(RESULTADOS_GRID!$B:$B,$A85,RESULTADOS_GRID!$AA:$AA,"&gt;=0")+COUNTIFS(RESULTADOS_GRID!$B:$B,$A85,RESULTADOS_GRID!$AA:$AA,"&lt;0"))))</f>
        <v/>
      </c>
      <c r="M85" s="51">
        <f>IF($A85="","",IF((COUNTIFS(RESULTADOS_GRID!$B:$B,$A85,RESULTADOS_GRID!$AB:$AB,"&gt;=0")+COUNTIFS(RESULTADOS_GRID!$B:$B,$A85,RESULTADOS_GRID!$AB:$AB,"&lt;0"))=0,"",SUMIF(RESULTADOS_GRID!$B:$B,$A85,RESULTADOS_GRID!$AB:$AB)/(COUNTIFS(RESULTADOS_GRID!$B:$B,$A85,RESULTADOS_GRID!$AB:$AB,"&gt;=0")+COUNTIFS(RESULTADOS_GRID!$B:$B,$A85,RESULTADOS_GRID!$AB:$AB,"&lt;0"))))</f>
        <v/>
      </c>
      <c r="N85" s="49" t="n"/>
      <c r="O85" s="57">
        <f>IF($I85="","",COUNTIFS($I$2:$I$101,"&lt;"&amp;$I85)+1)</f>
        <v/>
      </c>
      <c r="P85" s="49" t="n"/>
      <c r="Q85" s="49" t="n"/>
      <c r="R85" s="49" t="n"/>
      <c r="S85" s="49" t="n"/>
      <c r="T85" s="49" t="n"/>
      <c r="U85" s="49" t="n"/>
      <c r="V85" s="49" t="n"/>
      <c r="W85" s="49" t="n"/>
    </row>
    <row r="86" ht="15" customHeight="1" s="27">
      <c r="A86" s="49" t="n"/>
      <c r="B86" s="57">
        <f>IF($A86="","",IFERROR(INDEX(RESULTADOS_GRID!$C:$C,MATCH($A86,RESULTADOS_GRID!$B:$B,0)),""))</f>
        <v/>
      </c>
      <c r="C86" s="57">
        <f>IF($A86="","",IFERROR(INDEX(RESULTADOS_GRID!$E:$E,MATCH($A86,RESULTADOS_GRID!$B:$B,0)),""))</f>
        <v/>
      </c>
      <c r="D86" s="57">
        <f>IF($A86="","",IFERROR(INDEX(RESULTADOS_GRID!$D:$D,MATCH($A86,RESULTADOS_GRID!$B:$B,0)),""))</f>
        <v/>
      </c>
      <c r="E86" s="57">
        <f>IF($A86="","",COUNTIF(RESULTADOS_GRID!$B:$B,$A86))</f>
        <v/>
      </c>
      <c r="F86" s="54">
        <f>IF($A86="","",SUMIF(RESULTADOS_GRID!$B:$B,$A86,RESULTADOS_GRID!$X:$X))</f>
        <v/>
      </c>
      <c r="G86" s="53" t="n"/>
      <c r="H86" s="58">
        <f>CONFIG_REFERENCIA!$E$7</f>
        <v/>
      </c>
      <c r="I86" s="54">
        <f>IF($A86="","",$F86+N($G86)*$H86)</f>
        <v/>
      </c>
      <c r="J86" s="54">
        <f>IF($A86="","",IF((COUNTIFS(RESULTADOS_GRID!$B:$B,$A86,RESULTADOS_GRID!$Y:$Y,"&gt;=0")+COUNTIFS(RESULTADOS_GRID!$B:$B,$A86,RESULTADOS_GRID!$Y:$Y,"&lt;0"))=0,"",SUMIF(RESULTADOS_GRID!$B:$B,$A86,RESULTADOS_GRID!$Y:$Y)/(COUNTIFS(RESULTADOS_GRID!$B:$B,$A86,RESULTADOS_GRID!$Y:$Y,"&gt;=0")+COUNTIFS(RESULTADOS_GRID!$B:$B,$A86,RESULTADOS_GRID!$Y:$Y,"&lt;0"))))</f>
        <v/>
      </c>
      <c r="K86" s="54">
        <f>IF($A86="","",IF((COUNTIFS(RESULTADOS_GRID!$B:$B,$A86,RESULTADOS_GRID!$Z:$Z,"&gt;=0")+COUNTIFS(RESULTADOS_GRID!$B:$B,$A86,RESULTADOS_GRID!$Z:$Z,"&lt;0"))=0,"",SUMIF(RESULTADOS_GRID!$B:$B,$A86,RESULTADOS_GRID!$Z:$Z)/(COUNTIFS(RESULTADOS_GRID!$B:$B,$A86,RESULTADOS_GRID!$Z:$Z,"&gt;=0")+COUNTIFS(RESULTADOS_GRID!$B:$B,$A86,RESULTADOS_GRID!$Z:$Z,"&lt;0"))))</f>
        <v/>
      </c>
      <c r="L86" s="51">
        <f>IF($A86="","",IF((COUNTIFS(RESULTADOS_GRID!$B:$B,$A86,RESULTADOS_GRID!$AA:$AA,"&gt;=0")+COUNTIFS(RESULTADOS_GRID!$B:$B,$A86,RESULTADOS_GRID!$AA:$AA,"&lt;0"))=0,"",SUMIF(RESULTADOS_GRID!$B:$B,$A86,RESULTADOS_GRID!$AA:$AA)/(COUNTIFS(RESULTADOS_GRID!$B:$B,$A86,RESULTADOS_GRID!$AA:$AA,"&gt;=0")+COUNTIFS(RESULTADOS_GRID!$B:$B,$A86,RESULTADOS_GRID!$AA:$AA,"&lt;0"))))</f>
        <v/>
      </c>
      <c r="M86" s="51">
        <f>IF($A86="","",IF((COUNTIFS(RESULTADOS_GRID!$B:$B,$A86,RESULTADOS_GRID!$AB:$AB,"&gt;=0")+COUNTIFS(RESULTADOS_GRID!$B:$B,$A86,RESULTADOS_GRID!$AB:$AB,"&lt;0"))=0,"",SUMIF(RESULTADOS_GRID!$B:$B,$A86,RESULTADOS_GRID!$AB:$AB)/(COUNTIFS(RESULTADOS_GRID!$B:$B,$A86,RESULTADOS_GRID!$AB:$AB,"&gt;=0")+COUNTIFS(RESULTADOS_GRID!$B:$B,$A86,RESULTADOS_GRID!$AB:$AB,"&lt;0"))))</f>
        <v/>
      </c>
      <c r="N86" s="49" t="n"/>
      <c r="O86" s="57">
        <f>IF($I86="","",COUNTIFS($I$2:$I$101,"&lt;"&amp;$I86)+1)</f>
        <v/>
      </c>
      <c r="P86" s="49" t="n"/>
      <c r="Q86" s="49" t="n"/>
      <c r="R86" s="49" t="n"/>
      <c r="S86" s="49" t="n"/>
      <c r="T86" s="49" t="n"/>
      <c r="U86" s="49" t="n"/>
      <c r="V86" s="49" t="n"/>
      <c r="W86" s="49" t="n"/>
    </row>
    <row r="87" ht="15" customHeight="1" s="27">
      <c r="A87" s="49" t="n"/>
      <c r="B87" s="57">
        <f>IF($A87="","",IFERROR(INDEX(RESULTADOS_GRID!$C:$C,MATCH($A87,RESULTADOS_GRID!$B:$B,0)),""))</f>
        <v/>
      </c>
      <c r="C87" s="57">
        <f>IF($A87="","",IFERROR(INDEX(RESULTADOS_GRID!$E:$E,MATCH($A87,RESULTADOS_GRID!$B:$B,0)),""))</f>
        <v/>
      </c>
      <c r="D87" s="57">
        <f>IF($A87="","",IFERROR(INDEX(RESULTADOS_GRID!$D:$D,MATCH($A87,RESULTADOS_GRID!$B:$B,0)),""))</f>
        <v/>
      </c>
      <c r="E87" s="57">
        <f>IF($A87="","",COUNTIF(RESULTADOS_GRID!$B:$B,$A87))</f>
        <v/>
      </c>
      <c r="F87" s="54">
        <f>IF($A87="","",SUMIF(RESULTADOS_GRID!$B:$B,$A87,RESULTADOS_GRID!$X:$X))</f>
        <v/>
      </c>
      <c r="G87" s="53" t="n"/>
      <c r="H87" s="58">
        <f>CONFIG_REFERENCIA!$E$7</f>
        <v/>
      </c>
      <c r="I87" s="54">
        <f>IF($A87="","",$F87+N($G87)*$H87)</f>
        <v/>
      </c>
      <c r="J87" s="54">
        <f>IF($A87="","",IF((COUNTIFS(RESULTADOS_GRID!$B:$B,$A87,RESULTADOS_GRID!$Y:$Y,"&gt;=0")+COUNTIFS(RESULTADOS_GRID!$B:$B,$A87,RESULTADOS_GRID!$Y:$Y,"&lt;0"))=0,"",SUMIF(RESULTADOS_GRID!$B:$B,$A87,RESULTADOS_GRID!$Y:$Y)/(COUNTIFS(RESULTADOS_GRID!$B:$B,$A87,RESULTADOS_GRID!$Y:$Y,"&gt;=0")+COUNTIFS(RESULTADOS_GRID!$B:$B,$A87,RESULTADOS_GRID!$Y:$Y,"&lt;0"))))</f>
        <v/>
      </c>
      <c r="K87" s="54">
        <f>IF($A87="","",IF((COUNTIFS(RESULTADOS_GRID!$B:$B,$A87,RESULTADOS_GRID!$Z:$Z,"&gt;=0")+COUNTIFS(RESULTADOS_GRID!$B:$B,$A87,RESULTADOS_GRID!$Z:$Z,"&lt;0"))=0,"",SUMIF(RESULTADOS_GRID!$B:$B,$A87,RESULTADOS_GRID!$Z:$Z)/(COUNTIFS(RESULTADOS_GRID!$B:$B,$A87,RESULTADOS_GRID!$Z:$Z,"&gt;=0")+COUNTIFS(RESULTADOS_GRID!$B:$B,$A87,RESULTADOS_GRID!$Z:$Z,"&lt;0"))))</f>
        <v/>
      </c>
      <c r="L87" s="51">
        <f>IF($A87="","",IF((COUNTIFS(RESULTADOS_GRID!$B:$B,$A87,RESULTADOS_GRID!$AA:$AA,"&gt;=0")+COUNTIFS(RESULTADOS_GRID!$B:$B,$A87,RESULTADOS_GRID!$AA:$AA,"&lt;0"))=0,"",SUMIF(RESULTADOS_GRID!$B:$B,$A87,RESULTADOS_GRID!$AA:$AA)/(COUNTIFS(RESULTADOS_GRID!$B:$B,$A87,RESULTADOS_GRID!$AA:$AA,"&gt;=0")+COUNTIFS(RESULTADOS_GRID!$B:$B,$A87,RESULTADOS_GRID!$AA:$AA,"&lt;0"))))</f>
        <v/>
      </c>
      <c r="M87" s="51">
        <f>IF($A87="","",IF((COUNTIFS(RESULTADOS_GRID!$B:$B,$A87,RESULTADOS_GRID!$AB:$AB,"&gt;=0")+COUNTIFS(RESULTADOS_GRID!$B:$B,$A87,RESULTADOS_GRID!$AB:$AB,"&lt;0"))=0,"",SUMIF(RESULTADOS_GRID!$B:$B,$A87,RESULTADOS_GRID!$AB:$AB)/(COUNTIFS(RESULTADOS_GRID!$B:$B,$A87,RESULTADOS_GRID!$AB:$AB,"&gt;=0")+COUNTIFS(RESULTADOS_GRID!$B:$B,$A87,RESULTADOS_GRID!$AB:$AB,"&lt;0"))))</f>
        <v/>
      </c>
      <c r="N87" s="49" t="n"/>
      <c r="O87" s="57">
        <f>IF($I87="","",COUNTIFS($I$2:$I$101,"&lt;"&amp;$I87)+1)</f>
        <v/>
      </c>
      <c r="P87" s="49" t="n"/>
      <c r="Q87" s="49" t="n"/>
      <c r="R87" s="49" t="n"/>
      <c r="S87" s="49" t="n"/>
      <c r="T87" s="49" t="n"/>
      <c r="U87" s="49" t="n"/>
      <c r="V87" s="49" t="n"/>
      <c r="W87" s="49" t="n"/>
    </row>
    <row r="88" ht="15" customHeight="1" s="27">
      <c r="A88" s="49" t="n"/>
      <c r="B88" s="57">
        <f>IF($A88="","",IFERROR(INDEX(RESULTADOS_GRID!$C:$C,MATCH($A88,RESULTADOS_GRID!$B:$B,0)),""))</f>
        <v/>
      </c>
      <c r="C88" s="57">
        <f>IF($A88="","",IFERROR(INDEX(RESULTADOS_GRID!$E:$E,MATCH($A88,RESULTADOS_GRID!$B:$B,0)),""))</f>
        <v/>
      </c>
      <c r="D88" s="57">
        <f>IF($A88="","",IFERROR(INDEX(RESULTADOS_GRID!$D:$D,MATCH($A88,RESULTADOS_GRID!$B:$B,0)),""))</f>
        <v/>
      </c>
      <c r="E88" s="57">
        <f>IF($A88="","",COUNTIF(RESULTADOS_GRID!$B:$B,$A88))</f>
        <v/>
      </c>
      <c r="F88" s="54">
        <f>IF($A88="","",SUMIF(RESULTADOS_GRID!$B:$B,$A88,RESULTADOS_GRID!$X:$X))</f>
        <v/>
      </c>
      <c r="G88" s="53" t="n"/>
      <c r="H88" s="58">
        <f>CONFIG_REFERENCIA!$E$7</f>
        <v/>
      </c>
      <c r="I88" s="54">
        <f>IF($A88="","",$F88+N($G88)*$H88)</f>
        <v/>
      </c>
      <c r="J88" s="54">
        <f>IF($A88="","",IF((COUNTIFS(RESULTADOS_GRID!$B:$B,$A88,RESULTADOS_GRID!$Y:$Y,"&gt;=0")+COUNTIFS(RESULTADOS_GRID!$B:$B,$A88,RESULTADOS_GRID!$Y:$Y,"&lt;0"))=0,"",SUMIF(RESULTADOS_GRID!$B:$B,$A88,RESULTADOS_GRID!$Y:$Y)/(COUNTIFS(RESULTADOS_GRID!$B:$B,$A88,RESULTADOS_GRID!$Y:$Y,"&gt;=0")+COUNTIFS(RESULTADOS_GRID!$B:$B,$A88,RESULTADOS_GRID!$Y:$Y,"&lt;0"))))</f>
        <v/>
      </c>
      <c r="K88" s="54">
        <f>IF($A88="","",IF((COUNTIFS(RESULTADOS_GRID!$B:$B,$A88,RESULTADOS_GRID!$Z:$Z,"&gt;=0")+COUNTIFS(RESULTADOS_GRID!$B:$B,$A88,RESULTADOS_GRID!$Z:$Z,"&lt;0"))=0,"",SUMIF(RESULTADOS_GRID!$B:$B,$A88,RESULTADOS_GRID!$Z:$Z)/(COUNTIFS(RESULTADOS_GRID!$B:$B,$A88,RESULTADOS_GRID!$Z:$Z,"&gt;=0")+COUNTIFS(RESULTADOS_GRID!$B:$B,$A88,RESULTADOS_GRID!$Z:$Z,"&lt;0"))))</f>
        <v/>
      </c>
      <c r="L88" s="51">
        <f>IF($A88="","",IF((COUNTIFS(RESULTADOS_GRID!$B:$B,$A88,RESULTADOS_GRID!$AA:$AA,"&gt;=0")+COUNTIFS(RESULTADOS_GRID!$B:$B,$A88,RESULTADOS_GRID!$AA:$AA,"&lt;0"))=0,"",SUMIF(RESULTADOS_GRID!$B:$B,$A88,RESULTADOS_GRID!$AA:$AA)/(COUNTIFS(RESULTADOS_GRID!$B:$B,$A88,RESULTADOS_GRID!$AA:$AA,"&gt;=0")+COUNTIFS(RESULTADOS_GRID!$B:$B,$A88,RESULTADOS_GRID!$AA:$AA,"&lt;0"))))</f>
        <v/>
      </c>
      <c r="M88" s="51">
        <f>IF($A88="","",IF((COUNTIFS(RESULTADOS_GRID!$B:$B,$A88,RESULTADOS_GRID!$AB:$AB,"&gt;=0")+COUNTIFS(RESULTADOS_GRID!$B:$B,$A88,RESULTADOS_GRID!$AB:$AB,"&lt;0"))=0,"",SUMIF(RESULTADOS_GRID!$B:$B,$A88,RESULTADOS_GRID!$AB:$AB)/(COUNTIFS(RESULTADOS_GRID!$B:$B,$A88,RESULTADOS_GRID!$AB:$AB,"&gt;=0")+COUNTIFS(RESULTADOS_GRID!$B:$B,$A88,RESULTADOS_GRID!$AB:$AB,"&lt;0"))))</f>
        <v/>
      </c>
      <c r="N88" s="49" t="n"/>
      <c r="O88" s="57">
        <f>IF($I88="","",COUNTIFS($I$2:$I$101,"&lt;"&amp;$I88)+1)</f>
        <v/>
      </c>
      <c r="P88" s="49" t="n"/>
      <c r="Q88" s="49" t="n"/>
      <c r="R88" s="49" t="n"/>
      <c r="S88" s="49" t="n"/>
      <c r="T88" s="49" t="n"/>
      <c r="U88" s="49" t="n"/>
      <c r="V88" s="49" t="n"/>
      <c r="W88" s="49" t="n"/>
    </row>
    <row r="89" ht="15" customHeight="1" s="27">
      <c r="A89" s="49" t="n"/>
      <c r="B89" s="57">
        <f>IF($A89="","",IFERROR(INDEX(RESULTADOS_GRID!$C:$C,MATCH($A89,RESULTADOS_GRID!$B:$B,0)),""))</f>
        <v/>
      </c>
      <c r="C89" s="57">
        <f>IF($A89="","",IFERROR(INDEX(RESULTADOS_GRID!$E:$E,MATCH($A89,RESULTADOS_GRID!$B:$B,0)),""))</f>
        <v/>
      </c>
      <c r="D89" s="57">
        <f>IF($A89="","",IFERROR(INDEX(RESULTADOS_GRID!$D:$D,MATCH($A89,RESULTADOS_GRID!$B:$B,0)),""))</f>
        <v/>
      </c>
      <c r="E89" s="57">
        <f>IF($A89="","",COUNTIF(RESULTADOS_GRID!$B:$B,$A89))</f>
        <v/>
      </c>
      <c r="F89" s="54">
        <f>IF($A89="","",SUMIF(RESULTADOS_GRID!$B:$B,$A89,RESULTADOS_GRID!$X:$X))</f>
        <v/>
      </c>
      <c r="G89" s="53" t="n"/>
      <c r="H89" s="58">
        <f>CONFIG_REFERENCIA!$E$7</f>
        <v/>
      </c>
      <c r="I89" s="54">
        <f>IF($A89="","",$F89+N($G89)*$H89)</f>
        <v/>
      </c>
      <c r="J89" s="54">
        <f>IF($A89="","",IF((COUNTIFS(RESULTADOS_GRID!$B:$B,$A89,RESULTADOS_GRID!$Y:$Y,"&gt;=0")+COUNTIFS(RESULTADOS_GRID!$B:$B,$A89,RESULTADOS_GRID!$Y:$Y,"&lt;0"))=0,"",SUMIF(RESULTADOS_GRID!$B:$B,$A89,RESULTADOS_GRID!$Y:$Y)/(COUNTIFS(RESULTADOS_GRID!$B:$B,$A89,RESULTADOS_GRID!$Y:$Y,"&gt;=0")+COUNTIFS(RESULTADOS_GRID!$B:$B,$A89,RESULTADOS_GRID!$Y:$Y,"&lt;0"))))</f>
        <v/>
      </c>
      <c r="K89" s="54">
        <f>IF($A89="","",IF((COUNTIFS(RESULTADOS_GRID!$B:$B,$A89,RESULTADOS_GRID!$Z:$Z,"&gt;=0")+COUNTIFS(RESULTADOS_GRID!$B:$B,$A89,RESULTADOS_GRID!$Z:$Z,"&lt;0"))=0,"",SUMIF(RESULTADOS_GRID!$B:$B,$A89,RESULTADOS_GRID!$Z:$Z)/(COUNTIFS(RESULTADOS_GRID!$B:$B,$A89,RESULTADOS_GRID!$Z:$Z,"&gt;=0")+COUNTIFS(RESULTADOS_GRID!$B:$B,$A89,RESULTADOS_GRID!$Z:$Z,"&lt;0"))))</f>
        <v/>
      </c>
      <c r="L89" s="51">
        <f>IF($A89="","",IF((COUNTIFS(RESULTADOS_GRID!$B:$B,$A89,RESULTADOS_GRID!$AA:$AA,"&gt;=0")+COUNTIFS(RESULTADOS_GRID!$B:$B,$A89,RESULTADOS_GRID!$AA:$AA,"&lt;0"))=0,"",SUMIF(RESULTADOS_GRID!$B:$B,$A89,RESULTADOS_GRID!$AA:$AA)/(COUNTIFS(RESULTADOS_GRID!$B:$B,$A89,RESULTADOS_GRID!$AA:$AA,"&gt;=0")+COUNTIFS(RESULTADOS_GRID!$B:$B,$A89,RESULTADOS_GRID!$AA:$AA,"&lt;0"))))</f>
        <v/>
      </c>
      <c r="M89" s="51">
        <f>IF($A89="","",IF((COUNTIFS(RESULTADOS_GRID!$B:$B,$A89,RESULTADOS_GRID!$AB:$AB,"&gt;=0")+COUNTIFS(RESULTADOS_GRID!$B:$B,$A89,RESULTADOS_GRID!$AB:$AB,"&lt;0"))=0,"",SUMIF(RESULTADOS_GRID!$B:$B,$A89,RESULTADOS_GRID!$AB:$AB)/(COUNTIFS(RESULTADOS_GRID!$B:$B,$A89,RESULTADOS_GRID!$AB:$AB,"&gt;=0")+COUNTIFS(RESULTADOS_GRID!$B:$B,$A89,RESULTADOS_GRID!$AB:$AB,"&lt;0"))))</f>
        <v/>
      </c>
      <c r="N89" s="49" t="n"/>
      <c r="O89" s="57">
        <f>IF($I89="","",COUNTIFS($I$2:$I$101,"&lt;"&amp;$I89)+1)</f>
        <v/>
      </c>
      <c r="P89" s="49" t="n"/>
      <c r="Q89" s="49" t="n"/>
      <c r="R89" s="49" t="n"/>
      <c r="S89" s="49" t="n"/>
      <c r="T89" s="49" t="n"/>
      <c r="U89" s="49" t="n"/>
      <c r="V89" s="49" t="n"/>
      <c r="W89" s="49" t="n"/>
    </row>
    <row r="90" ht="15" customHeight="1" s="27">
      <c r="A90" s="49" t="n"/>
      <c r="B90" s="57">
        <f>IF($A90="","",IFERROR(INDEX(RESULTADOS_GRID!$C:$C,MATCH($A90,RESULTADOS_GRID!$B:$B,0)),""))</f>
        <v/>
      </c>
      <c r="C90" s="57">
        <f>IF($A90="","",IFERROR(INDEX(RESULTADOS_GRID!$E:$E,MATCH($A90,RESULTADOS_GRID!$B:$B,0)),""))</f>
        <v/>
      </c>
      <c r="D90" s="57">
        <f>IF($A90="","",IFERROR(INDEX(RESULTADOS_GRID!$D:$D,MATCH($A90,RESULTADOS_GRID!$B:$B,0)),""))</f>
        <v/>
      </c>
      <c r="E90" s="57">
        <f>IF($A90="","",COUNTIF(RESULTADOS_GRID!$B:$B,$A90))</f>
        <v/>
      </c>
      <c r="F90" s="54">
        <f>IF($A90="","",SUMIF(RESULTADOS_GRID!$B:$B,$A90,RESULTADOS_GRID!$X:$X))</f>
        <v/>
      </c>
      <c r="G90" s="53" t="n"/>
      <c r="H90" s="58">
        <f>CONFIG_REFERENCIA!$E$7</f>
        <v/>
      </c>
      <c r="I90" s="54">
        <f>IF($A90="","",$F90+N($G90)*$H90)</f>
        <v/>
      </c>
      <c r="J90" s="54">
        <f>IF($A90="","",IF((COUNTIFS(RESULTADOS_GRID!$B:$B,$A90,RESULTADOS_GRID!$Y:$Y,"&gt;=0")+COUNTIFS(RESULTADOS_GRID!$B:$B,$A90,RESULTADOS_GRID!$Y:$Y,"&lt;0"))=0,"",SUMIF(RESULTADOS_GRID!$B:$B,$A90,RESULTADOS_GRID!$Y:$Y)/(COUNTIFS(RESULTADOS_GRID!$B:$B,$A90,RESULTADOS_GRID!$Y:$Y,"&gt;=0")+COUNTIFS(RESULTADOS_GRID!$B:$B,$A90,RESULTADOS_GRID!$Y:$Y,"&lt;0"))))</f>
        <v/>
      </c>
      <c r="K90" s="54">
        <f>IF($A90="","",IF((COUNTIFS(RESULTADOS_GRID!$B:$B,$A90,RESULTADOS_GRID!$Z:$Z,"&gt;=0")+COUNTIFS(RESULTADOS_GRID!$B:$B,$A90,RESULTADOS_GRID!$Z:$Z,"&lt;0"))=0,"",SUMIF(RESULTADOS_GRID!$B:$B,$A90,RESULTADOS_GRID!$Z:$Z)/(COUNTIFS(RESULTADOS_GRID!$B:$B,$A90,RESULTADOS_GRID!$Z:$Z,"&gt;=0")+COUNTIFS(RESULTADOS_GRID!$B:$B,$A90,RESULTADOS_GRID!$Z:$Z,"&lt;0"))))</f>
        <v/>
      </c>
      <c r="L90" s="51">
        <f>IF($A90="","",IF((COUNTIFS(RESULTADOS_GRID!$B:$B,$A90,RESULTADOS_GRID!$AA:$AA,"&gt;=0")+COUNTIFS(RESULTADOS_GRID!$B:$B,$A90,RESULTADOS_GRID!$AA:$AA,"&lt;0"))=0,"",SUMIF(RESULTADOS_GRID!$B:$B,$A90,RESULTADOS_GRID!$AA:$AA)/(COUNTIFS(RESULTADOS_GRID!$B:$B,$A90,RESULTADOS_GRID!$AA:$AA,"&gt;=0")+COUNTIFS(RESULTADOS_GRID!$B:$B,$A90,RESULTADOS_GRID!$AA:$AA,"&lt;0"))))</f>
        <v/>
      </c>
      <c r="M90" s="51">
        <f>IF($A90="","",IF((COUNTIFS(RESULTADOS_GRID!$B:$B,$A90,RESULTADOS_GRID!$AB:$AB,"&gt;=0")+COUNTIFS(RESULTADOS_GRID!$B:$B,$A90,RESULTADOS_GRID!$AB:$AB,"&lt;0"))=0,"",SUMIF(RESULTADOS_GRID!$B:$B,$A90,RESULTADOS_GRID!$AB:$AB)/(COUNTIFS(RESULTADOS_GRID!$B:$B,$A90,RESULTADOS_GRID!$AB:$AB,"&gt;=0")+COUNTIFS(RESULTADOS_GRID!$B:$B,$A90,RESULTADOS_GRID!$AB:$AB,"&lt;0"))))</f>
        <v/>
      </c>
      <c r="N90" s="49" t="n"/>
      <c r="O90" s="57">
        <f>IF($I90="","",COUNTIFS($I$2:$I$101,"&lt;"&amp;$I90)+1)</f>
        <v/>
      </c>
      <c r="P90" s="49" t="n"/>
      <c r="Q90" s="49" t="n"/>
      <c r="R90" s="49" t="n"/>
      <c r="S90" s="49" t="n"/>
      <c r="T90" s="49" t="n"/>
      <c r="U90" s="49" t="n"/>
      <c r="V90" s="49" t="n"/>
      <c r="W90" s="49" t="n"/>
    </row>
    <row r="91" ht="15" customHeight="1" s="27">
      <c r="A91" s="49" t="n"/>
      <c r="B91" s="57">
        <f>IF($A91="","",IFERROR(INDEX(RESULTADOS_GRID!$C:$C,MATCH($A91,RESULTADOS_GRID!$B:$B,0)),""))</f>
        <v/>
      </c>
      <c r="C91" s="57">
        <f>IF($A91="","",IFERROR(INDEX(RESULTADOS_GRID!$E:$E,MATCH($A91,RESULTADOS_GRID!$B:$B,0)),""))</f>
        <v/>
      </c>
      <c r="D91" s="57">
        <f>IF($A91="","",IFERROR(INDEX(RESULTADOS_GRID!$D:$D,MATCH($A91,RESULTADOS_GRID!$B:$B,0)),""))</f>
        <v/>
      </c>
      <c r="E91" s="57">
        <f>IF($A91="","",COUNTIF(RESULTADOS_GRID!$B:$B,$A91))</f>
        <v/>
      </c>
      <c r="F91" s="54">
        <f>IF($A91="","",SUMIF(RESULTADOS_GRID!$B:$B,$A91,RESULTADOS_GRID!$X:$X))</f>
        <v/>
      </c>
      <c r="G91" s="53" t="n"/>
      <c r="H91" s="58">
        <f>CONFIG_REFERENCIA!$E$7</f>
        <v/>
      </c>
      <c r="I91" s="54">
        <f>IF($A91="","",$F91+N($G91)*$H91)</f>
        <v/>
      </c>
      <c r="J91" s="54">
        <f>IF($A91="","",IF((COUNTIFS(RESULTADOS_GRID!$B:$B,$A91,RESULTADOS_GRID!$Y:$Y,"&gt;=0")+COUNTIFS(RESULTADOS_GRID!$B:$B,$A91,RESULTADOS_GRID!$Y:$Y,"&lt;0"))=0,"",SUMIF(RESULTADOS_GRID!$B:$B,$A91,RESULTADOS_GRID!$Y:$Y)/(COUNTIFS(RESULTADOS_GRID!$B:$B,$A91,RESULTADOS_GRID!$Y:$Y,"&gt;=0")+COUNTIFS(RESULTADOS_GRID!$B:$B,$A91,RESULTADOS_GRID!$Y:$Y,"&lt;0"))))</f>
        <v/>
      </c>
      <c r="K91" s="54">
        <f>IF($A91="","",IF((COUNTIFS(RESULTADOS_GRID!$B:$B,$A91,RESULTADOS_GRID!$Z:$Z,"&gt;=0")+COUNTIFS(RESULTADOS_GRID!$B:$B,$A91,RESULTADOS_GRID!$Z:$Z,"&lt;0"))=0,"",SUMIF(RESULTADOS_GRID!$B:$B,$A91,RESULTADOS_GRID!$Z:$Z)/(COUNTIFS(RESULTADOS_GRID!$B:$B,$A91,RESULTADOS_GRID!$Z:$Z,"&gt;=0")+COUNTIFS(RESULTADOS_GRID!$B:$B,$A91,RESULTADOS_GRID!$Z:$Z,"&lt;0"))))</f>
        <v/>
      </c>
      <c r="L91" s="51">
        <f>IF($A91="","",IF((COUNTIFS(RESULTADOS_GRID!$B:$B,$A91,RESULTADOS_GRID!$AA:$AA,"&gt;=0")+COUNTIFS(RESULTADOS_GRID!$B:$B,$A91,RESULTADOS_GRID!$AA:$AA,"&lt;0"))=0,"",SUMIF(RESULTADOS_GRID!$B:$B,$A91,RESULTADOS_GRID!$AA:$AA)/(COUNTIFS(RESULTADOS_GRID!$B:$B,$A91,RESULTADOS_GRID!$AA:$AA,"&gt;=0")+COUNTIFS(RESULTADOS_GRID!$B:$B,$A91,RESULTADOS_GRID!$AA:$AA,"&lt;0"))))</f>
        <v/>
      </c>
      <c r="M91" s="51">
        <f>IF($A91="","",IF((COUNTIFS(RESULTADOS_GRID!$B:$B,$A91,RESULTADOS_GRID!$AB:$AB,"&gt;=0")+COUNTIFS(RESULTADOS_GRID!$B:$B,$A91,RESULTADOS_GRID!$AB:$AB,"&lt;0"))=0,"",SUMIF(RESULTADOS_GRID!$B:$B,$A91,RESULTADOS_GRID!$AB:$AB)/(COUNTIFS(RESULTADOS_GRID!$B:$B,$A91,RESULTADOS_GRID!$AB:$AB,"&gt;=0")+COUNTIFS(RESULTADOS_GRID!$B:$B,$A91,RESULTADOS_GRID!$AB:$AB,"&lt;0"))))</f>
        <v/>
      </c>
      <c r="N91" s="49" t="n"/>
      <c r="O91" s="57">
        <f>IF($I91="","",COUNTIFS($I$2:$I$101,"&lt;"&amp;$I91)+1)</f>
        <v/>
      </c>
      <c r="P91" s="49" t="n"/>
      <c r="Q91" s="49" t="n"/>
      <c r="R91" s="49" t="n"/>
      <c r="S91" s="49" t="n"/>
      <c r="T91" s="49" t="n"/>
      <c r="U91" s="49" t="n"/>
      <c r="V91" s="49" t="n"/>
      <c r="W91" s="49" t="n"/>
    </row>
    <row r="92" ht="15" customHeight="1" s="27">
      <c r="A92" s="49" t="n"/>
      <c r="B92" s="57">
        <f>IF($A92="","",IFERROR(INDEX(RESULTADOS_GRID!$C:$C,MATCH($A92,RESULTADOS_GRID!$B:$B,0)),""))</f>
        <v/>
      </c>
      <c r="C92" s="57">
        <f>IF($A92="","",IFERROR(INDEX(RESULTADOS_GRID!$E:$E,MATCH($A92,RESULTADOS_GRID!$B:$B,0)),""))</f>
        <v/>
      </c>
      <c r="D92" s="57">
        <f>IF($A92="","",IFERROR(INDEX(RESULTADOS_GRID!$D:$D,MATCH($A92,RESULTADOS_GRID!$B:$B,0)),""))</f>
        <v/>
      </c>
      <c r="E92" s="57">
        <f>IF($A92="","",COUNTIF(RESULTADOS_GRID!$B:$B,$A92))</f>
        <v/>
      </c>
      <c r="F92" s="54">
        <f>IF($A92="","",SUMIF(RESULTADOS_GRID!$B:$B,$A92,RESULTADOS_GRID!$X:$X))</f>
        <v/>
      </c>
      <c r="G92" s="53" t="n"/>
      <c r="H92" s="58">
        <f>CONFIG_REFERENCIA!$E$7</f>
        <v/>
      </c>
      <c r="I92" s="54">
        <f>IF($A92="","",$F92+N($G92)*$H92)</f>
        <v/>
      </c>
      <c r="J92" s="54">
        <f>IF($A92="","",IF((COUNTIFS(RESULTADOS_GRID!$B:$B,$A92,RESULTADOS_GRID!$Y:$Y,"&gt;=0")+COUNTIFS(RESULTADOS_GRID!$B:$B,$A92,RESULTADOS_GRID!$Y:$Y,"&lt;0"))=0,"",SUMIF(RESULTADOS_GRID!$B:$B,$A92,RESULTADOS_GRID!$Y:$Y)/(COUNTIFS(RESULTADOS_GRID!$B:$B,$A92,RESULTADOS_GRID!$Y:$Y,"&gt;=0")+COUNTIFS(RESULTADOS_GRID!$B:$B,$A92,RESULTADOS_GRID!$Y:$Y,"&lt;0"))))</f>
        <v/>
      </c>
      <c r="K92" s="54">
        <f>IF($A92="","",IF((COUNTIFS(RESULTADOS_GRID!$B:$B,$A92,RESULTADOS_GRID!$Z:$Z,"&gt;=0")+COUNTIFS(RESULTADOS_GRID!$B:$B,$A92,RESULTADOS_GRID!$Z:$Z,"&lt;0"))=0,"",SUMIF(RESULTADOS_GRID!$B:$B,$A92,RESULTADOS_GRID!$Z:$Z)/(COUNTIFS(RESULTADOS_GRID!$B:$B,$A92,RESULTADOS_GRID!$Z:$Z,"&gt;=0")+COUNTIFS(RESULTADOS_GRID!$B:$B,$A92,RESULTADOS_GRID!$Z:$Z,"&lt;0"))))</f>
        <v/>
      </c>
      <c r="L92" s="51">
        <f>IF($A92="","",IF((COUNTIFS(RESULTADOS_GRID!$B:$B,$A92,RESULTADOS_GRID!$AA:$AA,"&gt;=0")+COUNTIFS(RESULTADOS_GRID!$B:$B,$A92,RESULTADOS_GRID!$AA:$AA,"&lt;0"))=0,"",SUMIF(RESULTADOS_GRID!$B:$B,$A92,RESULTADOS_GRID!$AA:$AA)/(COUNTIFS(RESULTADOS_GRID!$B:$B,$A92,RESULTADOS_GRID!$AA:$AA,"&gt;=0")+COUNTIFS(RESULTADOS_GRID!$B:$B,$A92,RESULTADOS_GRID!$AA:$AA,"&lt;0"))))</f>
        <v/>
      </c>
      <c r="M92" s="51">
        <f>IF($A92="","",IF((COUNTIFS(RESULTADOS_GRID!$B:$B,$A92,RESULTADOS_GRID!$AB:$AB,"&gt;=0")+COUNTIFS(RESULTADOS_GRID!$B:$B,$A92,RESULTADOS_GRID!$AB:$AB,"&lt;0"))=0,"",SUMIF(RESULTADOS_GRID!$B:$B,$A92,RESULTADOS_GRID!$AB:$AB)/(COUNTIFS(RESULTADOS_GRID!$B:$B,$A92,RESULTADOS_GRID!$AB:$AB,"&gt;=0")+COUNTIFS(RESULTADOS_GRID!$B:$B,$A92,RESULTADOS_GRID!$AB:$AB,"&lt;0"))))</f>
        <v/>
      </c>
      <c r="N92" s="49" t="n"/>
      <c r="O92" s="57">
        <f>IF($I92="","",COUNTIFS($I$2:$I$101,"&lt;"&amp;$I92)+1)</f>
        <v/>
      </c>
      <c r="P92" s="49" t="n"/>
      <c r="Q92" s="49" t="n"/>
      <c r="R92" s="49" t="n"/>
      <c r="S92" s="49" t="n"/>
      <c r="T92" s="49" t="n"/>
      <c r="U92" s="49" t="n"/>
      <c r="V92" s="49" t="n"/>
      <c r="W92" s="49" t="n"/>
    </row>
    <row r="93" ht="15" customHeight="1" s="27">
      <c r="A93" s="49" t="n"/>
      <c r="B93" s="57">
        <f>IF($A93="","",IFERROR(INDEX(RESULTADOS_GRID!$C:$C,MATCH($A93,RESULTADOS_GRID!$B:$B,0)),""))</f>
        <v/>
      </c>
      <c r="C93" s="57">
        <f>IF($A93="","",IFERROR(INDEX(RESULTADOS_GRID!$E:$E,MATCH($A93,RESULTADOS_GRID!$B:$B,0)),""))</f>
        <v/>
      </c>
      <c r="D93" s="57">
        <f>IF($A93="","",IFERROR(INDEX(RESULTADOS_GRID!$D:$D,MATCH($A93,RESULTADOS_GRID!$B:$B,0)),""))</f>
        <v/>
      </c>
      <c r="E93" s="57">
        <f>IF($A93="","",COUNTIF(RESULTADOS_GRID!$B:$B,$A93))</f>
        <v/>
      </c>
      <c r="F93" s="54">
        <f>IF($A93="","",SUMIF(RESULTADOS_GRID!$B:$B,$A93,RESULTADOS_GRID!$X:$X))</f>
        <v/>
      </c>
      <c r="G93" s="53" t="n"/>
      <c r="H93" s="58">
        <f>CONFIG_REFERENCIA!$E$7</f>
        <v/>
      </c>
      <c r="I93" s="54">
        <f>IF($A93="","",$F93+N($G93)*$H93)</f>
        <v/>
      </c>
      <c r="J93" s="54">
        <f>IF($A93="","",IF((COUNTIFS(RESULTADOS_GRID!$B:$B,$A93,RESULTADOS_GRID!$Y:$Y,"&gt;=0")+COUNTIFS(RESULTADOS_GRID!$B:$B,$A93,RESULTADOS_GRID!$Y:$Y,"&lt;0"))=0,"",SUMIF(RESULTADOS_GRID!$B:$B,$A93,RESULTADOS_GRID!$Y:$Y)/(COUNTIFS(RESULTADOS_GRID!$B:$B,$A93,RESULTADOS_GRID!$Y:$Y,"&gt;=0")+COUNTIFS(RESULTADOS_GRID!$B:$B,$A93,RESULTADOS_GRID!$Y:$Y,"&lt;0"))))</f>
        <v/>
      </c>
      <c r="K93" s="54">
        <f>IF($A93="","",IF((COUNTIFS(RESULTADOS_GRID!$B:$B,$A93,RESULTADOS_GRID!$Z:$Z,"&gt;=0")+COUNTIFS(RESULTADOS_GRID!$B:$B,$A93,RESULTADOS_GRID!$Z:$Z,"&lt;0"))=0,"",SUMIF(RESULTADOS_GRID!$B:$B,$A93,RESULTADOS_GRID!$Z:$Z)/(COUNTIFS(RESULTADOS_GRID!$B:$B,$A93,RESULTADOS_GRID!$Z:$Z,"&gt;=0")+COUNTIFS(RESULTADOS_GRID!$B:$B,$A93,RESULTADOS_GRID!$Z:$Z,"&lt;0"))))</f>
        <v/>
      </c>
      <c r="L93" s="51">
        <f>IF($A93="","",IF((COUNTIFS(RESULTADOS_GRID!$B:$B,$A93,RESULTADOS_GRID!$AA:$AA,"&gt;=0")+COUNTIFS(RESULTADOS_GRID!$B:$B,$A93,RESULTADOS_GRID!$AA:$AA,"&lt;0"))=0,"",SUMIF(RESULTADOS_GRID!$B:$B,$A93,RESULTADOS_GRID!$AA:$AA)/(COUNTIFS(RESULTADOS_GRID!$B:$B,$A93,RESULTADOS_GRID!$AA:$AA,"&gt;=0")+COUNTIFS(RESULTADOS_GRID!$B:$B,$A93,RESULTADOS_GRID!$AA:$AA,"&lt;0"))))</f>
        <v/>
      </c>
      <c r="M93" s="51">
        <f>IF($A93="","",IF((COUNTIFS(RESULTADOS_GRID!$B:$B,$A93,RESULTADOS_GRID!$AB:$AB,"&gt;=0")+COUNTIFS(RESULTADOS_GRID!$B:$B,$A93,RESULTADOS_GRID!$AB:$AB,"&lt;0"))=0,"",SUMIF(RESULTADOS_GRID!$B:$B,$A93,RESULTADOS_GRID!$AB:$AB)/(COUNTIFS(RESULTADOS_GRID!$B:$B,$A93,RESULTADOS_GRID!$AB:$AB,"&gt;=0")+COUNTIFS(RESULTADOS_GRID!$B:$B,$A93,RESULTADOS_GRID!$AB:$AB,"&lt;0"))))</f>
        <v/>
      </c>
      <c r="N93" s="49" t="n"/>
      <c r="O93" s="57">
        <f>IF($I93="","",COUNTIFS($I$2:$I$101,"&lt;"&amp;$I93)+1)</f>
        <v/>
      </c>
      <c r="P93" s="49" t="n"/>
      <c r="Q93" s="49" t="n"/>
      <c r="R93" s="49" t="n"/>
      <c r="S93" s="49" t="n"/>
      <c r="T93" s="49" t="n"/>
      <c r="U93" s="49" t="n"/>
      <c r="V93" s="49" t="n"/>
      <c r="W93" s="49" t="n"/>
    </row>
    <row r="94" ht="15" customHeight="1" s="27">
      <c r="A94" s="49" t="n"/>
      <c r="B94" s="57">
        <f>IF($A94="","",IFERROR(INDEX(RESULTADOS_GRID!$C:$C,MATCH($A94,RESULTADOS_GRID!$B:$B,0)),""))</f>
        <v/>
      </c>
      <c r="C94" s="57">
        <f>IF($A94="","",IFERROR(INDEX(RESULTADOS_GRID!$E:$E,MATCH($A94,RESULTADOS_GRID!$B:$B,0)),""))</f>
        <v/>
      </c>
      <c r="D94" s="57">
        <f>IF($A94="","",IFERROR(INDEX(RESULTADOS_GRID!$D:$D,MATCH($A94,RESULTADOS_GRID!$B:$B,0)),""))</f>
        <v/>
      </c>
      <c r="E94" s="57">
        <f>IF($A94="","",COUNTIF(RESULTADOS_GRID!$B:$B,$A94))</f>
        <v/>
      </c>
      <c r="F94" s="54">
        <f>IF($A94="","",SUMIF(RESULTADOS_GRID!$B:$B,$A94,RESULTADOS_GRID!$X:$X))</f>
        <v/>
      </c>
      <c r="G94" s="53" t="n"/>
      <c r="H94" s="58">
        <f>CONFIG_REFERENCIA!$E$7</f>
        <v/>
      </c>
      <c r="I94" s="54">
        <f>IF($A94="","",$F94+N($G94)*$H94)</f>
        <v/>
      </c>
      <c r="J94" s="54">
        <f>IF($A94="","",IF((COUNTIFS(RESULTADOS_GRID!$B:$B,$A94,RESULTADOS_GRID!$Y:$Y,"&gt;=0")+COUNTIFS(RESULTADOS_GRID!$B:$B,$A94,RESULTADOS_GRID!$Y:$Y,"&lt;0"))=0,"",SUMIF(RESULTADOS_GRID!$B:$B,$A94,RESULTADOS_GRID!$Y:$Y)/(COUNTIFS(RESULTADOS_GRID!$B:$B,$A94,RESULTADOS_GRID!$Y:$Y,"&gt;=0")+COUNTIFS(RESULTADOS_GRID!$B:$B,$A94,RESULTADOS_GRID!$Y:$Y,"&lt;0"))))</f>
        <v/>
      </c>
      <c r="K94" s="54">
        <f>IF($A94="","",IF((COUNTIFS(RESULTADOS_GRID!$B:$B,$A94,RESULTADOS_GRID!$Z:$Z,"&gt;=0")+COUNTIFS(RESULTADOS_GRID!$B:$B,$A94,RESULTADOS_GRID!$Z:$Z,"&lt;0"))=0,"",SUMIF(RESULTADOS_GRID!$B:$B,$A94,RESULTADOS_GRID!$Z:$Z)/(COUNTIFS(RESULTADOS_GRID!$B:$B,$A94,RESULTADOS_GRID!$Z:$Z,"&gt;=0")+COUNTIFS(RESULTADOS_GRID!$B:$B,$A94,RESULTADOS_GRID!$Z:$Z,"&lt;0"))))</f>
        <v/>
      </c>
      <c r="L94" s="51">
        <f>IF($A94="","",IF((COUNTIFS(RESULTADOS_GRID!$B:$B,$A94,RESULTADOS_GRID!$AA:$AA,"&gt;=0")+COUNTIFS(RESULTADOS_GRID!$B:$B,$A94,RESULTADOS_GRID!$AA:$AA,"&lt;0"))=0,"",SUMIF(RESULTADOS_GRID!$B:$B,$A94,RESULTADOS_GRID!$AA:$AA)/(COUNTIFS(RESULTADOS_GRID!$B:$B,$A94,RESULTADOS_GRID!$AA:$AA,"&gt;=0")+COUNTIFS(RESULTADOS_GRID!$B:$B,$A94,RESULTADOS_GRID!$AA:$AA,"&lt;0"))))</f>
        <v/>
      </c>
      <c r="M94" s="51">
        <f>IF($A94="","",IF((COUNTIFS(RESULTADOS_GRID!$B:$B,$A94,RESULTADOS_GRID!$AB:$AB,"&gt;=0")+COUNTIFS(RESULTADOS_GRID!$B:$B,$A94,RESULTADOS_GRID!$AB:$AB,"&lt;0"))=0,"",SUMIF(RESULTADOS_GRID!$B:$B,$A94,RESULTADOS_GRID!$AB:$AB)/(COUNTIFS(RESULTADOS_GRID!$B:$B,$A94,RESULTADOS_GRID!$AB:$AB,"&gt;=0")+COUNTIFS(RESULTADOS_GRID!$B:$B,$A94,RESULTADOS_GRID!$AB:$AB,"&lt;0"))))</f>
        <v/>
      </c>
      <c r="N94" s="49" t="n"/>
      <c r="O94" s="57">
        <f>IF($I94="","",COUNTIFS($I$2:$I$101,"&lt;"&amp;$I94)+1)</f>
        <v/>
      </c>
      <c r="P94" s="49" t="n"/>
      <c r="Q94" s="49" t="n"/>
      <c r="R94" s="49" t="n"/>
      <c r="S94" s="49" t="n"/>
      <c r="T94" s="49" t="n"/>
      <c r="U94" s="49" t="n"/>
      <c r="V94" s="49" t="n"/>
      <c r="W94" s="49" t="n"/>
    </row>
    <row r="95" ht="15" customHeight="1" s="27">
      <c r="A95" s="49" t="n"/>
      <c r="B95" s="57">
        <f>IF($A95="","",IFERROR(INDEX(RESULTADOS_GRID!$C:$C,MATCH($A95,RESULTADOS_GRID!$B:$B,0)),""))</f>
        <v/>
      </c>
      <c r="C95" s="57">
        <f>IF($A95="","",IFERROR(INDEX(RESULTADOS_GRID!$E:$E,MATCH($A95,RESULTADOS_GRID!$B:$B,0)),""))</f>
        <v/>
      </c>
      <c r="D95" s="57">
        <f>IF($A95="","",IFERROR(INDEX(RESULTADOS_GRID!$D:$D,MATCH($A95,RESULTADOS_GRID!$B:$B,0)),""))</f>
        <v/>
      </c>
      <c r="E95" s="57">
        <f>IF($A95="","",COUNTIF(RESULTADOS_GRID!$B:$B,$A95))</f>
        <v/>
      </c>
      <c r="F95" s="54">
        <f>IF($A95="","",SUMIF(RESULTADOS_GRID!$B:$B,$A95,RESULTADOS_GRID!$X:$X))</f>
        <v/>
      </c>
      <c r="G95" s="53" t="n"/>
      <c r="H95" s="58">
        <f>CONFIG_REFERENCIA!$E$7</f>
        <v/>
      </c>
      <c r="I95" s="54">
        <f>IF($A95="","",$F95+N($G95)*$H95)</f>
        <v/>
      </c>
      <c r="J95" s="54">
        <f>IF($A95="","",IF((COUNTIFS(RESULTADOS_GRID!$B:$B,$A95,RESULTADOS_GRID!$Y:$Y,"&gt;=0")+COUNTIFS(RESULTADOS_GRID!$B:$B,$A95,RESULTADOS_GRID!$Y:$Y,"&lt;0"))=0,"",SUMIF(RESULTADOS_GRID!$B:$B,$A95,RESULTADOS_GRID!$Y:$Y)/(COUNTIFS(RESULTADOS_GRID!$B:$B,$A95,RESULTADOS_GRID!$Y:$Y,"&gt;=0")+COUNTIFS(RESULTADOS_GRID!$B:$B,$A95,RESULTADOS_GRID!$Y:$Y,"&lt;0"))))</f>
        <v/>
      </c>
      <c r="K95" s="54">
        <f>IF($A95="","",IF((COUNTIFS(RESULTADOS_GRID!$B:$B,$A95,RESULTADOS_GRID!$Z:$Z,"&gt;=0")+COUNTIFS(RESULTADOS_GRID!$B:$B,$A95,RESULTADOS_GRID!$Z:$Z,"&lt;0"))=0,"",SUMIF(RESULTADOS_GRID!$B:$B,$A95,RESULTADOS_GRID!$Z:$Z)/(COUNTIFS(RESULTADOS_GRID!$B:$B,$A95,RESULTADOS_GRID!$Z:$Z,"&gt;=0")+COUNTIFS(RESULTADOS_GRID!$B:$B,$A95,RESULTADOS_GRID!$Z:$Z,"&lt;0"))))</f>
        <v/>
      </c>
      <c r="L95" s="51">
        <f>IF($A95="","",IF((COUNTIFS(RESULTADOS_GRID!$B:$B,$A95,RESULTADOS_GRID!$AA:$AA,"&gt;=0")+COUNTIFS(RESULTADOS_GRID!$B:$B,$A95,RESULTADOS_GRID!$AA:$AA,"&lt;0"))=0,"",SUMIF(RESULTADOS_GRID!$B:$B,$A95,RESULTADOS_GRID!$AA:$AA)/(COUNTIFS(RESULTADOS_GRID!$B:$B,$A95,RESULTADOS_GRID!$AA:$AA,"&gt;=0")+COUNTIFS(RESULTADOS_GRID!$B:$B,$A95,RESULTADOS_GRID!$AA:$AA,"&lt;0"))))</f>
        <v/>
      </c>
      <c r="M95" s="51">
        <f>IF($A95="","",IF((COUNTIFS(RESULTADOS_GRID!$B:$B,$A95,RESULTADOS_GRID!$AB:$AB,"&gt;=0")+COUNTIFS(RESULTADOS_GRID!$B:$B,$A95,RESULTADOS_GRID!$AB:$AB,"&lt;0"))=0,"",SUMIF(RESULTADOS_GRID!$B:$B,$A95,RESULTADOS_GRID!$AB:$AB)/(COUNTIFS(RESULTADOS_GRID!$B:$B,$A95,RESULTADOS_GRID!$AB:$AB,"&gt;=0")+COUNTIFS(RESULTADOS_GRID!$B:$B,$A95,RESULTADOS_GRID!$AB:$AB,"&lt;0"))))</f>
        <v/>
      </c>
      <c r="N95" s="49" t="n"/>
      <c r="O95" s="57">
        <f>IF($I95="","",COUNTIFS($I$2:$I$101,"&lt;"&amp;$I95)+1)</f>
        <v/>
      </c>
      <c r="P95" s="49" t="n"/>
      <c r="Q95" s="49" t="n"/>
      <c r="R95" s="49" t="n"/>
      <c r="S95" s="49" t="n"/>
      <c r="T95" s="49" t="n"/>
      <c r="U95" s="49" t="n"/>
      <c r="V95" s="49" t="n"/>
      <c r="W95" s="49" t="n"/>
    </row>
    <row r="96" ht="15" customHeight="1" s="27">
      <c r="A96" s="49" t="n"/>
      <c r="B96" s="57">
        <f>IF($A96="","",IFERROR(INDEX(RESULTADOS_GRID!$C:$C,MATCH($A96,RESULTADOS_GRID!$B:$B,0)),""))</f>
        <v/>
      </c>
      <c r="C96" s="57">
        <f>IF($A96="","",IFERROR(INDEX(RESULTADOS_GRID!$E:$E,MATCH($A96,RESULTADOS_GRID!$B:$B,0)),""))</f>
        <v/>
      </c>
      <c r="D96" s="57">
        <f>IF($A96="","",IFERROR(INDEX(RESULTADOS_GRID!$D:$D,MATCH($A96,RESULTADOS_GRID!$B:$B,0)),""))</f>
        <v/>
      </c>
      <c r="E96" s="57">
        <f>IF($A96="","",COUNTIF(RESULTADOS_GRID!$B:$B,$A96))</f>
        <v/>
      </c>
      <c r="F96" s="54">
        <f>IF($A96="","",SUMIF(RESULTADOS_GRID!$B:$B,$A96,RESULTADOS_GRID!$X:$X))</f>
        <v/>
      </c>
      <c r="G96" s="53" t="n"/>
      <c r="H96" s="58">
        <f>CONFIG_REFERENCIA!$E$7</f>
        <v/>
      </c>
      <c r="I96" s="54">
        <f>IF($A96="","",$F96+N($G96)*$H96)</f>
        <v/>
      </c>
      <c r="J96" s="54">
        <f>IF($A96="","",IF((COUNTIFS(RESULTADOS_GRID!$B:$B,$A96,RESULTADOS_GRID!$Y:$Y,"&gt;=0")+COUNTIFS(RESULTADOS_GRID!$B:$B,$A96,RESULTADOS_GRID!$Y:$Y,"&lt;0"))=0,"",SUMIF(RESULTADOS_GRID!$B:$B,$A96,RESULTADOS_GRID!$Y:$Y)/(COUNTIFS(RESULTADOS_GRID!$B:$B,$A96,RESULTADOS_GRID!$Y:$Y,"&gt;=0")+COUNTIFS(RESULTADOS_GRID!$B:$B,$A96,RESULTADOS_GRID!$Y:$Y,"&lt;0"))))</f>
        <v/>
      </c>
      <c r="K96" s="54">
        <f>IF($A96="","",IF((COUNTIFS(RESULTADOS_GRID!$B:$B,$A96,RESULTADOS_GRID!$Z:$Z,"&gt;=0")+COUNTIFS(RESULTADOS_GRID!$B:$B,$A96,RESULTADOS_GRID!$Z:$Z,"&lt;0"))=0,"",SUMIF(RESULTADOS_GRID!$B:$B,$A96,RESULTADOS_GRID!$Z:$Z)/(COUNTIFS(RESULTADOS_GRID!$B:$B,$A96,RESULTADOS_GRID!$Z:$Z,"&gt;=0")+COUNTIFS(RESULTADOS_GRID!$B:$B,$A96,RESULTADOS_GRID!$Z:$Z,"&lt;0"))))</f>
        <v/>
      </c>
      <c r="L96" s="51">
        <f>IF($A96="","",IF((COUNTIFS(RESULTADOS_GRID!$B:$B,$A96,RESULTADOS_GRID!$AA:$AA,"&gt;=0")+COUNTIFS(RESULTADOS_GRID!$B:$B,$A96,RESULTADOS_GRID!$AA:$AA,"&lt;0"))=0,"",SUMIF(RESULTADOS_GRID!$B:$B,$A96,RESULTADOS_GRID!$AA:$AA)/(COUNTIFS(RESULTADOS_GRID!$B:$B,$A96,RESULTADOS_GRID!$AA:$AA,"&gt;=0")+COUNTIFS(RESULTADOS_GRID!$B:$B,$A96,RESULTADOS_GRID!$AA:$AA,"&lt;0"))))</f>
        <v/>
      </c>
      <c r="M96" s="51">
        <f>IF($A96="","",IF((COUNTIFS(RESULTADOS_GRID!$B:$B,$A96,RESULTADOS_GRID!$AB:$AB,"&gt;=0")+COUNTIFS(RESULTADOS_GRID!$B:$B,$A96,RESULTADOS_GRID!$AB:$AB,"&lt;0"))=0,"",SUMIF(RESULTADOS_GRID!$B:$B,$A96,RESULTADOS_GRID!$AB:$AB)/(COUNTIFS(RESULTADOS_GRID!$B:$B,$A96,RESULTADOS_GRID!$AB:$AB,"&gt;=0")+COUNTIFS(RESULTADOS_GRID!$B:$B,$A96,RESULTADOS_GRID!$AB:$AB,"&lt;0"))))</f>
        <v/>
      </c>
      <c r="N96" s="49" t="n"/>
      <c r="O96" s="57">
        <f>IF($I96="","",COUNTIFS($I$2:$I$101,"&lt;"&amp;$I96)+1)</f>
        <v/>
      </c>
      <c r="P96" s="49" t="n"/>
      <c r="Q96" s="49" t="n"/>
      <c r="R96" s="49" t="n"/>
      <c r="S96" s="49" t="n"/>
      <c r="T96" s="49" t="n"/>
      <c r="U96" s="49" t="n"/>
      <c r="V96" s="49" t="n"/>
      <c r="W96" s="49" t="n"/>
    </row>
    <row r="97" ht="15" customHeight="1" s="27">
      <c r="A97" s="49" t="n"/>
      <c r="B97" s="57">
        <f>IF($A97="","",IFERROR(INDEX(RESULTADOS_GRID!$C:$C,MATCH($A97,RESULTADOS_GRID!$B:$B,0)),""))</f>
        <v/>
      </c>
      <c r="C97" s="57">
        <f>IF($A97="","",IFERROR(INDEX(RESULTADOS_GRID!$E:$E,MATCH($A97,RESULTADOS_GRID!$B:$B,0)),""))</f>
        <v/>
      </c>
      <c r="D97" s="57">
        <f>IF($A97="","",IFERROR(INDEX(RESULTADOS_GRID!$D:$D,MATCH($A97,RESULTADOS_GRID!$B:$B,0)),""))</f>
        <v/>
      </c>
      <c r="E97" s="57">
        <f>IF($A97="","",COUNTIF(RESULTADOS_GRID!$B:$B,$A97))</f>
        <v/>
      </c>
      <c r="F97" s="54">
        <f>IF($A97="","",SUMIF(RESULTADOS_GRID!$B:$B,$A97,RESULTADOS_GRID!$X:$X))</f>
        <v/>
      </c>
      <c r="G97" s="53" t="n"/>
      <c r="H97" s="58">
        <f>CONFIG_REFERENCIA!$E$7</f>
        <v/>
      </c>
      <c r="I97" s="54">
        <f>IF($A97="","",$F97+N($G97)*$H97)</f>
        <v/>
      </c>
      <c r="J97" s="54">
        <f>IF($A97="","",IF((COUNTIFS(RESULTADOS_GRID!$B:$B,$A97,RESULTADOS_GRID!$Y:$Y,"&gt;=0")+COUNTIFS(RESULTADOS_GRID!$B:$B,$A97,RESULTADOS_GRID!$Y:$Y,"&lt;0"))=0,"",SUMIF(RESULTADOS_GRID!$B:$B,$A97,RESULTADOS_GRID!$Y:$Y)/(COUNTIFS(RESULTADOS_GRID!$B:$B,$A97,RESULTADOS_GRID!$Y:$Y,"&gt;=0")+COUNTIFS(RESULTADOS_GRID!$B:$B,$A97,RESULTADOS_GRID!$Y:$Y,"&lt;0"))))</f>
        <v/>
      </c>
      <c r="K97" s="54">
        <f>IF($A97="","",IF((COUNTIFS(RESULTADOS_GRID!$B:$B,$A97,RESULTADOS_GRID!$Z:$Z,"&gt;=0")+COUNTIFS(RESULTADOS_GRID!$B:$B,$A97,RESULTADOS_GRID!$Z:$Z,"&lt;0"))=0,"",SUMIF(RESULTADOS_GRID!$B:$B,$A97,RESULTADOS_GRID!$Z:$Z)/(COUNTIFS(RESULTADOS_GRID!$B:$B,$A97,RESULTADOS_GRID!$Z:$Z,"&gt;=0")+COUNTIFS(RESULTADOS_GRID!$B:$B,$A97,RESULTADOS_GRID!$Z:$Z,"&lt;0"))))</f>
        <v/>
      </c>
      <c r="L97" s="51">
        <f>IF($A97="","",IF((COUNTIFS(RESULTADOS_GRID!$B:$B,$A97,RESULTADOS_GRID!$AA:$AA,"&gt;=0")+COUNTIFS(RESULTADOS_GRID!$B:$B,$A97,RESULTADOS_GRID!$AA:$AA,"&lt;0"))=0,"",SUMIF(RESULTADOS_GRID!$B:$B,$A97,RESULTADOS_GRID!$AA:$AA)/(COUNTIFS(RESULTADOS_GRID!$B:$B,$A97,RESULTADOS_GRID!$AA:$AA,"&gt;=0")+COUNTIFS(RESULTADOS_GRID!$B:$B,$A97,RESULTADOS_GRID!$AA:$AA,"&lt;0"))))</f>
        <v/>
      </c>
      <c r="M97" s="51">
        <f>IF($A97="","",IF((COUNTIFS(RESULTADOS_GRID!$B:$B,$A97,RESULTADOS_GRID!$AB:$AB,"&gt;=0")+COUNTIFS(RESULTADOS_GRID!$B:$B,$A97,RESULTADOS_GRID!$AB:$AB,"&lt;0"))=0,"",SUMIF(RESULTADOS_GRID!$B:$B,$A97,RESULTADOS_GRID!$AB:$AB)/(COUNTIFS(RESULTADOS_GRID!$B:$B,$A97,RESULTADOS_GRID!$AB:$AB,"&gt;=0")+COUNTIFS(RESULTADOS_GRID!$B:$B,$A97,RESULTADOS_GRID!$AB:$AB,"&lt;0"))))</f>
        <v/>
      </c>
      <c r="N97" s="49" t="n"/>
      <c r="O97" s="57">
        <f>IF($I97="","",COUNTIFS($I$2:$I$101,"&lt;"&amp;$I97)+1)</f>
        <v/>
      </c>
      <c r="P97" s="49" t="n"/>
      <c r="Q97" s="49" t="n"/>
      <c r="R97" s="49" t="n"/>
      <c r="S97" s="49" t="n"/>
      <c r="T97" s="49" t="n"/>
      <c r="U97" s="49" t="n"/>
      <c r="V97" s="49" t="n"/>
      <c r="W97" s="49" t="n"/>
    </row>
    <row r="98" ht="15" customHeight="1" s="27">
      <c r="A98" s="49" t="n"/>
      <c r="B98" s="57">
        <f>IF($A98="","",IFERROR(INDEX(RESULTADOS_GRID!$C:$C,MATCH($A98,RESULTADOS_GRID!$B:$B,0)),""))</f>
        <v/>
      </c>
      <c r="C98" s="57">
        <f>IF($A98="","",IFERROR(INDEX(RESULTADOS_GRID!$E:$E,MATCH($A98,RESULTADOS_GRID!$B:$B,0)),""))</f>
        <v/>
      </c>
      <c r="D98" s="57">
        <f>IF($A98="","",IFERROR(INDEX(RESULTADOS_GRID!$D:$D,MATCH($A98,RESULTADOS_GRID!$B:$B,0)),""))</f>
        <v/>
      </c>
      <c r="E98" s="57">
        <f>IF($A98="","",COUNTIF(RESULTADOS_GRID!$B:$B,$A98))</f>
        <v/>
      </c>
      <c r="F98" s="54">
        <f>IF($A98="","",SUMIF(RESULTADOS_GRID!$B:$B,$A98,RESULTADOS_GRID!$X:$X))</f>
        <v/>
      </c>
      <c r="G98" s="53" t="n"/>
      <c r="H98" s="58">
        <f>CONFIG_REFERENCIA!$E$7</f>
        <v/>
      </c>
      <c r="I98" s="54">
        <f>IF($A98="","",$F98+N($G98)*$H98)</f>
        <v/>
      </c>
      <c r="J98" s="54">
        <f>IF($A98="","",IF((COUNTIFS(RESULTADOS_GRID!$B:$B,$A98,RESULTADOS_GRID!$Y:$Y,"&gt;=0")+COUNTIFS(RESULTADOS_GRID!$B:$B,$A98,RESULTADOS_GRID!$Y:$Y,"&lt;0"))=0,"",SUMIF(RESULTADOS_GRID!$B:$B,$A98,RESULTADOS_GRID!$Y:$Y)/(COUNTIFS(RESULTADOS_GRID!$B:$B,$A98,RESULTADOS_GRID!$Y:$Y,"&gt;=0")+COUNTIFS(RESULTADOS_GRID!$B:$B,$A98,RESULTADOS_GRID!$Y:$Y,"&lt;0"))))</f>
        <v/>
      </c>
      <c r="K98" s="54">
        <f>IF($A98="","",IF((COUNTIFS(RESULTADOS_GRID!$B:$B,$A98,RESULTADOS_GRID!$Z:$Z,"&gt;=0")+COUNTIFS(RESULTADOS_GRID!$B:$B,$A98,RESULTADOS_GRID!$Z:$Z,"&lt;0"))=0,"",SUMIF(RESULTADOS_GRID!$B:$B,$A98,RESULTADOS_GRID!$Z:$Z)/(COUNTIFS(RESULTADOS_GRID!$B:$B,$A98,RESULTADOS_GRID!$Z:$Z,"&gt;=0")+COUNTIFS(RESULTADOS_GRID!$B:$B,$A98,RESULTADOS_GRID!$Z:$Z,"&lt;0"))))</f>
        <v/>
      </c>
      <c r="L98" s="51">
        <f>IF($A98="","",IF((COUNTIFS(RESULTADOS_GRID!$B:$B,$A98,RESULTADOS_GRID!$AA:$AA,"&gt;=0")+COUNTIFS(RESULTADOS_GRID!$B:$B,$A98,RESULTADOS_GRID!$AA:$AA,"&lt;0"))=0,"",SUMIF(RESULTADOS_GRID!$B:$B,$A98,RESULTADOS_GRID!$AA:$AA)/(COUNTIFS(RESULTADOS_GRID!$B:$B,$A98,RESULTADOS_GRID!$AA:$AA,"&gt;=0")+COUNTIFS(RESULTADOS_GRID!$B:$B,$A98,RESULTADOS_GRID!$AA:$AA,"&lt;0"))))</f>
        <v/>
      </c>
      <c r="M98" s="51">
        <f>IF($A98="","",IF((COUNTIFS(RESULTADOS_GRID!$B:$B,$A98,RESULTADOS_GRID!$AB:$AB,"&gt;=0")+COUNTIFS(RESULTADOS_GRID!$B:$B,$A98,RESULTADOS_GRID!$AB:$AB,"&lt;0"))=0,"",SUMIF(RESULTADOS_GRID!$B:$B,$A98,RESULTADOS_GRID!$AB:$AB)/(COUNTIFS(RESULTADOS_GRID!$B:$B,$A98,RESULTADOS_GRID!$AB:$AB,"&gt;=0")+COUNTIFS(RESULTADOS_GRID!$B:$B,$A98,RESULTADOS_GRID!$AB:$AB,"&lt;0"))))</f>
        <v/>
      </c>
      <c r="N98" s="49" t="n"/>
      <c r="O98" s="57">
        <f>IF($I98="","",COUNTIFS($I$2:$I$101,"&lt;"&amp;$I98)+1)</f>
        <v/>
      </c>
      <c r="P98" s="49" t="n"/>
      <c r="Q98" s="49" t="n"/>
      <c r="R98" s="49" t="n"/>
      <c r="S98" s="49" t="n"/>
      <c r="T98" s="49" t="n"/>
      <c r="U98" s="49" t="n"/>
      <c r="V98" s="49" t="n"/>
      <c r="W98" s="49" t="n"/>
    </row>
    <row r="99" ht="15" customHeight="1" s="27">
      <c r="A99" s="49" t="n"/>
      <c r="B99" s="57">
        <f>IF($A99="","",IFERROR(INDEX(RESULTADOS_GRID!$C:$C,MATCH($A99,RESULTADOS_GRID!$B:$B,0)),""))</f>
        <v/>
      </c>
      <c r="C99" s="57">
        <f>IF($A99="","",IFERROR(INDEX(RESULTADOS_GRID!$E:$E,MATCH($A99,RESULTADOS_GRID!$B:$B,0)),""))</f>
        <v/>
      </c>
      <c r="D99" s="57">
        <f>IF($A99="","",IFERROR(INDEX(RESULTADOS_GRID!$D:$D,MATCH($A99,RESULTADOS_GRID!$B:$B,0)),""))</f>
        <v/>
      </c>
      <c r="E99" s="57">
        <f>IF($A99="","",COUNTIF(RESULTADOS_GRID!$B:$B,$A99))</f>
        <v/>
      </c>
      <c r="F99" s="54">
        <f>IF($A99="","",SUMIF(RESULTADOS_GRID!$B:$B,$A99,RESULTADOS_GRID!$X:$X))</f>
        <v/>
      </c>
      <c r="G99" s="53" t="n"/>
      <c r="H99" s="58">
        <f>CONFIG_REFERENCIA!$E$7</f>
        <v/>
      </c>
      <c r="I99" s="54">
        <f>IF($A99="","",$F99+N($G99)*$H99)</f>
        <v/>
      </c>
      <c r="J99" s="54">
        <f>IF($A99="","",IF((COUNTIFS(RESULTADOS_GRID!$B:$B,$A99,RESULTADOS_GRID!$Y:$Y,"&gt;=0")+COUNTIFS(RESULTADOS_GRID!$B:$B,$A99,RESULTADOS_GRID!$Y:$Y,"&lt;0"))=0,"",SUMIF(RESULTADOS_GRID!$B:$B,$A99,RESULTADOS_GRID!$Y:$Y)/(COUNTIFS(RESULTADOS_GRID!$B:$B,$A99,RESULTADOS_GRID!$Y:$Y,"&gt;=0")+COUNTIFS(RESULTADOS_GRID!$B:$B,$A99,RESULTADOS_GRID!$Y:$Y,"&lt;0"))))</f>
        <v/>
      </c>
      <c r="K99" s="54">
        <f>IF($A99="","",IF((COUNTIFS(RESULTADOS_GRID!$B:$B,$A99,RESULTADOS_GRID!$Z:$Z,"&gt;=0")+COUNTIFS(RESULTADOS_GRID!$B:$B,$A99,RESULTADOS_GRID!$Z:$Z,"&lt;0"))=0,"",SUMIF(RESULTADOS_GRID!$B:$B,$A99,RESULTADOS_GRID!$Z:$Z)/(COUNTIFS(RESULTADOS_GRID!$B:$B,$A99,RESULTADOS_GRID!$Z:$Z,"&gt;=0")+COUNTIFS(RESULTADOS_GRID!$B:$B,$A99,RESULTADOS_GRID!$Z:$Z,"&lt;0"))))</f>
        <v/>
      </c>
      <c r="L99" s="51">
        <f>IF($A99="","",IF((COUNTIFS(RESULTADOS_GRID!$B:$B,$A99,RESULTADOS_GRID!$AA:$AA,"&gt;=0")+COUNTIFS(RESULTADOS_GRID!$B:$B,$A99,RESULTADOS_GRID!$AA:$AA,"&lt;0"))=0,"",SUMIF(RESULTADOS_GRID!$B:$B,$A99,RESULTADOS_GRID!$AA:$AA)/(COUNTIFS(RESULTADOS_GRID!$B:$B,$A99,RESULTADOS_GRID!$AA:$AA,"&gt;=0")+COUNTIFS(RESULTADOS_GRID!$B:$B,$A99,RESULTADOS_GRID!$AA:$AA,"&lt;0"))))</f>
        <v/>
      </c>
      <c r="M99" s="51">
        <f>IF($A99="","",IF((COUNTIFS(RESULTADOS_GRID!$B:$B,$A99,RESULTADOS_GRID!$AB:$AB,"&gt;=0")+COUNTIFS(RESULTADOS_GRID!$B:$B,$A99,RESULTADOS_GRID!$AB:$AB,"&lt;0"))=0,"",SUMIF(RESULTADOS_GRID!$B:$B,$A99,RESULTADOS_GRID!$AB:$AB)/(COUNTIFS(RESULTADOS_GRID!$B:$B,$A99,RESULTADOS_GRID!$AB:$AB,"&gt;=0")+COUNTIFS(RESULTADOS_GRID!$B:$B,$A99,RESULTADOS_GRID!$AB:$AB,"&lt;0"))))</f>
        <v/>
      </c>
      <c r="N99" s="49" t="n"/>
      <c r="O99" s="57">
        <f>IF($I99="","",COUNTIFS($I$2:$I$101,"&lt;"&amp;$I99)+1)</f>
        <v/>
      </c>
      <c r="P99" s="49" t="n"/>
      <c r="Q99" s="49" t="n"/>
      <c r="R99" s="49" t="n"/>
      <c r="S99" s="49" t="n"/>
      <c r="T99" s="49" t="n"/>
      <c r="U99" s="49" t="n"/>
      <c r="V99" s="49" t="n"/>
      <c r="W99" s="49" t="n"/>
    </row>
    <row r="100" ht="15" customHeight="1" s="27">
      <c r="A100" s="49" t="n"/>
      <c r="B100" s="57">
        <f>IF($A100="","",IFERROR(INDEX(RESULTADOS_GRID!$C:$C,MATCH($A100,RESULTADOS_GRID!$B:$B,0)),""))</f>
        <v/>
      </c>
      <c r="C100" s="57">
        <f>IF($A100="","",IFERROR(INDEX(RESULTADOS_GRID!$E:$E,MATCH($A100,RESULTADOS_GRID!$B:$B,0)),""))</f>
        <v/>
      </c>
      <c r="D100" s="57">
        <f>IF($A100="","",IFERROR(INDEX(RESULTADOS_GRID!$D:$D,MATCH($A100,RESULTADOS_GRID!$B:$B,0)),""))</f>
        <v/>
      </c>
      <c r="E100" s="57">
        <f>IF($A100="","",COUNTIF(RESULTADOS_GRID!$B:$B,$A100))</f>
        <v/>
      </c>
      <c r="F100" s="54">
        <f>IF($A100="","",SUMIF(RESULTADOS_GRID!$B:$B,$A100,RESULTADOS_GRID!$X:$X))</f>
        <v/>
      </c>
      <c r="G100" s="53" t="n"/>
      <c r="H100" s="58">
        <f>CONFIG_REFERENCIA!$E$7</f>
        <v/>
      </c>
      <c r="I100" s="54">
        <f>IF($A100="","",$F100+N($G100)*$H100)</f>
        <v/>
      </c>
      <c r="J100" s="54">
        <f>IF($A100="","",IF((COUNTIFS(RESULTADOS_GRID!$B:$B,$A100,RESULTADOS_GRID!$Y:$Y,"&gt;=0")+COUNTIFS(RESULTADOS_GRID!$B:$B,$A100,RESULTADOS_GRID!$Y:$Y,"&lt;0"))=0,"",SUMIF(RESULTADOS_GRID!$B:$B,$A100,RESULTADOS_GRID!$Y:$Y)/(COUNTIFS(RESULTADOS_GRID!$B:$B,$A100,RESULTADOS_GRID!$Y:$Y,"&gt;=0")+COUNTIFS(RESULTADOS_GRID!$B:$B,$A100,RESULTADOS_GRID!$Y:$Y,"&lt;0"))))</f>
        <v/>
      </c>
      <c r="K100" s="54">
        <f>IF($A100="","",IF((COUNTIFS(RESULTADOS_GRID!$B:$B,$A100,RESULTADOS_GRID!$Z:$Z,"&gt;=0")+COUNTIFS(RESULTADOS_GRID!$B:$B,$A100,RESULTADOS_GRID!$Z:$Z,"&lt;0"))=0,"",SUMIF(RESULTADOS_GRID!$B:$B,$A100,RESULTADOS_GRID!$Z:$Z)/(COUNTIFS(RESULTADOS_GRID!$B:$B,$A100,RESULTADOS_GRID!$Z:$Z,"&gt;=0")+COUNTIFS(RESULTADOS_GRID!$B:$B,$A100,RESULTADOS_GRID!$Z:$Z,"&lt;0"))))</f>
        <v/>
      </c>
      <c r="L100" s="51">
        <f>IF($A100="","",IF((COUNTIFS(RESULTADOS_GRID!$B:$B,$A100,RESULTADOS_GRID!$AA:$AA,"&gt;=0")+COUNTIFS(RESULTADOS_GRID!$B:$B,$A100,RESULTADOS_GRID!$AA:$AA,"&lt;0"))=0,"",SUMIF(RESULTADOS_GRID!$B:$B,$A100,RESULTADOS_GRID!$AA:$AA)/(COUNTIFS(RESULTADOS_GRID!$B:$B,$A100,RESULTADOS_GRID!$AA:$AA,"&gt;=0")+COUNTIFS(RESULTADOS_GRID!$B:$B,$A100,RESULTADOS_GRID!$AA:$AA,"&lt;0"))))</f>
        <v/>
      </c>
      <c r="M100" s="51">
        <f>IF($A100="","",IF((COUNTIFS(RESULTADOS_GRID!$B:$B,$A100,RESULTADOS_GRID!$AB:$AB,"&gt;=0")+COUNTIFS(RESULTADOS_GRID!$B:$B,$A100,RESULTADOS_GRID!$AB:$AB,"&lt;0"))=0,"",SUMIF(RESULTADOS_GRID!$B:$B,$A100,RESULTADOS_GRID!$AB:$AB)/(COUNTIFS(RESULTADOS_GRID!$B:$B,$A100,RESULTADOS_GRID!$AB:$AB,"&gt;=0")+COUNTIFS(RESULTADOS_GRID!$B:$B,$A100,RESULTADOS_GRID!$AB:$AB,"&lt;0"))))</f>
        <v/>
      </c>
      <c r="N100" s="49" t="n"/>
      <c r="O100" s="57">
        <f>IF($I100="","",COUNTIFS($I$2:$I$101,"&lt;"&amp;$I100)+1)</f>
        <v/>
      </c>
      <c r="P100" s="49" t="n"/>
      <c r="Q100" s="49" t="n"/>
      <c r="R100" s="49" t="n"/>
      <c r="S100" s="49" t="n"/>
      <c r="T100" s="49" t="n"/>
      <c r="U100" s="49" t="n"/>
      <c r="V100" s="49" t="n"/>
      <c r="W100" s="49" t="n"/>
    </row>
    <row r="101" ht="15" customHeight="1" s="27">
      <c r="A101" s="49" t="n"/>
      <c r="B101" s="57">
        <f>IF($A101="","",IFERROR(INDEX(RESULTADOS_GRID!$C:$C,MATCH($A101,RESULTADOS_GRID!$B:$B,0)),""))</f>
        <v/>
      </c>
      <c r="C101" s="57">
        <f>IF($A101="","",IFERROR(INDEX(RESULTADOS_GRID!$E:$E,MATCH($A101,RESULTADOS_GRID!$B:$B,0)),""))</f>
        <v/>
      </c>
      <c r="D101" s="57">
        <f>IF($A101="","",IFERROR(INDEX(RESULTADOS_GRID!$D:$D,MATCH($A101,RESULTADOS_GRID!$B:$B,0)),""))</f>
        <v/>
      </c>
      <c r="E101" s="57">
        <f>IF($A101="","",COUNTIF(RESULTADOS_GRID!$B:$B,$A101))</f>
        <v/>
      </c>
      <c r="F101" s="54">
        <f>IF($A101="","",SUMIF(RESULTADOS_GRID!$B:$B,$A101,RESULTADOS_GRID!$X:$X))</f>
        <v/>
      </c>
      <c r="G101" s="53" t="n"/>
      <c r="H101" s="58">
        <f>CONFIG_REFERENCIA!$E$7</f>
        <v/>
      </c>
      <c r="I101" s="54">
        <f>IF($A101="","",$F101+N($G101)*$H101)</f>
        <v/>
      </c>
      <c r="J101" s="54">
        <f>IF($A101="","",IF((COUNTIFS(RESULTADOS_GRID!$B:$B,$A101,RESULTADOS_GRID!$Y:$Y,"&gt;=0")+COUNTIFS(RESULTADOS_GRID!$B:$B,$A101,RESULTADOS_GRID!$Y:$Y,"&lt;0"))=0,"",SUMIF(RESULTADOS_GRID!$B:$B,$A101,RESULTADOS_GRID!$Y:$Y)/(COUNTIFS(RESULTADOS_GRID!$B:$B,$A101,RESULTADOS_GRID!$Y:$Y,"&gt;=0")+COUNTIFS(RESULTADOS_GRID!$B:$B,$A101,RESULTADOS_GRID!$Y:$Y,"&lt;0"))))</f>
        <v/>
      </c>
      <c r="K101" s="54">
        <f>IF($A101="","",IF((COUNTIFS(RESULTADOS_GRID!$B:$B,$A101,RESULTADOS_GRID!$Z:$Z,"&gt;=0")+COUNTIFS(RESULTADOS_GRID!$B:$B,$A101,RESULTADOS_GRID!$Z:$Z,"&lt;0"))=0,"",SUMIF(RESULTADOS_GRID!$B:$B,$A101,RESULTADOS_GRID!$Z:$Z)/(COUNTIFS(RESULTADOS_GRID!$B:$B,$A101,RESULTADOS_GRID!$Z:$Z,"&gt;=0")+COUNTIFS(RESULTADOS_GRID!$B:$B,$A101,RESULTADOS_GRID!$Z:$Z,"&lt;0"))))</f>
        <v/>
      </c>
      <c r="L101" s="51">
        <f>IF($A101="","",IF((COUNTIFS(RESULTADOS_GRID!$B:$B,$A101,RESULTADOS_GRID!$AA:$AA,"&gt;=0")+COUNTIFS(RESULTADOS_GRID!$B:$B,$A101,RESULTADOS_GRID!$AA:$AA,"&lt;0"))=0,"",SUMIF(RESULTADOS_GRID!$B:$B,$A101,RESULTADOS_GRID!$AA:$AA)/(COUNTIFS(RESULTADOS_GRID!$B:$B,$A101,RESULTADOS_GRID!$AA:$AA,"&gt;=0")+COUNTIFS(RESULTADOS_GRID!$B:$B,$A101,RESULTADOS_GRID!$AA:$AA,"&lt;0"))))</f>
        <v/>
      </c>
      <c r="M101" s="51">
        <f>IF($A101="","",IF((COUNTIFS(RESULTADOS_GRID!$B:$B,$A101,RESULTADOS_GRID!$AB:$AB,"&gt;=0")+COUNTIFS(RESULTADOS_GRID!$B:$B,$A101,RESULTADOS_GRID!$AB:$AB,"&lt;0"))=0,"",SUMIF(RESULTADOS_GRID!$B:$B,$A101,RESULTADOS_GRID!$AB:$AB)/(COUNTIFS(RESULTADOS_GRID!$B:$B,$A101,RESULTADOS_GRID!$AB:$AB,"&gt;=0")+COUNTIFS(RESULTADOS_GRID!$B:$B,$A101,RESULTADOS_GRID!$AB:$AB,"&lt;0"))))</f>
        <v/>
      </c>
      <c r="N101" s="49" t="n"/>
      <c r="O101" s="57">
        <f>IF($I101="","",COUNTIFS($I$2:$I$101,"&lt;"&amp;$I101)+1)</f>
        <v/>
      </c>
      <c r="P101" s="49" t="n"/>
      <c r="Q101" s="49" t="n"/>
      <c r="R101" s="49" t="n"/>
      <c r="S101" s="49" t="n"/>
      <c r="T101" s="49" t="n"/>
      <c r="U101" s="49" t="n"/>
      <c r="V101" s="49" t="n"/>
      <c r="W101" s="49" t="n"/>
    </row>
    <row r="102" ht="15" customHeight="1" s="27">
      <c r="A102" s="49" t="inlineStr">
        <is>
          <t>E1_v2</t>
        </is>
      </c>
      <c r="B102" s="57" t="inlineStr">
        <is>
          <t>E1</t>
        </is>
      </c>
      <c r="C102" s="57" t="inlineStr">
        <is>
          <t>RidgeCV</t>
        </is>
      </c>
      <c r="D102" s="57" t="inlineStr">
        <is>
          <t>lineal</t>
        </is>
      </c>
      <c r="E102" s="57" t="n">
        <v>4</v>
      </c>
      <c r="F102" s="54" t="n">
        <v>0.261061299229139</v>
      </c>
      <c r="G102" s="53" t="n"/>
      <c r="H102" s="58" t="n">
        <v>0.05</v>
      </c>
      <c r="I102" s="54" t="n">
        <v>0.261061299229139</v>
      </c>
      <c r="J102" s="54" t="n">
        <v>0.1048370095083324</v>
      </c>
      <c r="K102" s="54" t="n">
        <v>0.1352444830858427</v>
      </c>
      <c r="L102" s="51" t="n">
        <v>0.7450437525437525</v>
      </c>
      <c r="M102" s="51" t="n">
        <v>0.746474358974359</v>
      </c>
      <c r="N102" s="49" t="n"/>
      <c r="O102" s="57" t="n"/>
      <c r="P102" s="49" t="inlineStr">
        <is>
          <t>Retrointegrado desde metricas_horizonte.json para persistir resumen numerico.</t>
        </is>
      </c>
      <c r="Q102" s="49" t="inlineStr">
        <is>
          <t>run_e1_ridge.py</t>
        </is>
      </c>
      <c r="R102" s="49" t="inlineStr">
        <is>
          <t>Scripts/Modeling/run_e1_ridge.py</t>
        </is>
      </c>
      <c r="S102" s="49" t="inlineStr">
        <is>
          <t>Experimentos/runs/E1_v2_20260321_063715</t>
        </is>
      </c>
      <c r="T102" s="49" t="inlineStr">
        <is>
          <t>Experimentos/runs/E1_v2_20260321_063715/scripts/run_e1_ridge.py</t>
        </is>
      </c>
      <c r="U102" s="49" t="inlineStr">
        <is>
          <t>Experimentos/runs/E1_v2_20260321_063715/parametros_run.json</t>
        </is>
      </c>
      <c r="V102" s="49" t="inlineStr">
        <is>
          <t>Experimentos/runs/E1_v2_20260321_063715/metricas_horizonte.json</t>
        </is>
      </c>
      <c r="W102" s="49" t="inlineStr">
        <is>
          <t>2026-03-21 06:37:15</t>
        </is>
      </c>
    </row>
  </sheetData>
  <conditionalFormatting sqref="E2:E101">
    <cfRule type="expression" rank="0" priority="2" equalAverage="0" aboveAverage="0" dxfId="1" text="" percent="0" bottom="0">
      <formula>AND($A2&lt;&gt;"",$E2&lt;&gt;4)</formula>
    </cfRule>
    <cfRule type="expression" rank="0" priority="3" equalAverage="0" aboveAverage="0" dxfId="2" text="" percent="0" bottom="0">
      <formula>AND($A2&lt;&gt;"",$E2=4)</formula>
    </cfRule>
  </conditionalFormatting>
  <conditionalFormatting sqref="I2:I101">
    <cfRule type="colorScale" priority="4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dataValidations count="1">
    <dataValidation sqref="N2:N101" showDropDown="0" showInputMessage="0" showErrorMessage="0" allowBlank="0" type="list" errorStyle="stop" operator="between">
      <formula1>"descartar,contender,finalista,ganador"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26" customWidth="1" style="26" min="1" max="6"/>
    <col width="36" customWidth="1" style="26" min="7" max="7"/>
  </cols>
  <sheetData>
    <row r="1" ht="15" customHeight="1" s="27">
      <c r="A1" s="59" t="inlineStr">
        <is>
          <t>Fecha</t>
        </is>
      </c>
      <c r="B1" s="59" t="inlineStr">
        <is>
          <t>Run_ID</t>
        </is>
      </c>
      <c r="C1" s="59" t="inlineStr">
        <is>
          <t>Experiment_ID</t>
        </is>
      </c>
      <c r="D1" s="59" t="inlineStr">
        <is>
          <t>Tipo</t>
        </is>
      </c>
      <c r="E1" s="59" t="inlineStr">
        <is>
          <t>Nombre</t>
        </is>
      </c>
      <c r="F1" s="59" t="inlineStr">
        <is>
          <t>Ruta</t>
        </is>
      </c>
      <c r="G1" s="59" t="inlineStr">
        <is>
          <t>Notas</t>
        </is>
      </c>
    </row>
    <row r="2" ht="15" customHeight="1" s="27">
      <c r="A2" s="61" t="n"/>
      <c r="B2" s="61" t="n"/>
      <c r="C2" s="61" t="n"/>
      <c r="D2" s="61" t="n"/>
      <c r="E2" s="61" t="n"/>
      <c r="F2" s="61" t="n"/>
      <c r="G2" s="61" t="n"/>
    </row>
    <row r="3" ht="15" customHeight="1" s="27">
      <c r="A3" s="61" t="inlineStr">
        <is>
          <t>2026-03-21 07:02:26</t>
        </is>
      </c>
      <c r="B3" s="61" t="inlineStr">
        <is>
          <t>E1_v2</t>
        </is>
      </c>
      <c r="C3" s="61" t="inlineStr">
        <is>
          <t>E1</t>
        </is>
      </c>
      <c r="D3" s="61" t="inlineStr">
        <is>
          <t>script_snapshot</t>
        </is>
      </c>
      <c r="E3" s="61" t="inlineStr">
        <is>
          <t>run_e1_ridge.py</t>
        </is>
      </c>
      <c r="F3" s="61" t="inlineStr">
        <is>
          <t>Experimentos/runs/E1_v2_20260321_063715/scripts/run_e1_ridge.py</t>
        </is>
      </c>
      <c r="G3" s="61" t="inlineStr">
        <is>
          <t>Copia del script ejecutado para reproducibilidad.</t>
        </is>
      </c>
    </row>
    <row r="4" ht="15" customHeight="1" s="27">
      <c r="A4" s="61" t="inlineStr">
        <is>
          <t>2026-03-21 07:02:26</t>
        </is>
      </c>
      <c r="B4" s="61" t="inlineStr">
        <is>
          <t>E1_v2</t>
        </is>
      </c>
      <c r="C4" s="61" t="inlineStr">
        <is>
          <t>E1</t>
        </is>
      </c>
      <c r="D4" s="61" t="inlineStr">
        <is>
          <t>parametros</t>
        </is>
      </c>
      <c r="E4" s="61" t="inlineStr">
        <is>
          <t>parametros_run.json</t>
        </is>
      </c>
      <c r="F4" s="61" t="inlineStr">
        <is>
          <t>Experimentos/runs/E1_v2_20260321_063715/parametros_run.json</t>
        </is>
      </c>
      <c r="G4" s="61" t="inlineStr">
        <is>
          <t>Parametros del experimento.</t>
        </is>
      </c>
    </row>
    <row r="5" ht="15" customHeight="1" s="27">
      <c r="A5" s="61" t="inlineStr">
        <is>
          <t>2026-03-21 07:02:26</t>
        </is>
      </c>
      <c r="B5" s="61" t="inlineStr">
        <is>
          <t>E1_v2</t>
        </is>
      </c>
      <c r="C5" s="61" t="inlineStr">
        <is>
          <t>E1</t>
        </is>
      </c>
      <c r="D5" s="61" t="inlineStr">
        <is>
          <t>predicciones</t>
        </is>
      </c>
      <c r="E5" s="61" t="inlineStr">
        <is>
          <t>predicciones_h1.csv</t>
        </is>
      </c>
      <c r="F5" s="61" t="inlineStr">
        <is>
          <t>Experimentos/runs/E1_v2_20260321_063715/predicciones_h1.csv</t>
        </is>
      </c>
      <c r="G5" s="61" t="inlineStr">
        <is>
          <t>Walk-forward Ridge para horizonte 1.</t>
        </is>
      </c>
    </row>
    <row r="6" ht="15" customHeight="1" s="27">
      <c r="A6" s="61" t="inlineStr">
        <is>
          <t>2026-03-21 07:02:26</t>
        </is>
      </c>
      <c r="B6" s="61" t="inlineStr">
        <is>
          <t>E1_v2</t>
        </is>
      </c>
      <c r="C6" s="61" t="inlineStr">
        <is>
          <t>E1</t>
        </is>
      </c>
      <c r="D6" s="61" t="inlineStr">
        <is>
          <t>predicciones</t>
        </is>
      </c>
      <c r="E6" s="61" t="inlineStr">
        <is>
          <t>predicciones_h2.csv</t>
        </is>
      </c>
      <c r="F6" s="61" t="inlineStr">
        <is>
          <t>Experimentos/runs/E1_v2_20260321_063715/predicciones_h2.csv</t>
        </is>
      </c>
      <c r="G6" s="61" t="inlineStr">
        <is>
          <t>Walk-forward Ridge para horizonte 2.</t>
        </is>
      </c>
    </row>
    <row r="7" ht="15" customHeight="1" s="27">
      <c r="A7" s="61" t="inlineStr">
        <is>
          <t>2026-03-21 07:02:26</t>
        </is>
      </c>
      <c r="B7" s="61" t="inlineStr">
        <is>
          <t>E1_v2</t>
        </is>
      </c>
      <c r="C7" s="61" t="inlineStr">
        <is>
          <t>E1</t>
        </is>
      </c>
      <c r="D7" s="61" t="inlineStr">
        <is>
          <t>predicciones</t>
        </is>
      </c>
      <c r="E7" s="61" t="inlineStr">
        <is>
          <t>predicciones_h3.csv</t>
        </is>
      </c>
      <c r="F7" s="61" t="inlineStr">
        <is>
          <t>Experimentos/runs/E1_v2_20260321_063715/predicciones_h3.csv</t>
        </is>
      </c>
      <c r="G7" s="61" t="inlineStr">
        <is>
          <t>Walk-forward Ridge para horizonte 3.</t>
        </is>
      </c>
    </row>
    <row r="8" ht="15" customHeight="1" s="27">
      <c r="A8" s="61" t="inlineStr">
        <is>
          <t>2026-03-21 07:02:26</t>
        </is>
      </c>
      <c r="B8" s="61" t="inlineStr">
        <is>
          <t>E1_v2</t>
        </is>
      </c>
      <c r="C8" s="61" t="inlineStr">
        <is>
          <t>E1</t>
        </is>
      </c>
      <c r="D8" s="61" t="inlineStr">
        <is>
          <t>predicciones</t>
        </is>
      </c>
      <c r="E8" s="61" t="inlineStr">
        <is>
          <t>predicciones_h4.csv</t>
        </is>
      </c>
      <c r="F8" s="61" t="inlineStr">
        <is>
          <t>Experimentos/runs/E1_v2_20260321_063715/predicciones_h4.csv</t>
        </is>
      </c>
      <c r="G8" s="61" t="inlineStr">
        <is>
          <t>Walk-forward Ridge para horizonte 4.</t>
        </is>
      </c>
    </row>
    <row r="9" ht="15" customHeight="1" s="27">
      <c r="A9" s="61" t="inlineStr">
        <is>
          <t>2026-03-21 07:02:27</t>
        </is>
      </c>
      <c r="B9" s="61" t="inlineStr">
        <is>
          <t>E1_v2</t>
        </is>
      </c>
      <c r="C9" s="61" t="inlineStr">
        <is>
          <t>E1</t>
        </is>
      </c>
      <c r="D9" s="61" t="inlineStr">
        <is>
          <t>resumen</t>
        </is>
      </c>
      <c r="E9" s="61" t="inlineStr">
        <is>
          <t>resumen_modeling_horizontes.json</t>
        </is>
      </c>
      <c r="F9" s="61" t="inlineStr">
        <is>
          <t>Experimentos/runs/E1_v2_20260321_063715/resumen_modeling_horizontes.json</t>
        </is>
      </c>
      <c r="G9" s="61" t="inlineStr">
        <is>
          <t>Resumen de tamanos por horizonte.</t>
        </is>
      </c>
    </row>
    <row r="10" ht="15" customHeight="1" s="27">
      <c r="A10" s="61" t="inlineStr">
        <is>
          <t>2026-03-21 07:02:27</t>
        </is>
      </c>
      <c r="B10" s="61" t="inlineStr">
        <is>
          <t>E1_v2</t>
        </is>
      </c>
      <c r="C10" s="61" t="inlineStr">
        <is>
          <t>E1</t>
        </is>
      </c>
      <c r="D10" s="61" t="inlineStr">
        <is>
          <t>metricas</t>
        </is>
      </c>
      <c r="E10" s="61" t="inlineStr">
        <is>
          <t>metricas_horizonte.json</t>
        </is>
      </c>
      <c r="F10" s="61" t="inlineStr">
        <is>
          <t>Experimentos/runs/E1_v2_20260321_063715/metricas_horizonte.json</t>
        </is>
      </c>
      <c r="G10" s="61" t="inlineStr">
        <is>
          <t>Resumen estructurado por horizonte.</t>
        </is>
      </c>
    </row>
    <row r="11" ht="15" customHeight="1" s="27">
      <c r="A11" s="61" t="inlineStr">
        <is>
          <t>2026-03-21 07:02:27</t>
        </is>
      </c>
      <c r="B11" s="61" t="inlineStr">
        <is>
          <t>E1_v2</t>
        </is>
      </c>
      <c r="C11" s="61" t="inlineStr">
        <is>
          <t>E1</t>
        </is>
      </c>
      <c r="D11" s="61" t="inlineStr">
        <is>
          <t>metadata</t>
        </is>
      </c>
      <c r="E11" s="61" t="inlineStr">
        <is>
          <t>metadata_run.json</t>
        </is>
      </c>
      <c r="F11" s="61" t="inlineStr">
        <is>
          <t>Experimentos/runs/E1_v2_20260321_063715/metadata_run.json</t>
        </is>
      </c>
      <c r="G11" s="61" t="inlineStr">
        <is>
          <t>Metadata base del run.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es-ES</dc:language>
  <dcterms:created xmlns:dcterms="http://purl.org/dc/terms/" xmlns:xsi="http://www.w3.org/2001/XMLSchema-instance" xsi:type="dcterms:W3CDTF">2026-03-21T12:00:44Z</dcterms:created>
  <dcterms:modified xmlns:dcterms="http://purl.org/dc/terms/" xmlns:xsi="http://www.w3.org/2001/XMLSchema-instance" xsi:type="dcterms:W3CDTF">2026-03-21T13:02:27+00:00Z</dcterms:modified>
  <cp:revision>2</cp:revision>
</cp:coreProperties>
</file>