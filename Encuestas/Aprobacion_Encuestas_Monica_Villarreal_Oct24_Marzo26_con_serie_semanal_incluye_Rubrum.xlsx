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3bba53bcc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tofsky" sheetId="1" r:id="R2824e4af4d4d46dd"/>
    <x:sheet xmlns:r="http://schemas.openxmlformats.org/officeDocument/2006/relationships" name="SCR" sheetId="2" r:id="R4b5e34bc2c5d46f7"/>
    <x:sheet xmlns:r="http://schemas.openxmlformats.org/officeDocument/2006/relationships" name="Rubrum" sheetId="3" r:id="R378e0b964bb143cf"/>
    <x:sheet xmlns:r="http://schemas.openxmlformats.org/officeDocument/2006/relationships" name="Demoscopia" sheetId="4" r:id="Radd1d39892614ee4"/>
    <x:sheet xmlns:r="http://schemas.openxmlformats.org/officeDocument/2006/relationships" name="Metodologia" sheetId="5" r:id="R4d9a9461668e4d88"/>
    <x:sheet xmlns:r="http://schemas.openxmlformats.org/officeDocument/2006/relationships" name="Parametros" sheetId="6" r:id="R99875f0fbd12491e"/>
    <x:sheet xmlns:r="http://schemas.openxmlformats.org/officeDocument/2006/relationships" name="Consenso_Mensual_Base" sheetId="7" r:id="R77c8dc76695b4be0"/>
    <x:sheet xmlns:r="http://schemas.openxmlformats.org/officeDocument/2006/relationships" name="Serie_Semanal_Base" sheetId="8" r:id="R7893149607204d98"/>
    <x:sheet xmlns:r="http://schemas.openxmlformats.org/officeDocument/2006/relationships" name="Rubrum_Auxiliar" sheetId="9" r:id="Rcea9fd60625b43a8"/>
    <x:sheet xmlns:r="http://schemas.openxmlformats.org/officeDocument/2006/relationships" name="Metodologia_4E" sheetId="10" r:id="Rcea7026c13584b6c"/>
    <x:sheet xmlns:r="http://schemas.openxmlformats.org/officeDocument/2006/relationships" name="Parametros_4E" sheetId="11" r:id="Rd8609861771140e9"/>
    <x:sheet xmlns:r="http://schemas.openxmlformats.org/officeDocument/2006/relationships" name="Consenso_Mensual_4E" sheetId="12" r:id="R561c191fac07489f"/>
    <x:sheet xmlns:r="http://schemas.openxmlformats.org/officeDocument/2006/relationships" name="Serie_Semanal_4E" sheetId="13" r:id="R73383d9c392e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"/>
    <x:numFmt numFmtId="165" formatCode="0.0%"/>
    <x:numFmt numFmtId="166" formatCode="dd-mmm-yyyy"/>
    <x:numFmt numFmtId="167" formatCode="yyyy-mm-dd h:mm:ss"/>
  </x:numFmts>
  <x:fonts count="8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name val="Times New Roman"/>
      <x:family val="1"/>
    </x:font>
    <x:font>
      <x:sz val="10"/>
      <x:name val="Times New Roman"/>
      <x:family val="1"/>
    </x:font>
    <x:font>
      <x:b/>
    </x:font>
    <x:font>
      <x:b/>
      <x:color rgb="00FFFFFF"/>
    </x:font>
  </x:fonts>
  <x:fills count="7">
    <x:fill>
      <x:patternFill patternType="none"/>
    </x:fill>
    <x:fill>
      <x:patternFill patternType="gray125"/>
    </x:fill>
    <x:fill>
      <x:patternFill patternType="solid">
        <x:fgColor rgb="00D9EAF7"/>
      </x:patternFill>
    </x:fill>
    <x:fill>
      <x:patternFill patternType="solid">
        <x:fgColor rgb="001F4E78"/>
      </x:patternFill>
    </x:fill>
    <x:fill>
      <x:patternFill patternType="solid">
        <x:fgColor rgb="00E7E6E6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bottom style="thin">
        <x:color rgb="00BFBFBF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26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center" vertical="bottom" wrapText="1"/>
    </x:xf>
    <x:xf numFmtId="0" fontId="4" fillId="0" borderId="0" xfId="0" applyAlignment="1">
      <x:alignment horizontal="right" vertical="bottom" wrapText="1"/>
    </x:xf>
    <x:xf numFmtId="0" fontId="5" fillId="0" borderId="0" xfId="0" applyAlignment="1">
      <x:alignment horizontal="general" vertical="bottom" wrapText="1"/>
    </x:xf>
    <x:xf numFmtId="0" fontId="5" fillId="0" borderId="0" xfId="0" applyAlignment="1">
      <x:alignment horizontal="right" vertical="bottom" wrapText="1"/>
    </x:xf>
    <x:xf numFmtId="0" fontId="0" fillId="0" borderId="0" xfId="0" applyAlignment="1">
      <x:alignment horizontal="left" vertical="bottom"/>
    </x:xf>
    <x:xf numFmtId="0" fontId="0" fillId="0" borderId="0" xfId="0" applyAlignment="1">
      <x:alignment horizontal="left" vertical="bottom" wrapText="1"/>
    </x:xf>
    <x:xf numFmtId="0" fontId="0" fillId="0" borderId="0" xfId="0"/>
    <x:xf numFmtId="0" fontId="4" fillId="0" borderId="0" xfId="0" applyAlignment="1">
      <x:alignment horizontal="center" vertical="bottom" wrapText="1"/>
    </x:xf>
    <x:xf numFmtId="0" fontId="4" fillId="0" borderId="0" xfId="0" applyAlignment="1">
      <x:alignment horizontal="right" vertical="bottom" wrapText="1"/>
    </x:xf>
    <x:xf numFmtId="0" fontId="5" fillId="0" borderId="0" xfId="0" applyAlignment="1">
      <x:alignment horizontal="general" vertical="bottom" wrapText="1"/>
    </x:xf>
    <x:xf numFmtId="0" fontId="5" fillId="0" borderId="0" xfId="0" applyAlignment="1">
      <x:alignment horizontal="right" vertical="bottom" wrapText="1"/>
    </x:xf>
    <x:xf numFmtId="0" fontId="0" fillId="0" borderId="0" xfId="0" applyAlignment="1">
      <x:alignment horizontal="left" vertical="bottom"/>
    </x:xf>
    <x:xf numFmtId="0" fontId="0" fillId="0" borderId="0" xfId="0" applyAlignment="1">
      <x:alignment horizontal="left" vertical="bottom" wrapText="1"/>
    </x:xf>
    <x:xf numFmtId="0" fontId="6" fillId="2" borderId="1" xfId="0"/>
    <x:xf numFmtId="0" fontId="0" fillId="0" borderId="1" xfId="0" applyAlignment="1">
      <x:alignment vertical="top" wrapText="1"/>
    </x:xf>
    <x:xf numFmtId="0" fontId="7" fillId="3" borderId="0" xfId="0"/>
    <x:xf numFmtId="164" fontId="0" fillId="0" borderId="0" xfId="0"/>
    <x:xf numFmtId="165" fontId="0" fillId="0" borderId="0" xfId="0"/>
    <x:xf numFmtId="0" fontId="6" fillId="2" borderId="0" xfId="0"/>
    <x:xf numFmtId="166" fontId="0" fillId="0" borderId="0" xfId="0"/>
    <x:xf numFmtId="0" fontId="0" fillId="4" borderId="0" xfId="0"/>
    <x:xf numFmtId="0" fontId="0" fillId="5" borderId="0" xfId="0"/>
    <x:xf numFmtId="0" fontId="0" fillId="6" borderId="0" xfId="0"/>
    <x:xf numFmtId="2" fontId="0" fillId="0" borderId="0" xfId="0"/>
    <x:xf numFmtId="166" fontId="0" fillId="0" borderId="0" xfId="0"/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41bd94a4549bc" /><Relationship Type="http://schemas.openxmlformats.org/officeDocument/2006/relationships/theme" Target="/xl/theme/theme1.xml" Id="Re004366a000a48a7" /><Relationship Type="http://schemas.openxmlformats.org/officeDocument/2006/relationships/sharedStrings" Target="/xl/sharedStrings.xml" Id="R9130c1e5304341bf" /><Relationship Type="http://schemas.openxmlformats.org/officeDocument/2006/relationships/worksheet" Target="/xl/worksheets/sheet1.xml" Id="R2824e4af4d4d46dd" /><Relationship Type="http://schemas.openxmlformats.org/officeDocument/2006/relationships/worksheet" Target="/xl/worksheets/sheet2.xml" Id="R4b5e34bc2c5d46f7" /><Relationship Type="http://schemas.openxmlformats.org/officeDocument/2006/relationships/worksheet" Target="/xl/worksheets/sheet3.xml" Id="R378e0b964bb143cf" /><Relationship Type="http://schemas.openxmlformats.org/officeDocument/2006/relationships/worksheet" Target="/xl/worksheets/sheet4.xml" Id="Radd1d39892614ee4" /><Relationship Type="http://schemas.openxmlformats.org/officeDocument/2006/relationships/worksheet" Target="/xl/worksheets/sheet5.xml" Id="R4d9a9461668e4d88" /><Relationship Type="http://schemas.openxmlformats.org/officeDocument/2006/relationships/worksheet" Target="/xl/worksheets/sheet6.xml" Id="R99875f0fbd12491e" /><Relationship Type="http://schemas.openxmlformats.org/officeDocument/2006/relationships/worksheet" Target="/xl/worksheets/sheet7.xml" Id="R77c8dc76695b4be0" /><Relationship Type="http://schemas.openxmlformats.org/officeDocument/2006/relationships/worksheet" Target="/xl/worksheets/sheet8.xml" Id="R7893149607204d98" /><Relationship Type="http://schemas.openxmlformats.org/officeDocument/2006/relationships/worksheet" Target="/xl/worksheets/sheet9.xml" Id="Rcea9fd60625b43a8" /><Relationship Type="http://schemas.openxmlformats.org/officeDocument/2006/relationships/worksheet" Target="/xl/worksheets/sheet10.xml" Id="Rcea7026c13584b6c" /><Relationship Type="http://schemas.openxmlformats.org/officeDocument/2006/relationships/worksheet" Target="/xl/worksheets/sheet11.xml" Id="Rd8609861771140e9" /><Relationship Type="http://schemas.openxmlformats.org/officeDocument/2006/relationships/worksheet" Target="/xl/worksheets/sheet12.xml" Id="R561c191fac07489f" /><Relationship Type="http://schemas.openxmlformats.org/officeDocument/2006/relationships/worksheet" Target="/xl/worksheets/sheet13.xml" Id="R73383d9c392e49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13b393723b441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2d30c18586a4e57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Serie semanal base de aprobación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'Serie_Semanal_Base'!B1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'Serie_Semanal_Base'!$A$2:$A$78</c:f>
              <c:strCache>
                <c:ptCount val="0"/>
              </c:strCache>
            </c:strRef>
          </c:cat>
          <c:val>
            <c:numRef>
              <c:f>'Serie_Semanal_Base'!$B$2:$B$78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Semana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Aprobación (%)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Serie semanal 4 encuestas (incluye Rubrum)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'Serie_Semanal_4E'!B1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'Serie_Semanal_4E'!$A$2:$A$78</c:f>
              <c:strCache>
                <c:ptCount val="0"/>
              </c:strCache>
            </c:strRef>
          </c:cat>
          <c:val>
            <c:numRef>
              <c:f>'Serie_Semanal_4E'!$B$2:$B$78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Aprobación (%)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13b393723b44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d30c18586a4e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b5bb7a1639f542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f392ed9b0a854b47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11.53515625" defaultRowHeight="12.800000190734863"/>
  <x:sheetData>
    <x:row r="1" s="7" customFormat="1" ht="24.049999237060547" customHeight="1">
      <x:c r="A1" s="8" t="inlineStr">
        <x:is>
          <x:t xml:space="preserve">MES</x:t>
        </x:is>
      </x:c>
      <x:c r="B1" s="9" t="inlineStr">
        <x:is>
          <x:t xml:space="preserve">AÑO</x:t>
        </x:is>
      </x:c>
      <x:c r="C1" s="9" t="inlineStr">
        <x:is>
          <x:t xml:space="preserve">APROBACIÓN</x:t>
        </x:is>
      </x:c>
    </x:row>
    <x:row r="2" s="7" customFormat="1" ht="12.800000190734863" customHeight="1">
      <x:c r="A2" s="10" t="inlineStr">
        <x:is>
          <x:t xml:space="preserve">DICIEMBRE</x:t>
        </x:is>
      </x:c>
      <x:c r="B2" s="11" t="n">
        <x:v>2024</x:v>
      </x:c>
      <x:c r="C2" s="11" t="inlineStr">
        <x:is>
          <x:t xml:space="preserve">54.3</x:t>
        </x:is>
      </x:c>
    </x:row>
    <x:row r="3" s="7" customFormat="1" ht="12.800000190734863" customHeight="1">
      <x:c r="A3" s="10" t="inlineStr">
        <x:is>
          <x:t xml:space="preserve">FEBRERO</x:t>
        </x:is>
      </x:c>
      <x:c r="B3" s="11" t="n">
        <x:v>2025</x:v>
      </x:c>
      <x:c r="C3" s="11" t="inlineStr">
        <x:is>
          <x:t xml:space="preserve">52.3</x:t>
        </x:is>
      </x:c>
    </x:row>
    <x:row r="4" s="7" customFormat="1" ht="12.800000190734863" customHeight="1">
      <x:c r="A4" s="10" t="inlineStr">
        <x:is>
          <x:t xml:space="preserve">ABRIL</x:t>
        </x:is>
      </x:c>
      <x:c r="B4" s="11" t="n">
        <x:v>2025</x:v>
      </x:c>
      <x:c r="C4" s="11" t="inlineStr">
        <x:is>
          <x:t xml:space="preserve">53.2</x:t>
        </x:is>
      </x:c>
    </x:row>
    <x:row r="5" s="7" customFormat="1" ht="12.800000190734863" customHeight="1">
      <x:c r="A5" s="10" t="inlineStr">
        <x:is>
          <x:t xml:space="preserve">JUNIO</x:t>
        </x:is>
      </x:c>
      <x:c r="B5" s="11" t="n">
        <x:v>2025</x:v>
      </x:c>
      <x:c r="C5" s="11" t="inlineStr">
        <x:is>
          <x:t xml:space="preserve">53.7</x:t>
        </x:is>
      </x:c>
    </x:row>
    <x:row r="6" s="7" customFormat="1" ht="12.800000190734863" customHeight="1">
      <x:c r="A6" s="10" t="inlineStr">
        <x:is>
          <x:t xml:space="preserve">AGOSTO</x:t>
        </x:is>
      </x:c>
      <x:c r="B6" s="11" t="n">
        <x:v>2025</x:v>
      </x:c>
      <x:c r="C6" s="11" t="inlineStr">
        <x:is>
          <x:t xml:space="preserve">52.9</x:t>
        </x:is>
      </x:c>
    </x:row>
    <x:row r="7" s="7" customFormat="1" ht="12.800000190734863" customHeight="1">
      <x:c r="A7" s="10" t="inlineStr">
        <x:is>
          <x:t xml:space="preserve">OCTUBRE</x:t>
        </x:is>
      </x:c>
      <x:c r="B7" s="11" t="n">
        <x:v>2025</x:v>
      </x:c>
      <x:c r="C7" s="11" t="inlineStr">
        <x:is>
          <x:t xml:space="preserve">52.5</x:t>
        </x:is>
      </x:c>
    </x:row>
    <x:row r="8" s="7" customFormat="1" ht="12.800000190734863" customHeight="1">
      <x:c r="A8" s="10" t="inlineStr">
        <x:is>
          <x:t xml:space="preserve">DICIEMBRE</x:t>
        </x:is>
      </x:c>
      <x:c r="B8" s="11" t="n">
        <x:v>2025</x:v>
      </x:c>
      <x:c r="C8" s="11" t="inlineStr">
        <x:is>
          <x:t xml:space="preserve">52.5</x:t>
        </x:is>
      </x:c>
    </x:row>
    <x:row r="9" s="7" customFormat="1" ht="12.800000190734863" customHeight="1">
      <x:c r="A9" s="10" t="inlineStr">
        <x:is>
          <x:t xml:space="preserve">FEBRERO</x:t>
        </x:is>
      </x:c>
      <x:c r="B9" s="11" t="n">
        <x:v>2026</x:v>
      </x:c>
      <x:c r="C9" s="11" t="inlineStr">
        <x:is>
          <x:t xml:space="preserve">52.7</x:t>
        </x:is>
      </x:c>
    </x:row>
    <x:row r="10" s="7" customFormat="1" ht="12.800000190734863" customHeight="1">
      <x:c r="A10" s="10" t="n"/>
      <x:c r="B10" s="11" t="n"/>
      <x:c r="C10" s="11" t="n"/>
    </x:row>
    <x:row r="11" s="7" customFormat="1" ht="12.800000190734863" customHeight="1">
      <x:c r="A11" s="10" t="n"/>
      <x:c r="B11" s="11" t="n"/>
      <x:c r="C11" s="11" t="n"/>
    </x:row>
    <x:row r="12" s="7" customFormat="1" ht="12.800000190734863" customHeight="1">
      <x:c r="A12" s="10" t="n"/>
      <x:c r="B12" s="11" t="n"/>
      <x:c r="C12" s="11" t="n"/>
    </x:row>
    <x:row r="13" s="7" customFormat="1" ht="12.800000190734863" customHeight="1">
      <x:c r="A13" s="10" t="n"/>
      <x:c r="B13" s="11" t="n"/>
      <x:c r="C13" s="11" t="n"/>
    </x:row>
    <x:row r="14" s="7" customFormat="1" ht="12.800000190734863" customHeight="1">
      <x:c r="A14" s="10" t="n"/>
      <x:c r="B14" s="11" t="n"/>
      <x:c r="C14" s="11" t="n"/>
    </x:row>
    <x:row r="15" s="7" customFormat="1" ht="12.800000190734863" customHeight="1">
      <x:c r="A15" s="10" t="n"/>
      <x:c r="B15" s="11" t="n"/>
      <x:c r="C15" s="11" t="n"/>
    </x:row>
    <x:row r="16" s="7" customFormat="1" ht="12.800000190734863" customHeight="1">
      <x:c r="A16" s="10" t="n"/>
      <x:c r="B16" s="11" t="n"/>
      <x:c r="C16" s="11" t="n"/>
    </x:row>
    <x:row r="17" s="7" customFormat="1" ht="12.800000190734863" customHeight="1">
      <x:c r="A17" s="10" t="n"/>
      <x:c r="B17" s="11" t="n"/>
      <x:c r="C17" s="11" t="n"/>
    </x:row>
    <x:row r="18" s="7" customFormat="1" ht="12.800000190734863" customHeight="1">
      <x:c r="A18" s="10" t="n"/>
      <x:c r="B18" s="11" t="n"/>
      <x:c r="C18" s="11" t="n"/>
    </x:row>
    <x:row r="19" s="7" customFormat="1" ht="12.800000190734863" customHeight="1">
      <x:c r="A19" s="10" t="n"/>
      <x:c r="B19" s="11" t="n"/>
      <x:c r="C19" s="11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ColWidth="11.53515625" defaultRowHeight="12.800000190734863"/>
  <x:cols>
    <x:col min="1" max="16384" width="11.529999732971191" style="12" customWidth="1"/>
  </x:cols>
  <x:sheetData>
    <x:row r="1" s="7" customFormat="1" ht="24.049999237060547" customHeight="1">
      <x:c r="A1" s="12" t="inlineStr">
        <x:is>
          <x:t xml:space="preserve">Mes</x:t>
        </x:is>
      </x:c>
      <x:c r="B1" s="13" t="inlineStr">
        <x:is>
          <x:t xml:space="preserve">Aprobación SRC
(%)</x:t>
        </x:is>
      </x:c>
    </x:row>
    <x:row r="2" s="7" customFormat="1" ht="12.800000190734863" customHeight="1">
      <x:c r="A2" s="12" t="inlineStr">
        <x:is>
          <x:t xml:space="preserve">Oct 2024</x:t>
        </x:is>
      </x:c>
      <x:c r="B2" s="12" t="n">
        <x:v>0.55</x:v>
      </x:c>
    </x:row>
    <x:row r="3" s="7" customFormat="1" ht="12.800000190734863" customHeight="1">
      <x:c r="A3" s="12" t="inlineStr">
        <x:is>
          <x:t xml:space="preserve">Nov 2024</x:t>
        </x:is>
      </x:c>
      <x:c r="B3" s="12" t="n">
        <x:v>0.58</x:v>
      </x:c>
    </x:row>
    <x:row r="4" s="7" customFormat="1" ht="12.800000190734863" customHeight="1">
      <x:c r="A4" s="12" t="inlineStr">
        <x:is>
          <x:t xml:space="preserve">Dic 2024</x:t>
        </x:is>
      </x:c>
      <x:c r="B4" s="12" t="n">
        <x:v>0.59</x:v>
      </x:c>
    </x:row>
    <x:row r="5" s="7" customFormat="1" ht="12.800000190734863" customHeight="1">
      <x:c r="A5" s="12" t="inlineStr">
        <x:is>
          <x:t xml:space="preserve">Ene 2025</x:t>
        </x:is>
      </x:c>
      <x:c r="B5" s="12" t="n">
        <x:v>0.6</x:v>
      </x:c>
    </x:row>
    <x:row r="6" s="7" customFormat="1" ht="12.800000190734863" customHeight="1">
      <x:c r="A6" s="12" t="inlineStr">
        <x:is>
          <x:t xml:space="preserve">Feb 2025</x:t>
        </x:is>
      </x:c>
      <x:c r="B6" s="12" t="n">
        <x:v>0.612</x:v>
      </x:c>
    </x:row>
    <x:row r="7" s="7" customFormat="1" ht="12.800000190734863" customHeight="1">
      <x:c r="A7" s="12" t="inlineStr">
        <x:is>
          <x:t xml:space="preserve">Mar 2025</x:t>
        </x:is>
      </x:c>
      <x:c r="B7" s="12" t="n">
        <x:v>0.61</x:v>
      </x:c>
    </x:row>
    <x:row r="8" s="7" customFormat="1" ht="12.800000190734863" customHeight="1">
      <x:c r="A8" s="12" t="inlineStr">
        <x:is>
          <x:t xml:space="preserve">Abr 2025</x:t>
        </x:is>
      </x:c>
      <x:c r="B8" s="12" t="n">
        <x:v>0.62</x:v>
      </x:c>
    </x:row>
    <x:row r="9" s="7" customFormat="1" ht="12.800000190734863" customHeight="1">
      <x:c r="A9" s="12" t="inlineStr">
        <x:is>
          <x:t xml:space="preserve">May 2025</x:t>
        </x:is>
      </x:c>
      <x:c r="B9" s="12" t="n">
        <x:v>0.625</x:v>
      </x:c>
    </x:row>
    <x:row r="10" s="7" customFormat="1" ht="12.800000190734863" customHeight="1">
      <x:c r="A10" s="12" t="inlineStr">
        <x:is>
          <x:t xml:space="preserve">Jun 2025</x:t>
        </x:is>
      </x:c>
      <x:c r="B10" s="12" t="n">
        <x:v>0.63</x:v>
      </x:c>
    </x:row>
    <x:row r="11" s="7" customFormat="1" ht="12.800000190734863" customHeight="1">
      <x:c r="A11" s="12" t="inlineStr">
        <x:is>
          <x:t xml:space="preserve">Jul 2025</x:t>
        </x:is>
      </x:c>
      <x:c r="B11" s="12" t="n">
        <x:v>0.625</x:v>
      </x:c>
    </x:row>
    <x:row r="12" s="7" customFormat="1" ht="12.800000190734863" customHeight="1">
      <x:c r="A12" s="12" t="inlineStr">
        <x:is>
          <x:t xml:space="preserve">Ago 2025</x:t>
        </x:is>
      </x:c>
      <x:c r="B12" s="12" t="n">
        <x:v>0.62</x:v>
      </x:c>
    </x:row>
    <x:row r="13" s="7" customFormat="1" ht="12.800000190734863" customHeight="1">
      <x:c r="A13" s="12" t="inlineStr">
        <x:is>
          <x:t xml:space="preserve">Sep 2025</x:t>
        </x:is>
      </x:c>
      <x:c r="B13" s="12" t="n">
        <x:v>0.62</x:v>
      </x:c>
    </x:row>
    <x:row r="14" s="7" customFormat="1" ht="12.800000190734863" customHeight="1">
      <x:c r="A14" s="12" t="inlineStr">
        <x:is>
          <x:t xml:space="preserve">Oct 2025</x:t>
        </x:is>
      </x:c>
      <x:c r="B14" s="12" t="n">
        <x:v>0.6</x:v>
      </x:c>
    </x:row>
    <x:row r="15" s="7" customFormat="1" ht="12.800000190734863" customHeight="1">
      <x:c r="A15" s="12" t="inlineStr">
        <x:is>
          <x:t xml:space="preserve">Nov 2025</x:t>
        </x:is>
      </x:c>
      <x:c r="B15" s="12" t="n">
        <x:v>0.595</x:v>
      </x:c>
    </x:row>
    <x:row r="16" s="7" customFormat="1" ht="12.800000190734863" customHeight="1">
      <x:c r="A16" s="12" t="inlineStr">
        <x:is>
          <x:t xml:space="preserve">Dic 2025</x:t>
        </x:is>
      </x:c>
      <x:c r="B16" s="12" t="inlineStr">
        <x:is>
          <x:t xml:space="preserve">N/A</x:t>
        </x:is>
      </x:c>
    </x:row>
    <x:row r="17" s="7" customFormat="1" ht="12.800000190734863" customHeight="1">
      <x:c r="A17" s="12" t="inlineStr">
        <x:is>
          <x:t xml:space="preserve">Ene 2026</x:t>
        </x:is>
      </x:c>
      <x:c r="B17" s="12" t="n">
        <x:v>0.61</x:v>
      </x:c>
    </x:row>
    <x:row r="18" s="7" customFormat="1" ht="12.800000190734863" customHeight="1">
      <x:c r="A18" s="12" t="inlineStr">
        <x:is>
          <x:t xml:space="preserve">Feb 2026</x:t>
        </x:is>
      </x:c>
      <x:c r="B18" s="12" t="n">
        <x:v>0.612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11.53515625" defaultRowHeight="12.800000190734863"/>
  <x:cols>
    <x:col min="1" max="16384" width="11.529999732971191" style="12" customWidth="1"/>
  </x:cols>
  <x:sheetData>
    <x:row r="1" s="7" customFormat="1" ht="12.800000190734863" customHeight="1">
      <x:c r="A1" s="12" t="inlineStr">
        <x:is>
          <x:t xml:space="preserve">MES</x:t>
        </x:is>
      </x:c>
      <x:c r="B1" s="12" t="inlineStr">
        <x:is>
          <x:t xml:space="preserve">AÑO</x:t>
        </x:is>
      </x:c>
      <x:c r="C1" s="12" t="inlineStr">
        <x:is>
          <x:t xml:space="preserve">EVALUACIÓN GENERAL</x:t>
        </x:is>
      </x:c>
    </x:row>
    <x:row r="2" s="7" customFormat="1" ht="12.800000190734863" customHeight="1">
      <x:c r="A2" s="12" t="inlineStr">
        <x:is>
          <x:t xml:space="preserve">OCTUBRE</x:t>
        </x:is>
      </x:c>
      <x:c r="B2" s="12" t="n">
        <x:v>2024</x:v>
      </x:c>
      <x:c r="C2" s="12" t="inlineStr">
        <x:is>
          <x:t xml:space="preserve">6.43</x:t>
        </x:is>
      </x:c>
    </x:row>
    <x:row r="3" s="7" customFormat="1" ht="12.800000190734863" customHeight="1">
      <x:c r="A3" s="12" t="inlineStr">
        <x:is>
          <x:t xml:space="preserve">NOVIEMBRE</x:t>
        </x:is>
      </x:c>
      <x:c r="B3" s="12" t="n">
        <x:v>2024</x:v>
      </x:c>
      <x:c r="C3" s="12" t="inlineStr">
        <x:is>
          <x:t xml:space="preserve">6.30</x:t>
        </x:is>
      </x:c>
    </x:row>
    <x:row r="4" s="7" customFormat="1" ht="12.800000190734863" customHeight="1">
      <x:c r="A4" s="12" t="inlineStr">
        <x:is>
          <x:t xml:space="preserve">DICIEMBRE</x:t>
        </x:is>
      </x:c>
      <x:c r="B4" s="12" t="n">
        <x:v>2024</x:v>
      </x:c>
      <x:c r="C4" s="12" t="inlineStr">
        <x:is>
          <x:t xml:space="preserve">6.40</x:t>
        </x:is>
      </x:c>
    </x:row>
    <x:row r="5" s="7" customFormat="1" ht="12.800000190734863" customHeight="1">
      <x:c r="A5" s="12" t="inlineStr">
        <x:is>
          <x:t xml:space="preserve">ENERO</x:t>
        </x:is>
      </x:c>
      <x:c r="B5" s="12" t="n">
        <x:v>2025</x:v>
      </x:c>
      <x:c r="C5" s="12" t="inlineStr">
        <x:is>
          <x:t xml:space="preserve">5.98</x:t>
        </x:is>
      </x:c>
    </x:row>
    <x:row r="6" s="7" customFormat="1" ht="12.800000190734863" customHeight="1">
      <x:c r="A6" s="12" t="inlineStr">
        <x:is>
          <x:t xml:space="preserve">FEBRERO</x:t>
        </x:is>
      </x:c>
      <x:c r="B6" s="12" t="n">
        <x:v>2025</x:v>
      </x:c>
      <x:c r="C6" s="12" t="inlineStr">
        <x:is>
          <x:t xml:space="preserve">5.65</x:t>
        </x:is>
      </x:c>
    </x:row>
    <x:row r="7" s="7" customFormat="1" ht="12.800000190734863" customHeight="1">
      <x:c r="A7" s="12" t="inlineStr">
        <x:is>
          <x:t xml:space="preserve">MARZO</x:t>
        </x:is>
      </x:c>
      <x:c r="B7" s="12" t="n">
        <x:v>2025</x:v>
      </x:c>
      <x:c r="C7" s="12" t="inlineStr">
        <x:is>
          <x:t xml:space="preserve">5.29</x:t>
        </x:is>
      </x:c>
    </x:row>
    <x:row r="8" s="7" customFormat="1" ht="12.800000190734863" customHeight="1">
      <x:c r="A8" s="12" t="inlineStr">
        <x:is>
          <x:t xml:space="preserve">ABRIL</x:t>
        </x:is>
      </x:c>
      <x:c r="B8" s="12" t="n">
        <x:v>2025</x:v>
      </x:c>
      <x:c r="C8" s="12" t="inlineStr">
        <x:is>
          <x:t xml:space="preserve">5.54</x:t>
        </x:is>
      </x:c>
    </x:row>
    <x:row r="9" s="7" customFormat="1" ht="12.800000190734863" customHeight="1">
      <x:c r="A9" s="12" t="inlineStr">
        <x:is>
          <x:t xml:space="preserve">MAYO</x:t>
        </x:is>
      </x:c>
      <x:c r="B9" s="12" t="n">
        <x:v>2025</x:v>
      </x:c>
      <x:c r="C9" s="12" t="inlineStr">
        <x:is>
          <x:t xml:space="preserve">5.69</x:t>
        </x:is>
      </x:c>
    </x:row>
    <x:row r="10" s="7" customFormat="1" ht="12.800000190734863" customHeight="1">
      <x:c r="A10" s="12" t="inlineStr">
        <x:is>
          <x:t xml:space="preserve">JUNIO</x:t>
        </x:is>
      </x:c>
      <x:c r="B10" s="12" t="n">
        <x:v>2025</x:v>
      </x:c>
      <x:c r="C10" s="12" t="inlineStr">
        <x:is>
          <x:t xml:space="preserve">5.39</x:t>
        </x:is>
      </x:c>
    </x:row>
    <x:row r="11" s="7" customFormat="1" ht="12.800000190734863" customHeight="1">
      <x:c r="A11" s="12" t="inlineStr">
        <x:is>
          <x:t xml:space="preserve">JULIO</x:t>
        </x:is>
      </x:c>
      <x:c r="B11" s="12" t="n">
        <x:v>2025</x:v>
      </x:c>
      <x:c r="C11" s="12" t="inlineStr">
        <x:is>
          <x:t xml:space="preserve">4.50</x:t>
        </x:is>
      </x:c>
    </x:row>
    <x:row r="12" s="7" customFormat="1" ht="12.800000190734863" customHeight="1">
      <x:c r="A12" s="12" t="inlineStr">
        <x:is>
          <x:t xml:space="preserve">AGOSTO</x:t>
        </x:is>
      </x:c>
      <x:c r="B12" s="12" t="n">
        <x:v>2025</x:v>
      </x:c>
      <x:c r="C12" s="12" t="inlineStr">
        <x:is>
          <x:t xml:space="preserve">5.17</x:t>
        </x:is>
      </x:c>
    </x:row>
    <x:row r="13" s="7" customFormat="1" ht="12.800000190734863" customHeight="1">
      <x:c r="A13" s="12" t="inlineStr">
        <x:is>
          <x:t xml:space="preserve">SEPTIEMBRE</x:t>
        </x:is>
      </x:c>
      <x:c r="B13" s="12" t="n">
        <x:v>2025</x:v>
      </x:c>
      <x:c r="C13" s="12" t="inlineStr">
        <x:is>
          <x:t xml:space="preserve">5.06</x:t>
        </x:is>
      </x:c>
    </x:row>
    <x:row r="14" s="7" customFormat="1" ht="12.800000190734863" customHeight="1">
      <x:c r="A14" s="12" t="inlineStr">
        <x:is>
          <x:t xml:space="preserve">OCTUBRE</x:t>
        </x:is>
      </x:c>
      <x:c r="B14" s="12" t="n">
        <x:v>2025</x:v>
      </x:c>
      <x:c r="C14" s="12" t="inlineStr">
        <x:is>
          <x:t xml:space="preserve">5.01</x:t>
        </x:is>
      </x:c>
    </x:row>
    <x:row r="15" s="7" customFormat="1" ht="12.800000190734863" customHeight="1">
      <x:c r="A15" s="12" t="inlineStr">
        <x:is>
          <x:t xml:space="preserve">NOVIEMBRE</x:t>
        </x:is>
      </x:c>
      <x:c r="B15" s="12" t="n">
        <x:v>2025</x:v>
      </x:c>
      <x:c r="C15" s="12" t="inlineStr">
        <x:is>
          <x:t xml:space="preserve">4.37</x:t>
        </x:is>
      </x:c>
    </x:row>
    <x:row r="16" s="7" customFormat="1" ht="12.800000190734863" customHeight="1">
      <x:c r="A16" s="12" t="inlineStr">
        <x:is>
          <x:t xml:space="preserve">DICIEMBRE</x:t>
        </x:is>
      </x:c>
      <x:c r="B16" s="12" t="n">
        <x:v>2025</x:v>
      </x:c>
      <x:c r="C16" s="12" t="inlineStr">
        <x:is>
          <x:t xml:space="preserve">4.91</x:t>
        </x:is>
      </x:c>
    </x:row>
    <x:row r="17" s="7" customFormat="1" ht="12.800000190734863" customHeight="1">
      <x:c r="A17" s="12" t="inlineStr">
        <x:is>
          <x:t xml:space="preserve">ENERO</x:t>
        </x:is>
      </x:c>
      <x:c r="B17" s="12" t="n">
        <x:v>2026</x:v>
      </x:c>
      <x:c r="C17" s="12" t="inlineStr">
        <x:is>
          <x:t xml:space="preserve">4.90</x:t>
        </x:is>
      </x:c>
    </x:row>
    <x:row r="18" s="7" customFormat="1" ht="12.800000190734863" customHeight="1">
      <x:c r="A18" s="12" t="inlineStr">
        <x:is>
          <x:t xml:space="preserve">FEBRERO</x:t>
        </x:is>
      </x:c>
      <x:c r="B18" s="12" t="n">
        <x:v>2026</x:v>
      </x:c>
      <x:c r="C18" s="12" t="inlineStr">
        <x:is>
          <x:t xml:space="preserve">4.91</x:t>
        </x:is>
      </x:c>
    </x:row>
    <x:row r="19" s="7" customFormat="1" ht="12.800000190734863" customHeight="1">
      <x:c r="A19" s="12" t="inlineStr">
        <x:is>
          <x:t xml:space="preserve">MARZO</x:t>
        </x:is>
      </x:c>
      <x:c r="B19" s="12" t="n">
        <x:v>2026</x:v>
      </x:c>
      <x:c r="C19" s="12" t="inlineStr">
        <x:is>
          <x:t xml:space="preserve">4.86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11.53515625" defaultRowHeight="12.800000190734863"/>
  <x:cols>
    <x:col min="1" max="16384" width="11.529999732971191" style="12" customWidth="1"/>
  </x:cols>
  <x:sheetData>
    <x:row r="1" s="7" customFormat="1" ht="12.800000190734863" customHeight="1">
      <x:c r="A1" s="12" t="inlineStr">
        <x:is>
          <x:t xml:space="preserve">MES</x:t>
        </x:is>
      </x:c>
      <x:c r="B1" s="12" t="inlineStr">
        <x:is>
          <x:t xml:space="preserve">AÑO</x:t>
        </x:is>
      </x:c>
      <x:c r="C1" s="12" t="inlineStr">
        <x:is>
          <x:t xml:space="preserve">APRUEBA</x:t>
        </x:is>
      </x:c>
      <x:c r="D1" s="12" t="inlineStr">
        <x:is>
          <x:t xml:space="preserve">DESAPRUEBA</x:t>
        </x:is>
      </x:c>
    </x:row>
    <x:row r="2" s="7" customFormat="1" ht="12.800000190734863" customHeight="1">
      <x:c r="A2" s="12" t="inlineStr">
        <x:is>
          <x:t xml:space="preserve">FEBRERO</x:t>
        </x:is>
      </x:c>
      <x:c r="B2" s="12" t="n">
        <x:v>2026</x:v>
      </x:c>
      <x:c r="C2" s="12" t="inlineStr">
        <x:is>
          <x:t xml:space="preserve">59.2</x:t>
        </x:is>
      </x:c>
      <x:c r="D2" s="12" t="inlineStr">
        <x:is>
          <x:t xml:space="preserve">40.8</x:t>
        </x:is>
      </x:c>
    </x:row>
    <x:row r="3" s="7" customFormat="1" ht="12.800000190734863" customHeight="1">
      <x:c r="A3" s="12" t="inlineStr">
        <x:is>
          <x:t xml:space="preserve">ENERO</x:t>
        </x:is>
      </x:c>
      <x:c r="B3" s="12" t="n">
        <x:v>2026</x:v>
      </x:c>
      <x:c r="C3" s="12" t="inlineStr">
        <x:is>
          <x:t xml:space="preserve">62.6</x:t>
        </x:is>
      </x:c>
      <x:c r="D3" s="12" t="inlineStr">
        <x:is>
          <x:t xml:space="preserve">37.4</x:t>
        </x:is>
      </x:c>
    </x:row>
    <x:row r="4" s="7" customFormat="1" ht="12.800000190734863" customHeight="1">
      <x:c r="A4" s="12" t="inlineStr">
        <x:is>
          <x:t xml:space="preserve">DICIEMBRE</x:t>
        </x:is>
      </x:c>
      <x:c r="B4" s="12" t="n">
        <x:v>2025</x:v>
      </x:c>
      <x:c r="C4" s="12" t="inlineStr">
        <x:is>
          <x:t xml:space="preserve">63.8</x:t>
        </x:is>
      </x:c>
      <x:c r="D4" s="12" t="inlineStr">
        <x:is>
          <x:t xml:space="preserve">36.2</x:t>
        </x:is>
      </x:c>
    </x:row>
    <x:row r="5" s="7" customFormat="1" ht="12.800000190734863" customHeight="1">
      <x:c r="A5" s="12" t="inlineStr">
        <x:is>
          <x:t xml:space="preserve">NOVIEMBRE</x:t>
        </x:is>
      </x:c>
      <x:c r="B5" s="12" t="n">
        <x:v>2025</x:v>
      </x:c>
      <x:c r="C5" s="12" t="inlineStr">
        <x:is>
          <x:t xml:space="preserve">61.5</x:t>
        </x:is>
      </x:c>
      <x:c r="D5" s="12" t="inlineStr">
        <x:is>
          <x:t xml:space="preserve">38.5</x:t>
        </x:is>
      </x:c>
    </x:row>
    <x:row r="6" s="7" customFormat="1" ht="12.800000190734863" customHeight="1">
      <x:c r="A6" s="12" t="inlineStr">
        <x:is>
          <x:t xml:space="preserve">OCTUBRE</x:t>
        </x:is>
      </x:c>
      <x:c r="B6" s="12" t="n">
        <x:v>2025</x:v>
      </x:c>
      <x:c r="C6" s="12" t="inlineStr">
        <x:is>
          <x:t xml:space="preserve">63.9</x:t>
        </x:is>
      </x:c>
      <x:c r="D6" s="12" t="inlineStr">
        <x:is>
          <x:t xml:space="preserve">36.1</x:t>
        </x:is>
      </x:c>
    </x:row>
    <x:row r="7" s="7" customFormat="1" ht="12.800000190734863" customHeight="1">
      <x:c r="A7" s="12" t="inlineStr">
        <x:is>
          <x:t xml:space="preserve">SEPTIEMBRE</x:t>
        </x:is>
      </x:c>
      <x:c r="B7" s="12" t="n">
        <x:v>2025</x:v>
      </x:c>
      <x:c r="C7" s="12" t="inlineStr">
        <x:is>
          <x:t xml:space="preserve">61.4</x:t>
        </x:is>
      </x:c>
      <x:c r="D7" s="12" t="inlineStr">
        <x:is>
          <x:t xml:space="preserve">38.6</x:t>
        </x:is>
      </x:c>
    </x:row>
    <x:row r="8" s="7" customFormat="1" ht="12.800000190734863" customHeight="1">
      <x:c r="A8" s="12" t="inlineStr">
        <x:is>
          <x:t xml:space="preserve">AGOSTO</x:t>
        </x:is>
      </x:c>
      <x:c r="B8" s="12" t="n">
        <x:v>2025</x:v>
      </x:c>
      <x:c r="C8" s="12" t="inlineStr">
        <x:is>
          <x:t xml:space="preserve">60.8</x:t>
        </x:is>
      </x:c>
      <x:c r="D8" s="12" t="inlineStr">
        <x:is>
          <x:t xml:space="preserve">39.2</x:t>
        </x:is>
      </x:c>
    </x:row>
    <x:row r="9" s="7" customFormat="1" ht="12.800000190734863" customHeight="1">
      <x:c r="A9" s="12" t="inlineStr">
        <x:is>
          <x:t xml:space="preserve">JULIO</x:t>
        </x:is>
      </x:c>
      <x:c r="B9" s="12" t="n">
        <x:v>2025</x:v>
      </x:c>
      <x:c r="C9" s="12" t="inlineStr">
        <x:is>
          <x:t xml:space="preserve">59.3</x:t>
        </x:is>
      </x:c>
      <x:c r="D9" s="12" t="inlineStr">
        <x:is>
          <x:t xml:space="preserve">40.7</x:t>
        </x:is>
      </x:c>
    </x:row>
    <x:row r="10" s="7" customFormat="1" ht="12.800000190734863" customHeight="1">
      <x:c r="A10" s="12" t="inlineStr">
        <x:is>
          <x:t xml:space="preserve">JUNIO</x:t>
        </x:is>
      </x:c>
      <x:c r="B10" s="12" t="n">
        <x:v>2025</x:v>
      </x:c>
      <x:c r="C10" s="12" t="inlineStr">
        <x:is>
          <x:t xml:space="preserve">61.5</x:t>
        </x:is>
      </x:c>
      <x:c r="D10" s="12" t="inlineStr">
        <x:is>
          <x:t xml:space="preserve">38.5</x:t>
        </x:is>
      </x:c>
    </x:row>
    <x:row r="11" s="7" customFormat="1" ht="12.800000190734863" customHeight="1">
      <x:c r="A11" s="12" t="inlineStr">
        <x:is>
          <x:t xml:space="preserve">MAYO</x:t>
        </x:is>
      </x:c>
      <x:c r="B11" s="12" t="n">
        <x:v>2025</x:v>
      </x:c>
      <x:c r="C11" s="12" t="inlineStr">
        <x:is>
          <x:t xml:space="preserve">62.7</x:t>
        </x:is>
      </x:c>
      <x:c r="D11" s="12" t="inlineStr">
        <x:is>
          <x:t xml:space="preserve">37.3</x:t>
        </x:is>
      </x:c>
    </x:row>
    <x:row r="12" s="7" customFormat="1" ht="12.800000190734863" customHeight="1">
      <x:c r="A12" s="12" t="inlineStr">
        <x:is>
          <x:t xml:space="preserve">ABRIL</x:t>
        </x:is>
      </x:c>
      <x:c r="B12" s="12" t="n">
        <x:v>2025</x:v>
      </x:c>
      <x:c r="C12" s="12" t="inlineStr">
        <x:is>
          <x:t xml:space="preserve">57.4</x:t>
        </x:is>
      </x:c>
      <x:c r="D12" s="12" t="inlineStr">
        <x:is>
          <x:t xml:space="preserve">42.6</x:t>
        </x:is>
      </x:c>
    </x:row>
    <x:row r="13" s="7" customFormat="1" ht="12.800000190734863" customHeight="1">
      <x:c r="A13" s="12" t="inlineStr">
        <x:is>
          <x:t xml:space="preserve">MARZO</x:t>
        </x:is>
      </x:c>
      <x:c r="B13" s="12" t="n">
        <x:v>2025</x:v>
      </x:c>
      <x:c r="C13" s="12" t="inlineStr">
        <x:is>
          <x:t xml:space="preserve">55.8</x:t>
        </x:is>
      </x:c>
      <x:c r="D13" s="12" t="inlineStr">
        <x:is>
          <x:t xml:space="preserve">44.2</x:t>
        </x:is>
      </x:c>
    </x:row>
    <x:row r="14" s="7" customFormat="1" ht="12.800000190734863" customHeight="1">
      <x:c r="A14" s="12" t="inlineStr">
        <x:is>
          <x:t xml:space="preserve">FEBRERO</x:t>
        </x:is>
      </x:c>
      <x:c r="B14" s="12" t="n">
        <x:v>2025</x:v>
      </x:c>
      <x:c r="C14" s="12" t="inlineStr">
        <x:is>
          <x:t xml:space="preserve">61.4</x:t>
        </x:is>
      </x:c>
      <x:c r="D14" s="12" t="inlineStr">
        <x:is>
          <x:t xml:space="preserve">38.6</x:t>
        </x:is>
      </x:c>
    </x:row>
    <x:row r="15" s="7" customFormat="1" ht="12.800000190734863" customHeight="1">
      <x:c r="A15" s="12" t="inlineStr">
        <x:is>
          <x:t xml:space="preserve">ENERO</x:t>
        </x:is>
      </x:c>
      <x:c r="B15" s="12" t="n">
        <x:v>2025</x:v>
      </x:c>
      <x:c r="C15" s="12" t="inlineStr">
        <x:is>
          <x:t xml:space="preserve">55.9</x:t>
        </x:is>
      </x:c>
      <x:c r="D15" s="12" t="inlineStr">
        <x:is>
          <x:t xml:space="preserve">44.1</x:t>
        </x:is>
      </x:c>
    </x:row>
    <x:row r="16" s="7" customFormat="1" ht="12.800000190734863" customHeight="1">
      <x:c r="A16" s="12" t="inlineStr">
        <x:is>
          <x:t xml:space="preserve">DICIEMBRE</x:t>
        </x:is>
      </x:c>
      <x:c r="B16" s="12" t="n">
        <x:v>2024</x:v>
      </x:c>
      <x:c r="C16" s="12" t="inlineStr">
        <x:is>
          <x:t xml:space="preserve">49.8</x:t>
        </x:is>
      </x:c>
      <x:c r="D16" s="12" t="inlineStr">
        <x:is>
          <x:t xml:space="preserve">50.2</x:t>
        </x:is>
      </x:c>
    </x:row>
    <x:row r="17" s="7" customFormat="1" ht="12.800000190734863" customHeight="1">
      <x:c r="A17" s="12" t="inlineStr">
        <x:is>
          <x:t xml:space="preserve">NOVIEMBRE</x:t>
        </x:is>
      </x:c>
      <x:c r="B17" s="12" t="n">
        <x:v>2024</x:v>
      </x:c>
      <x:c r="C17" s="12" t="inlineStr">
        <x:is>
          <x:t xml:space="preserve">57.8</x:t>
        </x:is>
      </x:c>
      <x:c r="D17" s="12" t="inlineStr">
        <x:is>
          <x:t xml:space="preserve">42.2</x:t>
        </x:is>
      </x:c>
    </x:row>
    <x:row r="18" s="7" customFormat="1" ht="12.800000190734863" customHeight="1">
      <x:c r="A18" s="12" t="inlineStr">
        <x:is>
          <x:t xml:space="preserve">OCTUBRE</x:t>
        </x:is>
      </x:c>
      <x:c r="B18" s="12" t="n">
        <x:v>2024</x:v>
      </x:c>
      <x:c r="C18" s="12" t="inlineStr">
        <x:is>
          <x:t xml:space="preserve">60.3</x:t>
        </x:is>
      </x:c>
      <x:c r="D18" s="12" t="inlineStr">
        <x:is>
          <x:t xml:space="preserve">39.7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style="7" customWidth="1"/>
    <x:col min="2" max="2" width="120" style="7" customWidth="1"/>
  </x:cols>
  <x:sheetData>
    <x:row r="1">
      <x:c r="A1" s="14" t="inlineStr">
        <x:is>
          <x:t xml:space="preserve">Objetivo</x:t>
        </x:is>
      </x:c>
      <x:c r="B1" s="15" t="inlineStr">
        <x:is>
          <x:t xml:space="preserve">Construir una serie semanal de aprobación para Mónica Villarreal desde oct-2024 hasta mar-2026 a partir de las encuestas del archivo.</x:t>
        </x:is>
      </x:c>
    </x:row>
    <x:row r="2">
      <x:c r="A2" s="14" t="inlineStr">
        <x:is>
          <x:t xml:space="preserve">Decisión metodológica</x:t>
        </x:is>
      </x:c>
      <x:c r="B2" s="15" t="inlineStr">
        <x:is>
          <x:t xml:space="preserve">La mejor práctica no es proyectar cada encuesta por separado y luego promediar, ni promediar crudo y luego interpolar. La ruta más defensible es: (1) homologar métricas comparables, (2) corregir efecto de casa, (3) construir consenso mensual, (4) interpolar ese consenso a frecuencia semanal con un método suave y conservador.</x:t>
        </x:is>
      </x:c>
    </x:row>
    <x:row r="3">
      <x:c r="A3" s="14" t="inlineStr">
        <x:is>
          <x:t xml:space="preserve">Serie base utilizada</x:t>
        </x:is>
      </x:c>
      <x:c r="B3" s="15" t="inlineStr">
        <x:is>
          <x:t xml:space="preserve">Demoscopía, SCR y Mitofsky. Las tres sí reportan aprobación en porcentaje o equivalente directo.</x:t>
        </x:is>
      </x:c>
    </x:row>
    <x:row r="4">
      <x:c r="A4" s="14" t="inlineStr">
        <x:is>
          <x:t xml:space="preserve">Rubrum</x:t>
        </x:is>
      </x:c>
      <x:c r="B4" s="15" t="inlineStr">
        <x:is>
          <x:t xml:space="preserve">Se deja como auxiliar y no entra en la serie base de nivel, porque su 'evaluación general' (0-10) no es homologable de forma estable con las tres series de aprobación. En el traslape, su relación empírica con la aprobación resulta débil e incluso con signo contrario, por lo que usarla forzadamente metería sesgo.</x:t>
        </x:is>
      </x:c>
    </x:row>
    <x:row r="5">
      <x:c r="A5" s="14" t="inlineStr">
        <x:is>
          <x:t xml:space="preserve">Corrección de house effect</x:t>
        </x:is>
      </x:c>
      <x:c r="B5" s="15" t="inlineStr">
        <x:is>
          <x:t xml:space="preserve">Para cada encuestadora de aprobación se calculó el sesgo medio contra la mediana mensual robusta del grupo disponible. Luego se ajustó cada observación restando ese sesgo.</x:t>
        </x:is>
      </x:c>
    </x:row>
    <x:row r="6">
      <x:c r="A6" s="14" t="inlineStr">
        <x:is>
          <x:t xml:space="preserve">Ponderación</x:t>
        </x:is>
      </x:c>
      <x:c r="B6" s="15" t="inlineStr">
        <x:is>
          <x:t xml:space="preserve">Se asignaron pesos por confiabilidad usando el inverso del error cuadrático medio frente a la mediana mensual robusta. Eso da más peso a las series mensuales consistentes y menos a la bimestral con mayor desviación.</x:t>
        </x:is>
      </x:c>
    </x:row>
    <x:row r="7">
      <x:c r="A7" s="14" t="inlineStr">
        <x:is>
          <x:t xml:space="preserve">Interpolación semanal</x:t>
        </x:is>
      </x:c>
      <x:c r="B7" s="15" t="inlineStr">
        <x:is>
          <x:t xml:space="preserve">Se usó interpolación PCHIP (shape-preserving) sobre el consenso mensual. Esto evita picos artificiales que sí pueden aparecer con splines cúbicos tradicionales.</x:t>
        </x:is>
      </x:c>
    </x:row>
    <x:row r="8">
      <x:c r="A8" s="14" t="inlineStr">
        <x:is>
          <x:t xml:space="preserve">Marzo 2026</x:t>
        </x:is>
      </x:c>
      <x:c r="B8" s="15" t="inlineStr">
        <x:is>
          <x:t xml:space="preserve">Como la serie base de aprobación llega hasta feb-2026, mar-2026 se incluye como proyección de un mes usando tendencia lineal local de los últimos 4 consensos mensuales. Las semanas posteriores al 15-mar-2026 se mantienen constantes en ese nivel proyectado.</x:t>
        </x:is>
      </x:c>
    </x:row>
    <x:row r="9">
      <x:c r="A9" s="14" t="inlineStr">
        <x:is>
          <x:t xml:space="preserve">Lectura correcta</x:t>
        </x:is>
      </x:c>
      <x:c r="B9" s="15" t="inlineStr">
        <x:is>
          <x:t xml:space="preserve">La serie semanal resultante es una estimación suavizada de tendencia, no un dato observado cada semana. Debe usarse como serie analítica para modelado, no como sustituto de microdatos de campo.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4" style="7" customWidth="1"/>
    <x:col min="2" max="2" width="16" style="7" customWidth="1"/>
    <x:col min="3" max="3" width="12" style="7" customWidth="1"/>
    <x:col min="4" max="4" width="18" style="7" customWidth="1"/>
  </x:cols>
  <x:sheetData>
    <x:row r="1">
      <x:c r="A1" s="16" t="inlineStr">
        <x:is>
          <x:t xml:space="preserve">Encuestadora</x:t>
        </x:is>
      </x:c>
      <x:c r="B1" s="16" t="inlineStr">
        <x:is>
          <x:t xml:space="preserve">House effect</x:t>
        </x:is>
      </x:c>
      <x:c r="C1" s="16" t="inlineStr">
        <x:is>
          <x:t xml:space="preserve">Peso</x:t>
        </x:is>
      </x:c>
      <x:c r="D1" s="16" t="inlineStr">
        <x:is>
          <x:t xml:space="preserve">MSE vs mediana robusta</x:t>
        </x:is>
      </x:c>
    </x:row>
    <x:row r="2">
      <x:c r="A2" t="inlineStr">
        <x:is>
          <x:t xml:space="preserve">Mitofsky</x:t>
        </x:is>
      </x:c>
      <x:c r="B2" s="17" t="n">
        <x:v>-6.056249999999999</x:v>
      </x:c>
      <x:c r="C2" s="18" t="n">
        <x:v>0.05298062057774887</x:v>
      </x:c>
      <x:c r="D2" s="17" t="n">
        <x:v>43.81531249999998</x:v>
      </x:c>
    </x:row>
    <x:row r="3">
      <x:c r="A3" t="inlineStr">
        <x:is>
          <x:t xml:space="preserve">SCR</x:t>
        </x:is>
      </x:c>
      <x:c r="B3" s="17" t="n">
        <x:v>1.00625</x:v>
      </x:c>
      <x:c r="C3" s="18" t="n">
        <x:v>0.5071591336509584</x:v>
      </x:c>
      <x:c r="D3" s="17" t="n">
        <x:v>4.577187500000001</x:v>
      </x:c>
    </x:row>
    <x:row r="4">
      <x:c r="A4" t="inlineStr">
        <x:is>
          <x:t xml:space="preserve">Demoscopia</x:t>
        </x:is>
      </x:c>
      <x:c r="B4" s="17" t="n">
        <x:v>0.1852941176470583</x:v>
      </x:c>
      <x:c r="C4" s="18" t="n">
        <x:v>0.4398602457712927</x:v>
      </x:c>
      <x:c r="D4" s="17" t="n">
        <x:v>5.277499999999998</x:v>
      </x:c>
    </x:row>
    <x:row r="6">
      <x:c r="A6" s="19" t="inlineStr">
        <x:is>
          <x:t xml:space="preserve">Fecha inicio serie semanal</x:t>
        </x:is>
      </x:c>
      <x:c r="B6" s="25" t="n">
        <x:v>45579</x:v>
      </x:c>
    </x:row>
    <x:row r="7">
      <x:c r="A7" s="19" t="inlineStr">
        <x:is>
          <x:t xml:space="preserve">Fecha fin serie semanal</x:t>
        </x:is>
      </x:c>
      <x:c r="B7" s="25" t="n">
        <x:v>46111</x:v>
      </x:c>
    </x:row>
    <x:row r="8">
      <x:c r="A8" s="19" t="inlineStr">
        <x:is>
          <x:t xml:space="preserve">Fecha ancla proyectada mar-2026</x:t>
        </x:is>
      </x:c>
      <x:c r="B8" s="25" t="n">
        <x:v>46096</x:v>
      </x:c>
    </x:row>
    <x:row r="9">
      <x:c r="A9" s="19" t="inlineStr">
        <x:is>
          <x:t xml:space="preserve">Valor proyectado mar-2026</x:t>
        </x:is>
      </x:c>
      <x:c r="B9" s="17" t="n">
        <x:v>60.25608211228174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4" style="7" customWidth="1"/>
    <x:col min="2" max="2" width="12" style="7" customWidth="1"/>
    <x:col min="3" max="3" width="12" style="7" customWidth="1"/>
    <x:col min="4" max="4" width="13" style="7" customWidth="1"/>
    <x:col min="5" max="5" width="17" style="7" customWidth="1"/>
    <x:col min="6" max="6" width="15" style="7" customWidth="1"/>
    <x:col min="7" max="7" width="20" style="7" customWidth="1"/>
    <x:col min="8" max="8" width="17" style="7" customWidth="1"/>
    <x:col min="9" max="9" width="42" style="7" customWidth="1"/>
  </x:cols>
  <x:sheetData>
    <x:row r="1">
      <x:c r="A1" s="16" t="inlineStr">
        <x:is>
          <x:t xml:space="preserve">Fecha</x:t>
        </x:is>
      </x:c>
      <x:c r="B1" s="16" t="inlineStr">
        <x:is>
          <x:t xml:space="preserve">Mitofsky</x:t>
        </x:is>
      </x:c>
      <x:c r="C1" s="16" t="inlineStr">
        <x:is>
          <x:t xml:space="preserve">SCR</x:t>
        </x:is>
      </x:c>
      <x:c r="D1" s="16" t="inlineStr">
        <x:is>
          <x:t xml:space="preserve">Demoscopia</x:t>
        </x:is>
      </x:c>
      <x:c r="E1" s="16" t="inlineStr">
        <x:is>
          <x:t xml:space="preserve">Mitofsky_ajustada</x:t>
        </x:is>
      </x:c>
      <x:c r="F1" s="16" t="inlineStr">
        <x:is>
          <x:t xml:space="preserve">SCR_ajustada</x:t>
        </x:is>
      </x:c>
      <x:c r="G1" s="16" t="inlineStr">
        <x:is>
          <x:t xml:space="preserve">Demoscopia_ajustada</x:t>
        </x:is>
      </x:c>
      <x:c r="H1" s="16" t="inlineStr">
        <x:is>
          <x:t xml:space="preserve">Consenso_mensual</x:t>
        </x:is>
      </x:c>
      <x:c r="I1" s="16" t="inlineStr">
        <x:is>
          <x:t xml:space="preserve">Nota</x:t>
        </x:is>
      </x:c>
    </x:row>
    <x:row r="2">
      <x:c r="A2" s="25" t="n">
        <x:v>45580</x:v>
      </x:c>
      <x:c r="B2" s="17" t="n"/>
      <x:c r="C2" s="17" t="n">
        <x:v>55.00000000000001</x:v>
      </x:c>
      <x:c r="D2" s="17" t="n">
        <x:v>60.3</x:v>
      </x:c>
      <x:c r="E2" s="17">
        <x:f>IF(B2="","",B2-Parametros!$B$2)</x:f>
      </x:c>
      <x:c r="F2" s="17">
        <x:f>IF(C2="","",C2-Parametros!$B$3)</x:f>
        <x:v>53.993750000000006</x:v>
      </x:c>
      <x:c r="G2" s="17">
        <x:f>IF(D2="","",D2-Parametros!$B$4)</x:f>
        <x:v>60.114705882352936</x:v>
      </x:c>
      <x:c r="H2" s="17">
        <x:f>IF(COUNT(E2:G2)=0,"",(IF(E2="",0,E2*Parametros!$C$2)+IF(F2="",0,F2*Parametros!$C$3)+IF(G2="",0,G2*Parametros!$C$4))/(IF(E2="",0,Parametros!$C$2)+IF(F2="",0,Parametros!$C$3)+IF(G2="",0,Parametros!$C$4)))</x:f>
        <x:v>56.836738451207346</x:v>
      </x:c>
    </x:row>
    <x:row r="3">
      <x:c r="A3" s="25" t="n">
        <x:v>45611</x:v>
      </x:c>
      <x:c r="B3" s="17" t="n"/>
      <x:c r="C3" s="17" t="n">
        <x:v>57.99999999999999</x:v>
      </x:c>
      <x:c r="D3" s="17" t="n">
        <x:v>57.8</x:v>
      </x:c>
      <x:c r="E3" s="17">
        <x:f>IF(B3="","",B3-Parametros!$B$2)</x:f>
      </x:c>
      <x:c r="F3" s="17">
        <x:f>IF(C3="","",C3-Parametros!$B$3)</x:f>
        <x:v>56.99374999999999</x:v>
      </x:c>
      <x:c r="G3" s="17">
        <x:f>IF(D3="","",D3-Parametros!$B$4)</x:f>
        <x:v>57.614705882352936</x:v>
      </x:c>
      <x:c r="H3" s="17">
        <x:f>IF(COUNT(E3:G3)=0,"",(IF(E3="",0,E3*Parametros!$C$2)+IF(F3="",0,F3*Parametros!$C$3)+IF(G3="",0,G3*Parametros!$C$4))/(IF(E3="",0,Parametros!$C$2)+IF(F3="",0,Parametros!$C$3)+IF(G3="",0,Parametros!$C$4)))</x:f>
        <x:v>57.282164168664124</x:v>
      </x:c>
    </x:row>
    <x:row r="4">
      <x:c r="A4" s="25" t="n">
        <x:v>45641</x:v>
      </x:c>
      <x:c r="B4" s="17" t="n">
        <x:v>54.3</x:v>
      </x:c>
      <x:c r="C4" s="17" t="n">
        <x:v>59</x:v>
      </x:c>
      <x:c r="D4" s="17" t="n">
        <x:v>49.8</x:v>
      </x:c>
      <x:c r="E4" s="17">
        <x:f>IF(B4="","",B4-Parametros!$B$2)</x:f>
        <x:v>60.356249999999996</x:v>
      </x:c>
      <x:c r="F4" s="17">
        <x:f>IF(C4="","",C4-Parametros!$B$3)</x:f>
        <x:v>57.99375</x:v>
      </x:c>
      <x:c r="G4" s="17">
        <x:f>IF(D4="","",D4-Parametros!$B$4)</x:f>
        <x:v>49.614705882352936</x:v>
      </x:c>
      <x:c r="H4" s="17">
        <x:f>IF(COUNT(E4:G4)=0,"",(IF(E4="",0,E4*Parametros!$C$2)+IF(F4="",0,F4*Parametros!$C$3)+IF(G4="",0,G4*Parametros!$C$4))/(IF(E4="",0,Parametros!$C$2)+IF(F4="",0,Parametros!$C$3)+IF(G4="",0,Parametros!$C$4)))</x:f>
        <x:v>54.43330831119819</x:v>
      </x:c>
    </x:row>
    <x:row r="5">
      <x:c r="A5" s="25" t="n">
        <x:v>45672</x:v>
      </x:c>
      <x:c r="B5" s="17" t="n"/>
      <x:c r="C5" s="17" t="n">
        <x:v>60</x:v>
      </x:c>
      <x:c r="D5" s="17" t="n">
        <x:v>55.9</x:v>
      </x:c>
      <x:c r="E5" s="17">
        <x:f>IF(B5="","",B5-Parametros!$B$2)</x:f>
      </x:c>
      <x:c r="F5" s="17">
        <x:f>IF(C5="","",C5-Parametros!$B$3)</x:f>
        <x:v>58.99375</x:v>
      </x:c>
      <x:c r="G5" s="17">
        <x:f>IF(D5="","",D5-Parametros!$B$4)</x:f>
        <x:v>55.71470588235294</x:v>
      </x:c>
      <x:c r="H5" s="17">
        <x:f>IF(COUNT(E5:G5)=0,"",(IF(E5="",0,E5*Parametros!$C$2)+IF(F5="",0,F5*Parametros!$C$3)+IF(G5="",0,G5*Parametros!$C$4))/(IF(E5="",0,Parametros!$C$2)+IF(F5="",0,Parametros!$C$3)+IF(G5="",0,Parametros!$C$4)))</x:f>
        <x:v>57.470738768315314</x:v>
      </x:c>
    </x:row>
    <x:row r="6">
      <x:c r="A6" s="25" t="n">
        <x:v>45703</x:v>
      </x:c>
      <x:c r="B6" s="17" t="n">
        <x:v>52.3</x:v>
      </x:c>
      <x:c r="C6" s="17" t="n">
        <x:v>61.2</x:v>
      </x:c>
      <x:c r="D6" s="17" t="n">
        <x:v>61.4</x:v>
      </x:c>
      <x:c r="E6" s="17">
        <x:f>IF(B6="","",B6-Parametros!$B$2)</x:f>
        <x:v>58.356249999999996</x:v>
      </x:c>
      <x:c r="F6" s="17">
        <x:f>IF(C6="","",C6-Parametros!$B$3)</x:f>
        <x:v>60.19375</x:v>
      </x:c>
      <x:c r="G6" s="17">
        <x:f>IF(D6="","",D6-Parametros!$B$4)</x:f>
        <x:v>61.21470588235294</x:v>
      </x:c>
      <x:c r="H6" s="17">
        <x:f>IF(COUNT(E6:G6)=0,"",(IF(E6="",0,E6*Parametros!$C$2)+IF(F6="",0,F6*Parametros!$C$3)+IF(G6="",0,G6*Parametros!$C$4))/(IF(E6="",0,Parametros!$C$2)+IF(F6="",0,Parametros!$C$3)+IF(G6="",0,Parametros!$C$4)))</x:f>
        <x:v>60.5454760150218</x:v>
      </x:c>
    </x:row>
    <x:row r="7">
      <x:c r="A7" s="25" t="n">
        <x:v>45731</x:v>
      </x:c>
      <x:c r="B7" s="17" t="n"/>
      <x:c r="C7" s="17" t="n">
        <x:v>61</x:v>
      </x:c>
      <x:c r="D7" s="17" t="n">
        <x:v>55.8</x:v>
      </x:c>
      <x:c r="E7" s="17">
        <x:f>IF(B7="","",B7-Parametros!$B$2)</x:f>
      </x:c>
      <x:c r="F7" s="17">
        <x:f>IF(C7="","",C7-Parametros!$B$3)</x:f>
        <x:v>59.99375</x:v>
      </x:c>
      <x:c r="G7" s="17">
        <x:f>IF(D7="","",D7-Parametros!$B$4)</x:f>
        <x:v>55.614705882352936</x:v>
      </x:c>
      <x:c r="H7" s="17">
        <x:f>IF(COUNT(E7:G7)=0,"",(IF(E7="",0,E7*Parametros!$C$2)+IF(F7="",0,F7*Parametros!$C$3)+IF(G7="",0,G7*Parametros!$C$4))/(IF(E7="",0,Parametros!$C$2)+IF(F7="",0,Parametros!$C$3)+IF(G7="",0,Parametros!$C$4)))</x:f>
        <x:v>57.95982391180667</x:v>
      </x:c>
    </x:row>
    <x:row r="8">
      <x:c r="A8" s="25" t="n">
        <x:v>45762</x:v>
      </x:c>
      <x:c r="B8" s="17" t="n">
        <x:v>53.2</x:v>
      </x:c>
      <x:c r="C8" s="17" t="n">
        <x:v>62</x:v>
      </x:c>
      <x:c r="D8" s="17" t="n">
        <x:v>57.4</x:v>
      </x:c>
      <x:c r="E8" s="17">
        <x:f>IF(B8="","",B8-Parametros!$B$2)</x:f>
        <x:v>59.25625</x:v>
      </x:c>
      <x:c r="F8" s="17">
        <x:f>IF(C8="","",C8-Parametros!$B$3)</x:f>
        <x:v>60.99375</x:v>
      </x:c>
      <x:c r="G8" s="17">
        <x:f>IF(D8="","",D8-Parametros!$B$4)</x:f>
        <x:v>57.21470588235294</x:v>
      </x:c>
      <x:c r="H8" s="17">
        <x:f>IF(COUNT(E8:G8)=0,"",(IF(E8="",0,E8*Parametros!$C$2)+IF(F8="",0,F8*Parametros!$C$3)+IF(G8="",0,G8*Parametros!$C$4))/(IF(E8="",0,Parametros!$C$2)+IF(F8="",0,Parametros!$C$3)+IF(G8="",0,Parametros!$C$4)))</x:f>
        <x:v>59.23944489737737</x:v>
      </x:c>
    </x:row>
    <x:row r="9">
      <x:c r="A9" s="25" t="n">
        <x:v>45792</x:v>
      </x:c>
      <x:c r="B9" s="17" t="n"/>
      <x:c r="C9" s="17" t="n">
        <x:v>62.5</x:v>
      </x:c>
      <x:c r="D9" s="17" t="n">
        <x:v>62.7</x:v>
      </x:c>
      <x:c r="E9" s="17">
        <x:f>IF(B9="","",B9-Parametros!$B$2)</x:f>
      </x:c>
      <x:c r="F9" s="17">
        <x:f>IF(C9="","",C9-Parametros!$B$3)</x:f>
        <x:v>61.49375</x:v>
      </x:c>
      <x:c r="G9" s="17">
        <x:f>IF(D9="","",D9-Parametros!$B$4)</x:f>
        <x:v>62.51470588235294</x:v>
      </x:c>
      <x:c r="H9" s="17">
        <x:f>IF(COUNT(E9:G9)=0,"",(IF(E9="",0,E9*Parametros!$C$2)+IF(F9="",0,F9*Parametros!$C$3)+IF(G9="",0,G9*Parametros!$C$4))/(IF(E9="",0,Parametros!$C$2)+IF(F9="",0,Parametros!$C$3)+IF(G9="",0,Parametros!$C$4)))</x:f>
        <x:v>61.967951389212736</x:v>
      </x:c>
    </x:row>
    <x:row r="10">
      <x:c r="A10" s="25" t="n">
        <x:v>45823</x:v>
      </x:c>
      <x:c r="B10" s="17" t="n">
        <x:v>53.7</x:v>
      </x:c>
      <x:c r="C10" s="17" t="n">
        <x:v>63</x:v>
      </x:c>
      <x:c r="D10" s="17" t="n">
        <x:v>61.5</x:v>
      </x:c>
      <x:c r="E10" s="17">
        <x:f>IF(B10="","",B10-Parametros!$B$2)</x:f>
        <x:v>59.75625</x:v>
      </x:c>
      <x:c r="F10" s="17">
        <x:f>IF(C10="","",C10-Parametros!$B$3)</x:f>
        <x:v>61.99375</x:v>
      </x:c>
      <x:c r="G10" s="17">
        <x:f>IF(D10="","",D10-Parametros!$B$4)</x:f>
        <x:v>61.31470588235294</x:v>
      </x:c>
      <x:c r="H10" s="17">
        <x:f>IF(COUNT(E10:G10)=0,"",(IF(E10="",0,E10*Parametros!$C$2)+IF(F10="",0,F10*Parametros!$C$3)+IF(G10="",0,G10*Parametros!$C$4))/(IF(E10="",0,Parametros!$C$2)+IF(F10="",0,Parametros!$C$3)+IF(G10="",0,Parametros!$C$4)))</x:f>
        <x:v>61.5765213489795</x:v>
      </x:c>
    </x:row>
    <x:row r="11">
      <x:c r="A11" s="25" t="n">
        <x:v>45853</x:v>
      </x:c>
      <x:c r="B11" s="17" t="n"/>
      <x:c r="C11" s="17" t="n">
        <x:v>62.5</x:v>
      </x:c>
      <x:c r="D11" s="17" t="n">
        <x:v>59.3</x:v>
      </x:c>
      <x:c r="E11" s="17">
        <x:f>IF(B11="","",B11-Parametros!$B$2)</x:f>
      </x:c>
      <x:c r="F11" s="17">
        <x:f>IF(C11="","",C11-Parametros!$B$3)</x:f>
        <x:v>61.49375</x:v>
      </x:c>
      <x:c r="G11" s="17">
        <x:f>IF(D11="","",D11-Parametros!$B$4)</x:f>
        <x:v>59.114705882352936</x:v>
      </x:c>
      <x:c r="H11" s="17">
        <x:f>IF(COUNT(E11:G11)=0,"",(IF(E11="",0,E11*Parametros!$C$2)+IF(F11="",0,F11*Parametros!$C$3)+IF(G11="",0,G11*Parametros!$C$4))/(IF(E11="",0,Parametros!$C$2)+IF(F11="",0,Parametros!$C$3)+IF(G11="",0,Parametros!$C$4)))</x:f>
        <x:v>60.38876001454965</x:v>
      </x:c>
    </x:row>
    <x:row r="12">
      <x:c r="A12" s="25" t="n">
        <x:v>45884</x:v>
      </x:c>
      <x:c r="B12" s="17" t="n">
        <x:v>52.9</x:v>
      </x:c>
      <x:c r="C12" s="17" t="n">
        <x:v>62</x:v>
      </x:c>
      <x:c r="D12" s="17" t="n">
        <x:v>60.8</x:v>
      </x:c>
      <x:c r="E12" s="17">
        <x:f>IF(B12="","",B12-Parametros!$B$2)</x:f>
        <x:v>58.95625</x:v>
      </x:c>
      <x:c r="F12" s="17">
        <x:f>IF(C12="","",C12-Parametros!$B$3)</x:f>
        <x:v>60.99375</x:v>
      </x:c>
      <x:c r="G12" s="17">
        <x:f>IF(D12="","",D12-Parametros!$B$4)</x:f>
        <x:v>60.614705882352936</x:v>
      </x:c>
      <x:c r="H12" s="17">
        <x:f>IF(COUNT(E12:G12)=0,"",(IF(E12="",0,E12*Parametros!$C$2)+IF(F12="",0,F12*Parametros!$C$3)+IF(G12="",0,G12*Parametros!$C$4))/(IF(E12="",0,Parametros!$C$2)+IF(F12="",0,Parametros!$C$3)+IF(G12="",0,Parametros!$C$4)))</x:f>
        <x:v>60.71907554682643</x:v>
      </x:c>
    </x:row>
    <x:row r="13">
      <x:c r="A13" s="25" t="n">
        <x:v>45915</x:v>
      </x:c>
      <x:c r="B13" s="17" t="n"/>
      <x:c r="C13" s="17" t="n">
        <x:v>62</x:v>
      </x:c>
      <x:c r="D13" s="17" t="n">
        <x:v>61.4</x:v>
      </x:c>
      <x:c r="E13" s="17">
        <x:f>IF(B13="","",B13-Parametros!$B$2)</x:f>
      </x:c>
      <x:c r="F13" s="17">
        <x:f>IF(C13="","",C13-Parametros!$B$3)</x:f>
        <x:v>60.99375</x:v>
      </x:c>
      <x:c r="G13" s="17">
        <x:f>IF(D13="","",D13-Parametros!$B$4)</x:f>
        <x:v>61.21470588235294</x:v>
      </x:c>
      <x:c r="H13" s="17">
        <x:f>IF(COUNT(E13:G13)=0,"",(IF(E13="",0,E13*Parametros!$C$2)+IF(F13="",0,F13*Parametros!$C$3)+IF(G13="",0,G13*Parametros!$C$4))/(IF(E13="",0,Parametros!$C$2)+IF(F13="",0,Parametros!$C$3)+IF(G13="",0,Parametros!$C$4)))</x:f>
        <x:v>61.09637694811554</x:v>
      </x:c>
    </x:row>
    <x:row r="14">
      <x:c r="A14" s="25" t="n">
        <x:v>45945</x:v>
      </x:c>
      <x:c r="B14" s="17" t="n">
        <x:v>52.5</x:v>
      </x:c>
      <x:c r="C14" s="17" t="n">
        <x:v>60</x:v>
      </x:c>
      <x:c r="D14" s="17" t="n">
        <x:v>63.9</x:v>
      </x:c>
      <x:c r="E14" s="17">
        <x:f>IF(B14="","",B14-Parametros!$B$2)</x:f>
        <x:v>58.55625</x:v>
      </x:c>
      <x:c r="F14" s="17">
        <x:f>IF(C14="","",C14-Parametros!$B$3)</x:f>
        <x:v>58.99375</x:v>
      </x:c>
      <x:c r="G14" s="17">
        <x:f>IF(D14="","",D14-Parametros!$B$4)</x:f>
        <x:v>63.71470588235294</x:v>
      </x:c>
      <x:c r="H14" s="17">
        <x:f>IF(COUNT(E14:G14)=0,"",(IF(E14="",0,E14*Parametros!$C$2)+IF(F14="",0,F14*Parametros!$C$3)+IF(G14="",0,G14*Parametros!$C$4))/(IF(E14="",0,Parametros!$C$2)+IF(F14="",0,Parametros!$C$3)+IF(G14="",0,Parametros!$C$4)))</x:f>
        <x:v>61.047131793184434</x:v>
      </x:c>
    </x:row>
    <x:row r="15">
      <x:c r="A15" s="25" t="n">
        <x:v>45976</x:v>
      </x:c>
      <x:c r="B15" s="17" t="n"/>
      <x:c r="C15" s="17" t="n">
        <x:v>59.5</x:v>
      </x:c>
      <x:c r="D15" s="17" t="n">
        <x:v>61.5</x:v>
      </x:c>
      <x:c r="E15" s="17">
        <x:f>IF(B15="","",B15-Parametros!$B$2)</x:f>
      </x:c>
      <x:c r="F15" s="17">
        <x:f>IF(C15="","",C15-Parametros!$B$3)</x:f>
        <x:v>58.49375</x:v>
      </x:c>
      <x:c r="G15" s="17">
        <x:f>IF(D15="","",D15-Parametros!$B$4)</x:f>
        <x:v>61.31470588235294</x:v>
      </x:c>
      <x:c r="H15" s="17">
        <x:f>IF(COUNT(E15:G15)=0,"",(IF(E15="",0,E15*Parametros!$C$2)+IF(F15="",0,F15*Parametros!$C$3)+IF(G15="",0,G15*Parametros!$C$4))/(IF(E15="",0,Parametros!$C$2)+IF(F15="",0,Parametros!$C$3)+IF(G15="",0,Parametros!$C$4)))</x:f>
        <x:v>59.803993881681414</x:v>
      </x:c>
    </x:row>
    <x:row r="16">
      <x:c r="A16" s="25" t="n">
        <x:v>46006</x:v>
      </x:c>
      <x:c r="B16" s="17" t="n">
        <x:v>52.5</x:v>
      </x:c>
      <x:c r="C16" s="17" t="n"/>
      <x:c r="D16" s="17" t="n">
        <x:v>63.8</x:v>
      </x:c>
      <x:c r="E16" s="17">
        <x:f>IF(B16="","",B16-Parametros!$B$2)</x:f>
        <x:v>58.55625</x:v>
      </x:c>
      <x:c r="F16" s="17">
        <x:f>IF(C16="","",C16-Parametros!$B$3)</x:f>
      </x:c>
      <x:c r="G16" s="17">
        <x:f>IF(D16="","",D16-Parametros!$B$4)</x:f>
        <x:v>63.614705882352936</x:v>
      </x:c>
      <x:c r="H16" s="17">
        <x:f>IF(COUNT(E16:G16)=0,"",(IF(E16="",0,E16*Parametros!$C$2)+IF(F16="",0,F16*Parametros!$C$3)+IF(G16="",0,G16*Parametros!$C$4))/(IF(E16="",0,Parametros!$C$2)+IF(F16="",0,Parametros!$C$3)+IF(G16="",0,Parametros!$C$4)))</x:f>
        <x:v>63.07091954053115</x:v>
      </x:c>
      <x:c r="I16" t="inlineStr">
        <x:is>
          <x:t xml:space="preserve">Mitofsky + Demoscopía; SCR no reportó</x:t>
        </x:is>
      </x:c>
    </x:row>
    <x:row r="17">
      <x:c r="A17" s="25" t="n">
        <x:v>46037</x:v>
      </x:c>
      <x:c r="B17" s="17" t="n"/>
      <x:c r="C17" s="17" t="n">
        <x:v>61</x:v>
      </x:c>
      <x:c r="D17" s="17" t="n">
        <x:v>62.6</x:v>
      </x:c>
      <x:c r="E17" s="17">
        <x:f>IF(B17="","",B17-Parametros!$B$2)</x:f>
      </x:c>
      <x:c r="F17" s="17">
        <x:f>IF(C17="","",C17-Parametros!$B$3)</x:f>
        <x:v>59.99375</x:v>
      </x:c>
      <x:c r="G17" s="17">
        <x:f>IF(D17="","",D17-Parametros!$B$4)</x:f>
        <x:v>62.41470588235294</x:v>
      </x:c>
      <x:c r="H17" s="17">
        <x:f>IF(COUNT(E17:G17)=0,"",(IF(E17="",0,E17*Parametros!$C$2)+IF(F17="",0,F17*Parametros!$C$3)+IF(G17="",0,G17*Parametros!$C$4))/(IF(E17="",0,Parametros!$C$2)+IF(F17="",0,Parametros!$C$3)+IF(G17="",0,Parametros!$C$4)))</x:f>
        <x:v>61.11820666113282</x:v>
      </x:c>
    </x:row>
    <x:row r="18">
      <x:c r="A18" s="25" t="n">
        <x:v>46068</x:v>
      </x:c>
      <x:c r="B18" s="17" t="n">
        <x:v>52.7</x:v>
      </x:c>
      <x:c r="C18" s="17" t="n">
        <x:v>61.2</x:v>
      </x:c>
      <x:c r="D18" s="17" t="n">
        <x:v>59.2</x:v>
      </x:c>
      <x:c r="E18" s="17">
        <x:f>IF(B18="","",B18-Parametros!$B$2)</x:f>
        <x:v>58.75625</x:v>
      </x:c>
      <x:c r="F18" s="17">
        <x:f>IF(C18="","",C18-Parametros!$B$3)</x:f>
        <x:v>60.19375</x:v>
      </x:c>
      <x:c r="G18" s="17">
        <x:f>IF(D18="","",D18-Parametros!$B$4)</x:f>
        <x:v>59.01470588235294</x:v>
      </x:c>
      <x:c r="H18" s="17">
        <x:f>IF(COUNT(E18:G18)=0,"",(IF(E18="",0,E18*Parametros!$C$2)+IF(F18="",0,F18*Parametros!$C$3)+IF(G18="",0,G18*Parametros!$C$4))/(IF(E18="",0,Parametros!$C$2)+IF(F18="",0,Parametros!$C$3)+IF(G18="",0,Parametros!$C$4)))</x:f>
        <x:v>59.59897572255605</x:v>
      </x:c>
    </x:row>
    <x:row r="19">
      <x:c r="A19" s="25" t="n">
        <x:v>46096</x:v>
      </x:c>
      <x:c r="B19" s="17" t="n"/>
      <x:c r="C19" s="17" t="n"/>
      <x:c r="D19" s="17" t="n"/>
      <x:c r="E19" s="17">
        <x:f>IF(B19="","",B19-Parametros!$B$2)</x:f>
      </x:c>
      <x:c r="F19" s="17">
        <x:f>IF(C19="","",C19-Parametros!$B$3)</x:f>
      </x:c>
      <x:c r="G19" s="17">
        <x:f>IF(D19="","",D19-Parametros!$B$4)</x:f>
      </x:c>
      <x:c r="H19" s="17">
        <x:f>Parametros!$B$9</x:f>
        <x:v>60.25608211228174</x:v>
      </x:c>
      <x:c r="I19" t="inlineStr">
        <x:is>
          <x:t xml:space="preserve">Proyección lineal local con los últimos 4 consensos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6" style="7" customWidth="1"/>
    <x:col min="2" max="2" width="20" style="7" customWidth="1"/>
    <x:col min="3" max="3" width="24" style="7" customWidth="1"/>
  </x:cols>
  <x:sheetData>
    <x:row r="1">
      <x:c r="A1" s="16" t="inlineStr">
        <x:is>
          <x:t xml:space="preserve">Semana_inicio</x:t>
        </x:is>
      </x:c>
      <x:c r="B1" s="16" t="inlineStr">
        <x:is>
          <x:t xml:space="preserve">Aprobacion_estimada</x:t>
        </x:is>
      </x:c>
      <x:c r="C1" s="16" t="inlineStr">
        <x:is>
          <x:t xml:space="preserve">Estado</x:t>
        </x:is>
      </x:c>
    </x:row>
    <x:row r="2">
      <x:c r="A2" s="25" t="n">
        <x:v>45579</x:v>
      </x:c>
      <x:c r="B2" s="17" t="n">
        <x:v>56.83673845120734</x:v>
      </x:c>
      <x:c r="C2" s="21" t="inlineStr">
        <x:is>
          <x:t xml:space="preserve">anchored_to_first_month</x:t>
        </x:is>
      </x:c>
    </x:row>
    <x:row r="3">
      <x:c r="A3" s="25" t="n">
        <x:v>45586</x:v>
      </x:c>
      <x:c r="B3" s="17" t="n">
        <x:v>57.04854405402339</x:v>
      </x:c>
      <x:c r="C3" s="22" t="inlineStr">
        <x:is>
          <x:t xml:space="preserve">interpolated</x:t>
        </x:is>
      </x:c>
    </x:row>
    <x:row r="4">
      <x:c r="A4" s="25" t="n">
        <x:v>45593</x:v>
      </x:c>
      <x:c r="B4" s="17" t="n">
        <x:v>57.1949659281147</x:v>
      </x:c>
      <x:c r="C4" s="22" t="inlineStr">
        <x:is>
          <x:t xml:space="preserve">interpolated</x:t>
        </x:is>
      </x:c>
    </x:row>
    <x:row r="5">
      <x:c r="A5" s="25" t="n">
        <x:v>45600</x:v>
      </x:c>
      <x:c r="B5" s="17" t="n">
        <x:v>57.26226347281857</x:v>
      </x:c>
      <x:c r="C5" s="22" t="inlineStr">
        <x:is>
          <x:t xml:space="preserve">interpolated</x:t>
        </x:is>
      </x:c>
    </x:row>
    <x:row r="6">
      <x:c r="A6" s="25" t="n">
        <x:v>45607</x:v>
      </x:c>
      <x:c r="B6" s="17" t="n">
        <x:v>57.28120726067456</x:v>
      </x:c>
      <x:c r="C6" s="22" t="inlineStr">
        <x:is>
          <x:t xml:space="preserve">interpolated</x:t>
        </x:is>
      </x:c>
    </x:row>
    <x:row r="7">
      <x:c r="A7" s="25" t="n">
        <x:v>45614</x:v>
      </x:c>
      <x:c r="B7" s="17" t="n">
        <x:v>57.20239620465507</x:v>
      </x:c>
      <x:c r="C7" s="22" t="inlineStr">
        <x:is>
          <x:t xml:space="preserve">interpolated</x:t>
        </x:is>
      </x:c>
    </x:row>
    <x:row r="8">
      <x:c r="A8" s="25" t="n">
        <x:v>45621</x:v>
      </x:c>
      <x:c r="B8" s="17" t="n">
        <x:v>56.54357190932111</x:v>
      </x:c>
      <x:c r="C8" s="22" t="inlineStr">
        <x:is>
          <x:t xml:space="preserve">interpolated</x:t>
        </x:is>
      </x:c>
    </x:row>
    <x:row r="9">
      <x:c r="A9" s="25" t="n">
        <x:v>45628</x:v>
      </x:c>
      <x:c r="B9" s="17" t="n">
        <x:v>55.57453886506307</x:v>
      </x:c>
      <x:c r="C9" s="22" t="inlineStr">
        <x:is>
          <x:t xml:space="preserve">interpolated</x:t>
        </x:is>
      </x:c>
    </x:row>
    <x:row r="10">
      <x:c r="A10" s="25" t="n">
        <x:v>45635</x:v>
      </x:c>
      <x:c r="B10" s="17" t="n">
        <x:v>54.72958932037466</x:v>
      </x:c>
      <x:c r="C10" s="22" t="inlineStr">
        <x:is>
          <x:t xml:space="preserve">interpolated</x:t>
        </x:is>
      </x:c>
    </x:row>
    <x:row r="11">
      <x:c r="A11" s="25" t="n">
        <x:v>45642</x:v>
      </x:c>
      <x:c r="B11" s="17" t="n">
        <x:v>54.43950907893603</x:v>
      </x:c>
      <x:c r="C11" s="22" t="inlineStr">
        <x:is>
          <x:t xml:space="preserve">interpolated</x:t>
        </x:is>
      </x:c>
    </x:row>
    <x:row r="12">
      <x:c r="A12" s="25" t="n">
        <x:v>45649</x:v>
      </x:c>
      <x:c r="B12" s="17" t="n">
        <x:v>54.78475906668132</x:v>
      </x:c>
      <x:c r="C12" s="22" t="inlineStr">
        <x:is>
          <x:t xml:space="preserve">interpolated</x:t>
        </x:is>
      </x:c>
    </x:row>
    <x:row r="13">
      <x:c r="A13" s="25" t="n">
        <x:v>45656</x:v>
      </x:c>
      <x:c r="B13" s="17" t="n">
        <x:v>55.50927369467755</x:v>
      </x:c>
      <x:c r="C13" s="22" t="inlineStr">
        <x:is>
          <x:t xml:space="preserve">interpolated</x:t>
        </x:is>
      </x:c>
    </x:row>
    <x:row r="14">
      <x:c r="A14" s="25" t="n">
        <x:v>45663</x:v>
      </x:c>
      <x:c r="B14" s="17" t="n">
        <x:v>56.4045041560038</x:v>
      </x:c>
      <x:c r="C14" s="22" t="inlineStr">
        <x:is>
          <x:t xml:space="preserve">interpolated</x:t>
        </x:is>
      </x:c>
    </x:row>
    <x:row r="15">
      <x:c r="A15" s="25" t="n">
        <x:v>45670</x:v>
      </x:c>
      <x:c r="B15" s="17" t="n">
        <x:v>57.26190164373912</x:v>
      </x:c>
      <x:c r="C15" s="22" t="inlineStr">
        <x:is>
          <x:t xml:space="preserve">interpolated</x:t>
        </x:is>
      </x:c>
    </x:row>
    <x:row r="16">
      <x:c r="A16" s="25" t="n">
        <x:v>45677</x:v>
      </x:c>
      <x:c r="B16" s="17" t="n">
        <x:v>58.03162153082426</x:v>
      </x:c>
      <x:c r="C16" s="22" t="inlineStr">
        <x:is>
          <x:t xml:space="preserve">interpolated</x:t>
        </x:is>
      </x:c>
    </x:row>
    <x:row r="17">
      <x:c r="A17" s="25" t="n">
        <x:v>45684</x:v>
      </x:c>
      <x:c r="B17" s="17" t="n">
        <x:v>58.94061394241908</x:v>
      </x:c>
      <x:c r="C17" s="22" t="inlineStr">
        <x:is>
          <x:t xml:space="preserve">interpolated</x:t>
        </x:is>
      </x:c>
    </x:row>
    <x:row r="18">
      <x:c r="A18" s="25" t="n">
        <x:v>45691</x:v>
      </x:c>
      <x:c r="B18" s="17" t="n">
        <x:v>59.80063846775683</x:v>
      </x:c>
      <x:c r="C18" s="22" t="inlineStr">
        <x:is>
          <x:t xml:space="preserve">interpolated</x:t>
        </x:is>
      </x:c>
    </x:row>
    <x:row r="19">
      <x:c r="A19" s="25" t="n">
        <x:v>45698</x:v>
      </x:c>
      <x:c r="B19" s="17" t="n">
        <x:v>60.39799189939463</x:v>
      </x:c>
      <x:c r="C19" s="22" t="inlineStr">
        <x:is>
          <x:t xml:space="preserve">interpolated</x:t>
        </x:is>
      </x:c>
    </x:row>
    <x:row r="20">
      <x:c r="A20" s="25" t="n">
        <x:v>45705</x:v>
      </x:c>
      <x:c r="B20" s="17" t="n">
        <x:v>60.50778429340058</x:v>
      </x:c>
      <x:c r="C20" s="22" t="inlineStr">
        <x:is>
          <x:t xml:space="preserve">interpolated</x:t>
        </x:is>
      </x:c>
    </x:row>
    <x:row r="21">
      <x:c r="A21" s="25" t="n">
        <x:v>45712</x:v>
      </x:c>
      <x:c r="B21" s="17" t="n">
        <x:v>59.91578869068743</x:v>
      </x:c>
      <x:c r="C21" s="22" t="inlineStr">
        <x:is>
          <x:t xml:space="preserve">interpolated</x:t>
        </x:is>
      </x:c>
    </x:row>
    <x:row r="22">
      <x:c r="A22" s="25" t="n">
        <x:v>45719</x:v>
      </x:c>
      <x:c r="B22" s="17" t="n">
        <x:v>58.97750039557939</x:v>
      </x:c>
      <x:c r="C22" s="22" t="inlineStr">
        <x:is>
          <x:t xml:space="preserve">interpolated</x:t>
        </x:is>
      </x:c>
    </x:row>
    <x:row r="23">
      <x:c r="A23" s="25" t="n">
        <x:v>45726</x:v>
      </x:c>
      <x:c r="B23" s="17" t="n">
        <x:v>58.1777291774293</x:v>
      </x:c>
      <x:c r="C23" s="22" t="inlineStr">
        <x:is>
          <x:t xml:space="preserve">interpolated</x:t>
        </x:is>
      </x:c>
    </x:row>
    <x:row r="24">
      <x:c r="A24" s="25" t="n">
        <x:v>45733</x:v>
      </x:c>
      <x:c r="B24" s="17" t="n">
        <x:v>57.96824687142267</x:v>
      </x:c>
      <x:c r="C24" s="22" t="inlineStr">
        <x:is>
          <x:t xml:space="preserve">interpolated</x:t>
        </x:is>
      </x:c>
    </x:row>
    <x:row r="25">
      <x:c r="A25" s="25" t="n">
        <x:v>45740</x:v>
      </x:c>
      <x:c r="B25" s="17" t="n">
        <x:v>58.11525212580425</x:v>
      </x:c>
      <x:c r="C25" s="22" t="inlineStr">
        <x:is>
          <x:t xml:space="preserve">interpolated</x:t>
        </x:is>
      </x:c>
    </x:row>
    <x:row r="26">
      <x:c r="A26" s="25" t="n">
        <x:v>45747</x:v>
      </x:c>
      <x:c r="B26" s="17" t="n">
        <x:v>58.40321431819449</x:v>
      </x:c>
      <x:c r="C26" s="22" t="inlineStr">
        <x:is>
          <x:t xml:space="preserve">interpolated</x:t>
        </x:is>
      </x:c>
    </x:row>
    <x:row r="27">
      <x:c r="A27" s="25" t="n">
        <x:v>45754</x:v>
      </x:c>
      <x:c r="B27" s="17" t="n">
        <x:v>58.77719276762343</x:v>
      </x:c>
      <x:c r="C27" s="22" t="inlineStr">
        <x:is>
          <x:t xml:space="preserve">interpolated</x:t>
        </x:is>
      </x:c>
    </x:row>
    <x:row r="28">
      <x:c r="A28" s="25" t="n">
        <x:v>45761</x:v>
      </x:c>
      <x:c r="B28" s="17" t="n">
        <x:v>59.18224679312107</x:v>
      </x:c>
      <x:c r="C28" s="22" t="inlineStr">
        <x:is>
          <x:t xml:space="preserve">interpolated</x:t>
        </x:is>
      </x:c>
    </x:row>
    <x:row r="29">
      <x:c r="A29" s="25" t="n">
        <x:v>45768</x:v>
      </x:c>
      <x:c r="B29" s="17" t="n">
        <x:v>59.74171014394671</x:v>
      </x:c>
      <x:c r="C29" s="22" t="inlineStr">
        <x:is>
          <x:t xml:space="preserve">interpolated</x:t>
        </x:is>
      </x:c>
    </x:row>
    <x:row r="30">
      <x:c r="A30" s="25" t="n">
        <x:v>45775</x:v>
      </x:c>
      <x:c r="B30" s="17" t="n">
        <x:v>60.56999524530204</x:v>
      </x:c>
      <x:c r="C30" s="22" t="inlineStr">
        <x:is>
          <x:t xml:space="preserve">interpolated</x:t>
        </x:is>
      </x:c>
    </x:row>
    <x:row r="31">
      <x:c r="A31" s="25" t="n">
        <x:v>45782</x:v>
      </x:c>
      <x:c r="B31" s="17" t="n">
        <x:v>61.38700790719666</x:v>
      </x:c>
      <x:c r="C31" s="22" t="inlineStr">
        <x:is>
          <x:t xml:space="preserve">interpolated</x:t>
        </x:is>
      </x:c>
    </x:row>
    <x:row r="32">
      <x:c r="A32" s="25" t="n">
        <x:v>45789</x:v>
      </x:c>
      <x:c r="B32" s="17" t="n">
        <x:v>61.9069165288692</x:v>
      </x:c>
      <x:c r="C32" s="22" t="inlineStr">
        <x:is>
          <x:t xml:space="preserve">interpolated</x:t>
        </x:is>
      </x:c>
    </x:row>
    <x:row r="33">
      <x:c r="A33" s="25" t="n">
        <x:v>45796</x:v>
      </x:c>
      <x:c r="B33" s="17" t="n">
        <x:v>61.95871366334569</x:v>
      </x:c>
      <x:c r="C33" s="22" t="inlineStr">
        <x:is>
          <x:t xml:space="preserve">interpolated</x:t>
        </x:is>
      </x:c>
    </x:row>
    <x:row r="34">
      <x:c r="A34" s="25" t="n">
        <x:v>45803</x:v>
      </x:c>
      <x:c r="B34" s="17" t="n">
        <x:v>61.90342538443341</x:v>
      </x:c>
      <x:c r="C34" s="22" t="inlineStr">
        <x:is>
          <x:t xml:space="preserve">interpolated</x:t>
        </x:is>
      </x:c>
    </x:row>
    <x:row r="35">
      <x:c r="A35" s="25" t="n">
        <x:v>45810</x:v>
      </x:c>
      <x:c r="B35" s="17" t="n">
        <x:v>61.80945458515251</x:v>
      </x:c>
      <x:c r="C35" s="22" t="inlineStr">
        <x:is>
          <x:t xml:space="preserve">interpolated</x:t>
        </x:is>
      </x:c>
    </x:row>
    <x:row r="36">
      <x:c r="A36" s="25" t="n">
        <x:v>45817</x:v>
      </x:c>
      <x:c r="B36" s="17" t="n">
        <x:v>61.68976228487908</x:v>
      </x:c>
      <x:c r="C36" s="22" t="inlineStr">
        <x:is>
          <x:t xml:space="preserve">interpolated</x:t>
        </x:is>
      </x:c>
    </x:row>
    <x:row r="37">
      <x:c r="A37" s="25" t="n">
        <x:v>45824</x:v>
      </x:c>
      <x:c r="B37" s="17" t="n">
        <x:v>61.55470758196417</x:v>
      </x:c>
      <x:c r="C37" s="22" t="inlineStr">
        <x:is>
          <x:t xml:space="preserve">interpolated</x:t>
        </x:is>
      </x:c>
    </x:row>
    <x:row r="38">
      <x:c r="A38" s="25" t="n">
        <x:v>45831</x:v>
      </x:c>
      <x:c r="B38" s="17" t="n">
        <x:v>61.28557096797081</x:v>
      </x:c>
      <x:c r="C38" s="22" t="inlineStr">
        <x:is>
          <x:t xml:space="preserve">interpolated</x:t>
        </x:is>
      </x:c>
    </x:row>
    <x:row r="39">
      <x:c r="A39" s="25" t="n">
        <x:v>45838</x:v>
      </x:c>
      <x:c r="B39" s="17" t="n">
        <x:v>60.91063581969797</x:v>
      </x:c>
      <x:c r="C39" s="22" t="inlineStr">
        <x:is>
          <x:t xml:space="preserve">interpolated</x:t>
        </x:is>
      </x:c>
    </x:row>
    <x:row r="40">
      <x:c r="A40" s="25" t="n">
        <x:v>45845</x:v>
      </x:c>
      <x:c r="B40" s="17" t="n">
        <x:v>60.56706278912527</x:v>
      </x:c>
      <x:c r="C40" s="22" t="inlineStr">
        <x:is>
          <x:t xml:space="preserve">interpolated</x:t>
        </x:is>
      </x:c>
    </x:row>
    <x:row r="41">
      <x:c r="A41" s="25" t="n">
        <x:v>45852</x:v>
      </x:c>
      <x:c r="B41" s="17" t="n">
        <x:v>60.39201252823226</x:v>
      </x:c>
      <x:c r="C41" s="22" t="inlineStr">
        <x:is>
          <x:t xml:space="preserve">interpolated</x:t>
        </x:is>
      </x:c>
    </x:row>
    <x:row r="42">
      <x:c r="A42" s="25" t="n">
        <x:v>45859</x:v>
      </x:c>
      <x:c r="B42" s="17" t="n">
        <x:v>60.41045033756354</x:v>
      </x:c>
      <x:c r="C42" s="22" t="inlineStr">
        <x:is>
          <x:t xml:space="preserve">interpolated</x:t>
        </x:is>
      </x:c>
    </x:row>
    <x:row r="43">
      <x:c r="A43" s="25" t="n">
        <x:v>45866</x:v>
      </x:c>
      <x:c r="B43" s="17" t="n">
        <x:v>60.47833816688533</x:v>
      </x:c>
      <x:c r="C43" s="22" t="inlineStr">
        <x:is>
          <x:t xml:space="preserve">interpolated</x:t>
        </x:is>
      </x:c>
    </x:row>
    <x:row r="44">
      <x:c r="A44" s="25" t="n">
        <x:v>45873</x:v>
      </x:c>
      <x:c r="B44" s="17" t="n">
        <x:v>60.57179501644458</x:v>
      </x:c>
      <x:c r="C44" s="22" t="inlineStr">
        <x:is>
          <x:t xml:space="preserve">interpolated</x:t>
        </x:is>
      </x:c>
    </x:row>
    <x:row r="45">
      <x:c r="A45" s="25" t="n">
        <x:v>45880</x:v>
      </x:c>
      <x:c r="B45" s="17" t="n">
        <x:v>60.6695174304643</x:v>
      </x:c>
      <x:c r="C45" s="22" t="inlineStr">
        <x:is>
          <x:t xml:space="preserve">interpolated</x:t>
        </x:is>
      </x:c>
    </x:row>
    <x:row r="46">
      <x:c r="A46" s="25" t="n">
        <x:v>45887</x:v>
      </x:c>
      <x:c r="B46" s="17" t="n">
        <x:v>60.75680222755388</x:v>
      </x:c>
      <x:c r="C46" s="22" t="inlineStr">
        <x:is>
          <x:t xml:space="preserve">interpolated</x:t>
        </x:is>
      </x:c>
    </x:row>
    <x:row r="47">
      <x:c r="A47" s="25" t="n">
        <x:v>45894</x:v>
      </x:c>
      <x:c r="B47" s="17" t="n">
        <x:v>60.86367345416594</x:v>
      </x:c>
      <x:c r="C47" s="22" t="inlineStr">
        <x:is>
          <x:t xml:space="preserve">interpolated</x:t>
        </x:is>
      </x:c>
    </x:row>
    <x:row r="48">
      <x:c r="A48" s="25" t="n">
        <x:v>45901</x:v>
      </x:c>
      <x:c r="B48" s="17" t="n">
        <x:v>60.97442307807853</x:v>
      </x:c>
      <x:c r="C48" s="22" t="inlineStr">
        <x:is>
          <x:t xml:space="preserve">interpolated</x:t>
        </x:is>
      </x:c>
    </x:row>
    <x:row r="49">
      <x:c r="A49" s="25" t="n">
        <x:v>45908</x:v>
      </x:c>
      <x:c r="B49" s="17" t="n">
        <x:v>61.06125595686921</x:v>
      </x:c>
      <x:c r="C49" s="22" t="inlineStr">
        <x:is>
          <x:t xml:space="preserve">interpolated</x:t>
        </x:is>
      </x:c>
    </x:row>
    <x:row r="50">
      <x:c r="A50" s="25" t="n">
        <x:v>45915</x:v>
      </x:c>
      <x:c r="B50" s="17" t="n">
        <x:v>61.09637694811553</x:v>
      </x:c>
      <x:c r="C50" s="22" t="inlineStr">
        <x:is>
          <x:t xml:space="preserve">interpolated</x:t>
        </x:is>
      </x:c>
    </x:row>
    <x:row r="51">
      <x:c r="A51" s="25" t="n">
        <x:v>45922</x:v>
      </x:c>
      <x:c r="B51" s="17" t="n">
        <x:v>61.09351437392795</x:v>
      </x:c>
      <x:c r="C51" s="22" t="inlineStr">
        <x:is>
          <x:t xml:space="preserve">interpolated</x:t>
        </x:is>
      </x:c>
    </x:row>
    <x:row r="52">
      <x:c r="A52" s="25" t="n">
        <x:v>45929</x:v>
      </x:c>
      <x:c r="B52" s="17" t="n">
        <x:v>61.08514754590442</x:v>
      </x:c>
      <x:c r="C52" s="22" t="inlineStr">
        <x:is>
          <x:t xml:space="preserve">interpolated</x:t>
        </x:is>
      </x:c>
    </x:row>
    <x:row r="53">
      <x:c r="A53" s="25" t="n">
        <x:v>45936</x:v>
      </x:c>
      <x:c r="B53" s="17" t="n">
        <x:v>61.07160780585374</x:v>
      </x:c>
      <x:c r="C53" s="22" t="inlineStr">
        <x:is>
          <x:t xml:space="preserve">interpolated</x:t>
        </x:is>
      </x:c>
    </x:row>
    <x:row r="54">
      <x:c r="A54" s="25" t="n">
        <x:v>45943</x:v>
      </x:c>
      <x:c r="B54" s="17" t="n">
        <x:v>61.05322649558471</x:v>
      </x:c>
      <x:c r="C54" s="22" t="inlineStr">
        <x:is>
          <x:t xml:space="preserve">interpolated</x:t>
        </x:is>
      </x:c>
    </x:row>
    <x:row r="55">
      <x:c r="A55" s="25" t="n">
        <x:v>45950</x:v>
      </x:c>
      <x:c r="B55" s="17" t="n">
        <x:v>60.94950760493677</x:v>
      </x:c>
      <x:c r="C55" s="22" t="inlineStr">
        <x:is>
          <x:t xml:space="preserve">interpolated</x:t>
        </x:is>
      </x:c>
    </x:row>
    <x:row r="56">
      <x:c r="A56" s="25" t="n">
        <x:v>45957</x:v>
      </x:c>
      <x:c r="B56" s="17" t="n">
        <x:v>60.61837004711091</x:v>
      </x:c>
      <x:c r="C56" s="22" t="inlineStr">
        <x:is>
          <x:t xml:space="preserve">interpolated</x:t>
        </x:is>
      </x:c>
    </x:row>
    <x:row r="57">
      <x:c r="A57" s="25" t="n">
        <x:v>45964</x:v>
      </x:c>
      <x:c r="B57" s="17" t="n">
        <x:v>60.20967534468454</x:v>
      </x:c>
      <x:c r="C57" s="22" t="inlineStr">
        <x:is>
          <x:t xml:space="preserve">interpolated</x:t>
        </x:is>
      </x:c>
    </x:row>
    <x:row r="58">
      <x:c r="A58" s="25" t="n">
        <x:v>45971</x:v>
      </x:c>
      <x:c r="B58" s="17" t="n">
        <x:v>59.88845825940648</x:v>
      </x:c>
      <x:c r="C58" s="22" t="inlineStr">
        <x:is>
          <x:t xml:space="preserve">interpolated</x:t>
        </x:is>
      </x:c>
    </x:row>
    <x:row r="59">
      <x:c r="A59" s="25" t="n">
        <x:v>45978</x:v>
      </x:c>
      <x:c r="B59" s="17" t="n">
        <x:v>59.84561693452009</x:v>
      </x:c>
      <x:c r="C59" s="22" t="inlineStr">
        <x:is>
          <x:t xml:space="preserve">interpolated</x:t>
        </x:is>
      </x:c>
    </x:row>
    <x:row r="60">
      <x:c r="A60" s="25" t="n">
        <x:v>45985</x:v>
      </x:c>
      <x:c r="B60" s="17" t="n">
        <x:v>60.50964982399295</x:v>
      </x:c>
      <x:c r="C60" s="22" t="inlineStr">
        <x:is>
          <x:t xml:space="preserve">interpolated</x:t>
        </x:is>
      </x:c>
    </x:row>
    <x:row r="61">
      <x:c r="A61" s="25" t="n">
        <x:v>45992</x:v>
      </x:c>
      <x:c r="B61" s="17" t="n">
        <x:v>61.60056099955552</x:v>
      </x:c>
      <x:c r="C61" s="22" t="inlineStr">
        <x:is>
          <x:t xml:space="preserve">interpolated</x:t>
        </x:is>
      </x:c>
    </x:row>
    <x:row r="62">
      <x:c r="A62" s="25" t="n">
        <x:v>45999</x:v>
      </x:c>
      <x:c r="B62" s="17" t="n">
        <x:v>62.62032579410313</x:v>
      </x:c>
      <x:c r="C62" s="22" t="inlineStr">
        <x:is>
          <x:t xml:space="preserve">interpolated</x:t>
        </x:is>
      </x:c>
    </x:row>
    <x:row r="63">
      <x:c r="A63" s="25" t="n">
        <x:v>46006</x:v>
      </x:c>
      <x:c r="B63" s="17" t="n">
        <x:v>63.07091954053115</x:v>
      </x:c>
      <x:c r="C63" s="22" t="inlineStr">
        <x:is>
          <x:t xml:space="preserve">interpolated</x:t>
        </x:is>
      </x:c>
    </x:row>
    <x:row r="64">
      <x:c r="A64" s="25" t="n">
        <x:v>46013</x:v>
      </x:c>
      <x:c r="B64" s="17" t="n">
        <x:v>62.88464610234902</x:v>
      </x:c>
      <x:c r="C64" s="22" t="inlineStr">
        <x:is>
          <x:t xml:space="preserve">interpolated</x:t>
        </x:is>
      </x:c>
    </x:row>
    <x:row r="65">
      <x:c r="A65" s="25" t="n">
        <x:v>46020</x:v>
      </x:c>
      <x:c r="B65" s="17" t="n">
        <x:v>62.42698445950182</x:v>
      </x:c>
      <x:c r="C65" s="22" t="inlineStr">
        <x:is>
          <x:t xml:space="preserve">interpolated</x:t>
        </x:is>
      </x:c>
    </x:row>
    <x:row r="66">
      <x:c r="A66" s="25" t="n">
        <x:v>46027</x:v>
      </x:c>
      <x:c r="B66" s="17" t="n">
        <x:v>61.84967261953835</x:v>
      </x:c>
      <x:c r="C66" s="22" t="inlineStr">
        <x:is>
          <x:t xml:space="preserve">interpolated</x:t>
        </x:is>
      </x:c>
    </x:row>
    <x:row r="67">
      <x:c r="A67" s="25" t="n">
        <x:v>46034</x:v>
      </x:c>
      <x:c r="B67" s="17" t="n">
        <x:v>61.30444859000741</x:v>
      </x:c>
      <x:c r="C67" s="22" t="inlineStr">
        <x:is>
          <x:t xml:space="preserve">interpolated</x:t>
        </x:is>
      </x:c>
    </x:row>
    <x:row r="68">
      <x:c r="A68" s="25" t="n">
        <x:v>46041</x:v>
      </x:c>
      <x:c r="B68" s="17" t="n">
        <x:v>60.88158019320372</x:v>
      </x:c>
      <x:c r="C68" s="22" t="inlineStr">
        <x:is>
          <x:t xml:space="preserve">interpolated</x:t>
        </x:is>
      </x:c>
    </x:row>
    <x:row r="69">
      <x:c r="A69" s="25" t="n">
        <x:v>46048</x:v>
      </x:c>
      <x:c r="B69" s="17" t="n">
        <x:v>60.42769871481796</x:v>
      </x:c>
      <x:c r="C69" s="22" t="inlineStr">
        <x:is>
          <x:t xml:space="preserve">interpolated</x:t>
        </x:is>
      </x:c>
    </x:row>
    <x:row r="70">
      <x:c r="A70" s="25" t="n">
        <x:v>46055</x:v>
      </x:c>
      <x:c r="B70" s="17" t="n">
        <x:v>60.00190761735556</x:v>
      </x:c>
      <x:c r="C70" s="22" t="inlineStr">
        <x:is>
          <x:t xml:space="preserve">interpolated</x:t>
        </x:is>
      </x:c>
    </x:row>
    <x:row r="71">
      <x:c r="A71" s="25" t="n">
        <x:v>46062</x:v>
      </x:c>
      <x:c r="B71" s="17" t="n">
        <x:v>59.69605394571145</x:v>
      </x:c>
      <x:c r="C71" s="22" t="inlineStr">
        <x:is>
          <x:t xml:space="preserve">interpolated</x:t>
        </x:is>
      </x:c>
    </x:row>
    <x:row r="72">
      <x:c r="A72" s="25" t="n">
        <x:v>46069</x:v>
      </x:c>
      <x:c r="B72" s="17" t="n">
        <x:v>59.59943755307551</x:v>
      </x:c>
      <x:c r="C72" s="22" t="inlineStr">
        <x:is>
          <x:t xml:space="preserve">interpolated</x:t>
        </x:is>
      </x:c>
    </x:row>
    <x:row r="73">
      <x:c r="A73" s="25" t="n">
        <x:v>46076</x:v>
      </x:c>
      <x:c r="B73" s="17" t="n">
        <x:v>59.63477692368442</x:v>
      </x:c>
      <x:c r="C73" s="23" t="inlineStr">
        <x:is>
          <x:t xml:space="preserve">projected_to_mar2026</x:t>
        </x:is>
      </x:c>
    </x:row>
    <x:row r="74">
      <x:c r="A74" s="25" t="n">
        <x:v>46083</x:v>
      </x:c>
      <x:c r="B74" s="17" t="n">
        <x:v>59.74679105111145</x:v>
      </x:c>
      <x:c r="C74" s="23" t="inlineStr">
        <x:is>
          <x:t xml:space="preserve">projected_to_mar2026</x:t>
        </x:is>
      </x:c>
    </x:row>
    <x:row r="75">
      <x:c r="A75" s="25" t="n">
        <x:v>46090</x:v>
      </x:c>
      <x:c r="B75" s="17" t="n">
        <x:v>59.96416353031891</x:v>
      </x:c>
      <x:c r="C75" s="23" t="inlineStr">
        <x:is>
          <x:t xml:space="preserve">projected_to_mar2026</x:t>
        </x:is>
      </x:c>
    </x:row>
    <x:row r="76">
      <x:c r="A76" s="25" t="n">
        <x:v>46097</x:v>
      </x:c>
      <x:c r="B76" s="17" t="n">
        <x:v>60.25608211228174</x:v>
      </x:c>
      <x:c r="C76" s="23" t="inlineStr">
        <x:is>
          <x:t xml:space="preserve">projected_hold</x:t>
        </x:is>
      </x:c>
    </x:row>
    <x:row r="77">
      <x:c r="A77" s="25" t="n">
        <x:v>46104</x:v>
      </x:c>
      <x:c r="B77" s="17" t="n">
        <x:v>60.25608211228174</x:v>
      </x:c>
      <x:c r="C77" s="23" t="inlineStr">
        <x:is>
          <x:t xml:space="preserve">projected_hold</x:t>
        </x:is>
      </x:c>
    </x:row>
    <x:row r="78">
      <x:c r="A78" s="25" t="n">
        <x:v>46111</x:v>
      </x:c>
      <x:c r="B78" s="17" t="n">
        <x:v>60.25608211228174</x:v>
      </x:c>
      <x:c r="C78" s="23" t="inlineStr">
        <x:is>
          <x:t xml:space="preserve">projected_hold</x:t>
        </x:is>
      </x:c>
    </x:row>
  </x:sheetData>
  <x:pageMargins left="0.7" right="0.7" top="0.75" bottom="0.75" header="0.3" footer="0.3"/>
  <x:drawing xmlns:r="http://schemas.openxmlformats.org/officeDocument/2006/relationships" r:id="Rb5bb7a1639f542c1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6" style="7" customWidth="1"/>
    <x:col min="2" max="2" width="18" style="7" customWidth="1"/>
    <x:col min="3" max="3" width="30" style="7" customWidth="1"/>
    <x:col min="5" max="5" width="90" style="7" customWidth="1"/>
  </x:cols>
  <x:sheetData>
    <x:row r="1">
      <x:c r="A1" s="16" t="inlineStr">
        <x:is>
          <x:t xml:space="preserve">Fecha</x:t>
        </x:is>
      </x:c>
      <x:c r="B1" s="16" t="inlineStr">
        <x:is>
          <x:t xml:space="preserve">Rubrum_eval_general</x:t>
        </x:is>
      </x:c>
      <x:c r="C1" s="16" t="inlineStr">
        <x:is>
          <x:t xml:space="preserve">Uso_en_serie_base</x:t>
        </x:is>
      </x:c>
      <x:c r="E1" t="inlineStr">
        <x:is>
          <x:t xml:space="preserve">Nota técnica</x:t>
        </x:is>
      </x:c>
    </x:row>
    <x:row r="2">
      <x:c r="A2" s="25" t="n">
        <x:v>45580</x:v>
      </x:c>
      <x:c r="B2" s="24" t="n">
        <x:v>6.43</x:v>
      </x:c>
      <x:c r="C2" t="inlineStr">
        <x:is>
          <x:t xml:space="preserve">No entra en la serie base de nivel</x:t>
        </x:is>
      </x:c>
      <x:c r="E2" t="inlineStr">
        <x:is>
          <x:t xml:space="preserve">La serie base usa solo encuestas de aprobación (Demoscopía, SCR y Mitofsky).</x:t>
        </x:is>
      </x:c>
    </x:row>
    <x:row r="3">
      <x:c r="A3" s="25" t="n">
        <x:v>45611</x:v>
      </x:c>
      <x:c r="B3" s="24" t="n">
        <x:v>6.3</x:v>
      </x:c>
      <x:c r="C3" t="inlineStr">
        <x:is>
          <x:t xml:space="preserve">No entra en la serie base de nivel</x:t>
        </x:is>
      </x:c>
      <x:c r="E3" t="inlineStr">
        <x:is>
          <x:t xml:space="preserve">Rubrum se conserva como señal auxiliar por tener escala distinta (0-10) y relación inestable con la aprobación.</x:t>
        </x:is>
      </x:c>
    </x:row>
    <x:row r="4">
      <x:c r="A4" s="25" t="n">
        <x:v>45641</x:v>
      </x:c>
      <x:c r="B4" s="24" t="n">
        <x:v>6.4</x:v>
      </x:c>
      <x:c r="C4" t="inlineStr">
        <x:is>
          <x:t xml:space="preserve">No entra en la serie base de nivel</x:t>
        </x:is>
      </x:c>
    </x:row>
    <x:row r="5">
      <x:c r="A5" s="25" t="n">
        <x:v>45672</x:v>
      </x:c>
      <x:c r="B5" s="24" t="n">
        <x:v>5.98</x:v>
      </x:c>
      <x:c r="C5" t="inlineStr">
        <x:is>
          <x:t xml:space="preserve">No entra en la serie base de nivel</x:t>
        </x:is>
      </x:c>
    </x:row>
    <x:row r="6">
      <x:c r="A6" s="25" t="n">
        <x:v>45703</x:v>
      </x:c>
      <x:c r="B6" s="24" t="n">
        <x:v>5.65</x:v>
      </x:c>
      <x:c r="C6" t="inlineStr">
        <x:is>
          <x:t xml:space="preserve">No entra en la serie base de nivel</x:t>
        </x:is>
      </x:c>
    </x:row>
    <x:row r="7">
      <x:c r="A7" s="25" t="n">
        <x:v>45731</x:v>
      </x:c>
      <x:c r="B7" s="24" t="n">
        <x:v>5.29</x:v>
      </x:c>
      <x:c r="C7" t="inlineStr">
        <x:is>
          <x:t xml:space="preserve">No entra en la serie base de nivel</x:t>
        </x:is>
      </x:c>
    </x:row>
    <x:row r="8">
      <x:c r="A8" s="25" t="n">
        <x:v>45762</x:v>
      </x:c>
      <x:c r="B8" s="24" t="n">
        <x:v>5.54</x:v>
      </x:c>
      <x:c r="C8" t="inlineStr">
        <x:is>
          <x:t xml:space="preserve">No entra en la serie base de nivel</x:t>
        </x:is>
      </x:c>
    </x:row>
    <x:row r="9">
      <x:c r="A9" s="25" t="n">
        <x:v>45792</x:v>
      </x:c>
      <x:c r="B9" s="24" t="n">
        <x:v>5.69</x:v>
      </x:c>
      <x:c r="C9" t="inlineStr">
        <x:is>
          <x:t xml:space="preserve">No entra en la serie base de nivel</x:t>
        </x:is>
      </x:c>
    </x:row>
    <x:row r="10">
      <x:c r="A10" s="25" t="n">
        <x:v>45823</x:v>
      </x:c>
      <x:c r="B10" s="24" t="n">
        <x:v>5.39</x:v>
      </x:c>
      <x:c r="C10" t="inlineStr">
        <x:is>
          <x:t xml:space="preserve">No entra en la serie base de nivel</x:t>
        </x:is>
      </x:c>
    </x:row>
    <x:row r="11">
      <x:c r="A11" s="25" t="n">
        <x:v>45853</x:v>
      </x:c>
      <x:c r="B11" s="24" t="n">
        <x:v>4.5</x:v>
      </x:c>
      <x:c r="C11" t="inlineStr">
        <x:is>
          <x:t xml:space="preserve">No entra en la serie base de nivel</x:t>
        </x:is>
      </x:c>
    </x:row>
    <x:row r="12">
      <x:c r="A12" s="25" t="n">
        <x:v>45884</x:v>
      </x:c>
      <x:c r="B12" s="24" t="n">
        <x:v>5.17</x:v>
      </x:c>
      <x:c r="C12" t="inlineStr">
        <x:is>
          <x:t xml:space="preserve">No entra en la serie base de nivel</x:t>
        </x:is>
      </x:c>
    </x:row>
    <x:row r="13">
      <x:c r="A13" s="25" t="n">
        <x:v>45915</x:v>
      </x:c>
      <x:c r="B13" s="24" t="n">
        <x:v>5.06</x:v>
      </x:c>
      <x:c r="C13" t="inlineStr">
        <x:is>
          <x:t xml:space="preserve">No entra en la serie base de nivel</x:t>
        </x:is>
      </x:c>
    </x:row>
    <x:row r="14">
      <x:c r="A14" s="25" t="n">
        <x:v>45945</x:v>
      </x:c>
      <x:c r="B14" s="24" t="n">
        <x:v>5.01</x:v>
      </x:c>
      <x:c r="C14" t="inlineStr">
        <x:is>
          <x:t xml:space="preserve">No entra en la serie base de nivel</x:t>
        </x:is>
      </x:c>
    </x:row>
    <x:row r="15">
      <x:c r="A15" s="25" t="n">
        <x:v>45976</x:v>
      </x:c>
      <x:c r="B15" s="24" t="n">
        <x:v>4.37</x:v>
      </x:c>
      <x:c r="C15" t="inlineStr">
        <x:is>
          <x:t xml:space="preserve">No entra en la serie base de nivel</x:t>
        </x:is>
      </x:c>
    </x:row>
    <x:row r="16">
      <x:c r="A16" s="25" t="n">
        <x:v>46006</x:v>
      </x:c>
      <x:c r="B16" s="24" t="n">
        <x:v>4.91</x:v>
      </x:c>
      <x:c r="C16" t="inlineStr">
        <x:is>
          <x:t xml:space="preserve">No entra en la serie base de nivel</x:t>
        </x:is>
      </x:c>
    </x:row>
    <x:row r="17">
      <x:c r="A17" s="25" t="n">
        <x:v>46037</x:v>
      </x:c>
      <x:c r="B17" s="24" t="n">
        <x:v>4.9</x:v>
      </x:c>
      <x:c r="C17" t="inlineStr">
        <x:is>
          <x:t xml:space="preserve">No entra en la serie base de nivel</x:t>
        </x:is>
      </x:c>
    </x:row>
    <x:row r="18">
      <x:c r="A18" s="25" t="n">
        <x:v>46068</x:v>
      </x:c>
      <x:c r="B18" s="24" t="n">
        <x:v>4.91</x:v>
      </x:c>
      <x:c r="C18" t="inlineStr">
        <x:is>
          <x:t xml:space="preserve">No entra en la serie base de nivel</x:t>
        </x:is>
      </x:c>
    </x:row>
    <x:row r="19">
      <x:c r="A19" s="25" t="n">
        <x:v>46096</x:v>
      </x:c>
      <x:c r="B19" s="24" t="n">
        <x:v>4.86</x:v>
      </x:c>
      <x:c r="C19" t="inlineStr">
        <x:is>
          <x:t xml:space="preserve">No entra en la serie base de nivel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4" style="7" customWidth="1"/>
    <x:col min="2" max="2" width="120" style="7" customWidth="1"/>
  </x:cols>
  <x:sheetData>
    <x:row r="1">
      <x:c r="A1" s="14" t="inlineStr">
        <x:is>
          <x:t xml:space="preserve">Objetivo</x:t>
        </x:is>
      </x:c>
      <x:c r="B1" s="15" t="inlineStr">
        <x:is>
          <x:t xml:space="preserve">Construir una serie semanal alternativa incluyendo las 4 encuestas del archivo, incorporando Rubrum a la serie base.</x:t>
        </x:is>
      </x:c>
    </x:row>
    <x:row r="2">
      <x:c r="A2" s="14" t="inlineStr">
        <x:is>
          <x:t xml:space="preserve">Transformación Rubrum</x:t>
        </x:is>
      </x:c>
      <x:c r="B2" s="15" t="inlineStr">
        <x:is>
          <x:t xml:space="preserve">Rubrum se incorpora en una escala base 100 usando Rubrum x 10.</x:t>
        </x:is>
      </x:c>
    </x:row>
    <x:row r="3">
      <x:c r="A3" s="14" t="inlineStr">
        <x:is>
          <x:t xml:space="preserve">Corrección de house effect</x:t>
        </x:is>
      </x:c>
      <x:c r="B3" s="15" t="inlineStr">
        <x:is>
          <x:t xml:space="preserve">Después de escalar Rubrum, a las 4 encuestadoras se les corrige el sesgo medio contra la mediana mensual robusta del grupo disponible.</x:t>
        </x:is>
      </x:c>
    </x:row>
    <x:row r="4">
      <x:c r="A4" s="14" t="inlineStr">
        <x:is>
          <x:t xml:space="preserve">Ponderación</x:t>
        </x:is>
      </x:c>
      <x:c r="B4" s="15" t="inlineStr">
        <x:is>
          <x:t xml:space="preserve">Se asignan pesos por confiabilidad usando el inverso del error cuadrático medio frente a la mediana mensual robusta. Rubrum entra, pero con peso bajo por su mayor dispersión.</x:t>
        </x:is>
      </x:c>
    </x:row>
    <x:row r="5">
      <x:c r="A5" s="14" t="inlineStr">
        <x:is>
          <x:t xml:space="preserve">Interpretación</x:t>
        </x:is>
      </x:c>
      <x:c r="B5" s="15" t="inlineStr">
        <x:is>
          <x:t xml:space="preserve">Esta es una serie alternativa. Incluye Rubrum, por lo que el nivel final es más sensible a esa fuente, sobre todo en marzo-2026 cuando Rubrum es la única observación disponible.</x:t>
        </x:is>
      </x:c>
    </x:row>
    <x:row r="6">
      <x:c r="A6" s="14" t="inlineStr">
        <x:is>
          <x:t xml:space="preserve">Marzo 2026</x:t>
        </x:is>
      </x:c>
      <x:c r="B6" s="15" t="inlineStr">
        <x:is>
          <x:t xml:space="preserve">A diferencia de la serie base, aquí marzo-2026 ya no es proyección. Queda anclado por Rubrum x 10, ajustado por house effect y ponderado dentro del consenso de 4 encuestas.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6" style="7" customWidth="1"/>
    <x:col min="2" max="2" width="14" style="7" customWidth="1"/>
    <x:col min="3" max="3" width="10" style="7" customWidth="1"/>
    <x:col min="4" max="4" width="18" style="7" customWidth="1"/>
  </x:cols>
  <x:sheetData>
    <x:row r="1">
      <x:c r="A1" s="16" t="inlineStr">
        <x:is>
          <x:t xml:space="preserve">Encuestadora</x:t>
        </x:is>
      </x:c>
      <x:c r="B1" s="16" t="inlineStr">
        <x:is>
          <x:t xml:space="preserve">House effect</x:t>
        </x:is>
      </x:c>
      <x:c r="C1" s="16" t="inlineStr">
        <x:is>
          <x:t xml:space="preserve">Peso</x:t>
        </x:is>
      </x:c>
      <x:c r="D1" s="16" t="inlineStr">
        <x:is>
          <x:t xml:space="preserve">MSE vs mediana robusta</x:t>
        </x:is>
      </x:c>
    </x:row>
    <x:row r="2">
      <x:c r="A2" t="inlineStr">
        <x:is>
          <x:t xml:space="preserve">Mitofsky</x:t>
        </x:is>
      </x:c>
      <x:c r="B2" s="17" t="n">
        <x:v>-3.381249999999999</x:v>
      </x:c>
      <x:c r="C2" s="18" t="n">
        <x:v>0.3134913777813685</x:v>
      </x:c>
      <x:c r="D2" s="17" t="n">
        <x:v>14.36156249999999</x:v>
      </x:c>
    </x:row>
    <x:row r="3">
      <x:c r="A3" t="inlineStr">
        <x:is>
          <x:t xml:space="preserve">SCR</x:t>
        </x:is>
      </x:c>
      <x:c r="B3" s="17" t="n">
        <x:v>2.103125000000001</x:v>
      </x:c>
      <x:c r="C3" s="18" t="n">
        <x:v>0.3524031859279238</x:v>
      </x:c>
      <x:c r="D3" s="17" t="n">
        <x:v>12.77578125</x:v>
      </x:c>
    </x:row>
    <x:row r="4">
      <x:c r="A4" t="inlineStr">
        <x:is>
          <x:t xml:space="preserve">Demoscopia</x:t>
        </x:is>
      </x:c>
      <x:c r="B4" s="17" t="n">
        <x:v>1.55</x:v>
      </x:c>
      <x:c r="C4" s="18" t="n">
        <x:v>0.2525230490979154</x:v>
      </x:c>
      <x:c r="D4" s="17" t="n">
        <x:v>17.82897058823529</x:v>
      </x:c>
    </x:row>
    <x:row r="5">
      <x:c r="A5" t="inlineStr">
        <x:is>
          <x:t xml:space="preserve">Rubrum100</x:t>
        </x:is>
      </x:c>
      <x:c r="B5" s="17" t="n">
        <x:v>-4.097222222222221</x:v>
      </x:c>
      <x:c r="C5" s="18" t="n">
        <x:v>0.08158238719279226</x:v>
      </x:c>
      <x:c r="D5" s="17" t="n">
        <x:v>55.18624999999999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4" style="7" customWidth="1"/>
    <x:col min="2" max="2" width="12" style="7" customWidth="1"/>
    <x:col min="3" max="3" width="12" style="7" customWidth="1"/>
    <x:col min="4" max="4" width="13" style="7" customWidth="1"/>
    <x:col min="5" max="5" width="13" style="7" customWidth="1"/>
    <x:col min="6" max="6" width="17" style="7" customWidth="1"/>
    <x:col min="7" max="7" width="15" style="7" customWidth="1"/>
    <x:col min="8" max="8" width="20" style="7" customWidth="1"/>
    <x:col min="9" max="9" width="17" style="7" customWidth="1"/>
    <x:col min="10" max="10" width="14" style="7" customWidth="1"/>
  </x:cols>
  <x:sheetData>
    <x:row r="1">
      <x:c r="A1" s="16" t="inlineStr">
        <x:is>
          <x:t xml:space="preserve">Fecha</x:t>
        </x:is>
      </x:c>
      <x:c r="B1" s="16" t="inlineStr">
        <x:is>
          <x:t xml:space="preserve">Mitofsky</x:t>
        </x:is>
      </x:c>
      <x:c r="C1" s="16" t="inlineStr">
        <x:is>
          <x:t xml:space="preserve">SCR</x:t>
        </x:is>
      </x:c>
      <x:c r="D1" s="16" t="inlineStr">
        <x:is>
          <x:t xml:space="preserve">Demoscopia</x:t>
        </x:is>
      </x:c>
      <x:c r="E1" s="16" t="inlineStr">
        <x:is>
          <x:t xml:space="preserve">Rubrum_x10</x:t>
        </x:is>
      </x:c>
      <x:c r="F1" s="16" t="inlineStr">
        <x:is>
          <x:t xml:space="preserve">Mitofsky_ajustada</x:t>
        </x:is>
      </x:c>
      <x:c r="G1" s="16" t="inlineStr">
        <x:is>
          <x:t xml:space="preserve">SCR_ajustada</x:t>
        </x:is>
      </x:c>
      <x:c r="H1" s="16" t="inlineStr">
        <x:is>
          <x:t xml:space="preserve">Demoscopia_ajustada</x:t>
        </x:is>
      </x:c>
      <x:c r="I1" s="16" t="inlineStr">
        <x:is>
          <x:t xml:space="preserve">Rubrum_ajustada</x:t>
        </x:is>
      </x:c>
      <x:c r="J1" s="16" t="inlineStr">
        <x:is>
          <x:t xml:space="preserve">Consenso_4E</x:t>
        </x:is>
      </x:c>
    </x:row>
    <x:row r="2">
      <x:c r="A2" s="25" t="n">
        <x:v>45580</x:v>
      </x:c>
      <x:c r="C2" s="17" t="n">
        <x:v>55.00000000000001</x:v>
      </x:c>
      <x:c r="D2" s="17" t="n">
        <x:v>60.3</x:v>
      </x:c>
      <x:c r="E2" s="17" t="n">
        <x:v>64.3</x:v>
      </x:c>
      <x:c r="F2">
        <x:f>IF(B2="","",B2-Parametros_4E!$B$2)</x:f>
      </x:c>
      <x:c r="G2">
        <x:f>IF(C2="","",C2-Parametros_4E!$B$3)</x:f>
        <x:v>52.89687500000001</x:v>
      </x:c>
      <x:c r="H2">
        <x:f>IF(D2="","",D2-Parametros_4E!$B$4)</x:f>
        <x:v>58.75</x:v>
      </x:c>
      <x:c r="I2">
        <x:f>IF(E2="","",E2-Parametros_4E!$B$5)</x:f>
        <x:v>68.39722222222221</x:v>
      </x:c>
      <x:c r="J2" s="17">
        <x:f>IF(COUNT(F2:I2)=0,"",(IF(F2="",0,F2*Parametros_4E!$C$2)+IF(G2="",0,G2*Parametros_4E!$C$3)+IF(H2="",0,H2*Parametros_4E!$C$4)+IF(I2="",0,I2*Parametros_4E!$C$5))/(IF(F2="",0,Parametros_4E!$C$2)+IF(G2="",0,Parametros_4E!$C$3)+IF(H2="",0,Parametros_4E!$C$4)+IF(I2="",0,Parametros_4E!$C$5)))</x:f>
        <x:v>56.89187842995526</x:v>
      </x:c>
    </x:row>
    <x:row r="3">
      <x:c r="A3" s="25" t="n">
        <x:v>45611</x:v>
      </x:c>
      <x:c r="C3" s="17" t="n">
        <x:v>57.99999999999999</x:v>
      </x:c>
      <x:c r="D3" s="17" t="n">
        <x:v>57.8</x:v>
      </x:c>
      <x:c r="E3" s="17" t="n">
        <x:v>63</x:v>
      </x:c>
      <x:c r="F3">
        <x:f>IF(B3="","",B3-Parametros_4E!$B$2)</x:f>
      </x:c>
      <x:c r="G3">
        <x:f>IF(C3="","",C3-Parametros_4E!$B$3)</x:f>
        <x:v>55.896874999999994</x:v>
      </x:c>
      <x:c r="H3">
        <x:f>IF(D3="","",D3-Parametros_4E!$B$4)</x:f>
        <x:v>56.25</x:v>
      </x:c>
      <x:c r="I3">
        <x:f>IF(E3="","",E3-Parametros_4E!$B$5)</x:f>
        <x:v>67.09722222222223</x:v>
      </x:c>
      <x:c r="J3" s="17">
        <x:f>IF(COUNT(F3:I3)=0,"",(IF(F3="",0,F3*Parametros_4E!$C$2)+IF(G3="",0,G3*Parametros_4E!$C$3)+IF(H3="",0,H3*Parametros_4E!$C$4)+IF(I3="",0,I3*Parametros_4E!$C$5))/(IF(F3="",0,Parametros_4E!$C$2)+IF(G3="",0,Parametros_4E!$C$3)+IF(H3="",0,Parametros_4E!$C$4)+IF(I3="",0,Parametros_4E!$C$5)))</x:f>
        <x:v>57.35777910670814</x:v>
      </x:c>
    </x:row>
    <x:row r="4">
      <x:c r="A4" s="25" t="n">
        <x:v>45641</x:v>
      </x:c>
      <x:c r="B4" s="17" t="n">
        <x:v>54.3</x:v>
      </x:c>
      <x:c r="C4" s="17" t="n">
        <x:v>59</x:v>
      </x:c>
      <x:c r="D4" s="17" t="n">
        <x:v>49.8</x:v>
      </x:c>
      <x:c r="E4" s="17" t="n">
        <x:v>64</x:v>
      </x:c>
      <x:c r="F4">
        <x:f>IF(B4="","",B4-Parametros_4E!$B$2)</x:f>
        <x:v>57.68125</x:v>
      </x:c>
      <x:c r="G4">
        <x:f>IF(C4="","",C4-Parametros_4E!$B$3)</x:f>
        <x:v>56.896875</x:v>
      </x:c>
      <x:c r="H4">
        <x:f>IF(D4="","",D4-Parametros_4E!$B$4)</x:f>
        <x:v>48.25</x:v>
      </x:c>
      <x:c r="I4">
        <x:f>IF(E4="","",E4-Parametros_4E!$B$5)</x:f>
        <x:v>68.09722222222223</x:v>
      </x:c>
      <x:c r="J4" s="17">
        <x:f>IF(COUNT(F4:I4)=0,"",(IF(F4="",0,F4*Parametros_4E!$C$2)+IF(G4="",0,G4*Parametros_4E!$C$3)+IF(H4="",0,H4*Parametros_4E!$C$4)+IF(I4="",0,I4*Parametros_4E!$C$5))/(IF(F4="",0,Parametros_4E!$C$2)+IF(G4="",0,Parametros_4E!$C$3)+IF(H4="",0,Parametros_4E!$C$4)+IF(I4="",0,Parametros_4E!$C$5)))</x:f>
        <x:v>55.87298562305577</x:v>
      </x:c>
    </x:row>
    <x:row r="5">
      <x:c r="A5" s="25" t="n">
        <x:v>45672</x:v>
      </x:c>
      <x:c r="C5" s="17" t="n">
        <x:v>60</x:v>
      </x:c>
      <x:c r="D5" s="17" t="n">
        <x:v>55.9</x:v>
      </x:c>
      <x:c r="E5" s="17" t="n">
        <x:v>59.8</x:v>
      </x:c>
      <x:c r="F5">
        <x:f>IF(B5="","",B5-Parametros_4E!$B$2)</x:f>
      </x:c>
      <x:c r="G5">
        <x:f>IF(C5="","",C5-Parametros_4E!$B$3)</x:f>
        <x:v>57.896875</x:v>
      </x:c>
      <x:c r="H5">
        <x:f>IF(D5="","",D5-Parametros_4E!$B$4)</x:f>
        <x:v>54.35</x:v>
      </x:c>
      <x:c r="I5">
        <x:f>IF(E5="","",E5-Parametros_4E!$B$5)</x:f>
        <x:v>63.89722222222222</x:v>
      </x:c>
      <x:c r="J5" s="17">
        <x:f>IF(COUNT(F5:I5)=0,"",(IF(F5="",0,F5*Parametros_4E!$C$2)+IF(G5="",0,G5*Parametros_4E!$C$3)+IF(H5="",0,H5*Parametros_4E!$C$4)+IF(I5="",0,I5*Parametros_4E!$C$5))/(IF(F5="",0,Parametros_4E!$C$2)+IF(G5="",0,Parametros_4E!$C$3)+IF(H5="",0,Parametros_4E!$C$4)+IF(I5="",0,Parametros_4E!$C$5)))</x:f>
        <x:v>57.30526547573493</x:v>
      </x:c>
    </x:row>
    <x:row r="6">
      <x:c r="A6" s="25" t="n">
        <x:v>45703</x:v>
      </x:c>
      <x:c r="B6" s="17" t="n">
        <x:v>52.3</x:v>
      </x:c>
      <x:c r="C6" s="17" t="n">
        <x:v>61.2</x:v>
      </x:c>
      <x:c r="D6" s="17" t="n">
        <x:v>61.4</x:v>
      </x:c>
      <x:c r="E6" s="17" t="n">
        <x:v>56.5</x:v>
      </x:c>
      <x:c r="F6">
        <x:f>IF(B6="","",B6-Parametros_4E!$B$2)</x:f>
        <x:v>55.68125</x:v>
      </x:c>
      <x:c r="G6">
        <x:f>IF(C6="","",C6-Parametros_4E!$B$3)</x:f>
        <x:v>59.096875000000004</x:v>
      </x:c>
      <x:c r="H6">
        <x:f>IF(D6="","",D6-Parametros_4E!$B$4)</x:f>
        <x:v>59.85</x:v>
      </x:c>
      <x:c r="I6">
        <x:f>IF(E6="","",E6-Parametros_4E!$B$5)</x:f>
        <x:v>60.59722222222222</x:v>
      </x:c>
      <x:c r="J6" s="17">
        <x:f>IF(COUNT(F6:I6)=0,"",(IF(F6="",0,F6*Parametros_4E!$C$2)+IF(G6="",0,G6*Parametros_4E!$C$3)+IF(H6="",0,H6*Parametros_4E!$C$4)+IF(I6="",0,I6*Parametros_4E!$C$5))/(IF(F6="",0,Parametros_4E!$C$2)+IF(G6="",0,Parametros_4E!$C$3)+IF(H6="",0,Parametros_4E!$C$4)+IF(I6="",0,Parametros_4E!$C$5)))</x:f>
        <x:v>58.33868934212435</x:v>
      </x:c>
    </x:row>
    <x:row r="7">
      <x:c r="A7" s="25" t="n">
        <x:v>45731</x:v>
      </x:c>
      <x:c r="C7" s="17" t="n">
        <x:v>61</x:v>
      </x:c>
      <x:c r="D7" s="17" t="n">
        <x:v>55.8</x:v>
      </x:c>
      <x:c r="E7" s="17" t="n">
        <x:v>52.9</x:v>
      </x:c>
      <x:c r="F7">
        <x:f>IF(B7="","",B7-Parametros_4E!$B$2)</x:f>
      </x:c>
      <x:c r="G7">
        <x:f>IF(C7="","",C7-Parametros_4E!$B$3)</x:f>
        <x:v>58.896875</x:v>
      </x:c>
      <x:c r="H7">
        <x:f>IF(D7="","",D7-Parametros_4E!$B$4)</x:f>
        <x:v>54.25</x:v>
      </x:c>
      <x:c r="I7">
        <x:f>IF(E7="","",E7-Parametros_4E!$B$5)</x:f>
        <x:v>56.99722222222222</x:v>
      </x:c>
      <x:c r="J7" s="17">
        <x:f>IF(COUNT(F7:I7)=0,"",(IF(F7="",0,F7*Parametros_4E!$C$2)+IF(G7="",0,G7*Parametros_4E!$C$3)+IF(H7="",0,H7*Parametros_4E!$C$4)+IF(I7="",0,I7*Parametros_4E!$C$5))/(IF(F7="",0,Parametros_4E!$C$2)+IF(G7="",0,Parametros_4E!$C$3)+IF(H7="",0,Parametros_4E!$C$4)+IF(I7="",0,Parametros_4E!$C$5)))</x:f>
        <x:v>56.96183557116914</x:v>
      </x:c>
    </x:row>
    <x:row r="8">
      <x:c r="A8" s="25" t="n">
        <x:v>45762</x:v>
      </x:c>
      <x:c r="B8" s="17" t="n">
        <x:v>53.2</x:v>
      </x:c>
      <x:c r="C8" s="17" t="n">
        <x:v>62</x:v>
      </x:c>
      <x:c r="D8" s="17" t="n">
        <x:v>57.4</x:v>
      </x:c>
      <x:c r="E8" s="17" t="n">
        <x:v>55.4</x:v>
      </x:c>
      <x:c r="F8">
        <x:f>IF(B8="","",B8-Parametros_4E!$B$2)</x:f>
        <x:v>56.581250000000004</x:v>
      </x:c>
      <x:c r="G8">
        <x:f>IF(C8="","",C8-Parametros_4E!$B$3)</x:f>
        <x:v>59.896875</x:v>
      </x:c>
      <x:c r="H8">
        <x:f>IF(D8="","",D8-Parametros_4E!$B$4)</x:f>
        <x:v>55.85</x:v>
      </x:c>
      <x:c r="I8">
        <x:f>IF(E8="","",E8-Parametros_4E!$B$5)</x:f>
        <x:v>59.49722222222222</x:v>
      </x:c>
      <x:c r="J8" s="17">
        <x:f>IF(COUNT(F8:I8)=0,"",(IF(F8="",0,F8*Parametros_4E!$C$2)+IF(G8="",0,G8*Parametros_4E!$C$3)+IF(H8="",0,H8*Parametros_4E!$C$4)+IF(I8="",0,I8*Parametros_4E!$C$5))/(IF(F8="",0,Parametros_4E!$C$2)+IF(G8="",0,Parametros_4E!$C$3)+IF(H8="",0,Parametros_4E!$C$4)+IF(I8="",0,Parametros_4E!$C$5)))</x:f>
        <x:v>57.802921308566184</x:v>
      </x:c>
    </x:row>
    <x:row r="9">
      <x:c r="A9" s="25" t="n">
        <x:v>45792</x:v>
      </x:c>
      <x:c r="C9" s="17" t="n">
        <x:v>62.5</x:v>
      </x:c>
      <x:c r="D9" s="17" t="n">
        <x:v>62.7</x:v>
      </x:c>
      <x:c r="E9" s="17" t="n">
        <x:v>56.90000000000001</x:v>
      </x:c>
      <x:c r="F9">
        <x:f>IF(B9="","",B9-Parametros_4E!$B$2)</x:f>
      </x:c>
      <x:c r="G9">
        <x:f>IF(C9="","",C9-Parametros_4E!$B$3)</x:f>
        <x:v>60.396875</x:v>
      </x:c>
      <x:c r="H9">
        <x:f>IF(D9="","",D9-Parametros_4E!$B$4)</x:f>
        <x:v>61.150000000000006</x:v>
      </x:c>
      <x:c r="I9">
        <x:f>IF(E9="","",E9-Parametros_4E!$B$5)</x:f>
        <x:v>60.997222222222234</x:v>
      </x:c>
      <x:c r="J9" s="17">
        <x:f>IF(COUNT(F9:I9)=0,"",(IF(F9="",0,F9*Parametros_4E!$C$2)+IF(G9="",0,G9*Parametros_4E!$C$3)+IF(H9="",0,H9*Parametros_4E!$C$4)+IF(I9="",0,I9*Parametros_4E!$C$5))/(IF(F9="",0,Parametros_4E!$C$2)+IF(G9="",0,Parametros_4E!$C$3)+IF(H9="",0,Parametros_4E!$C$4)+IF(I9="",0,Parametros_4E!$C$5)))</x:f>
        <x:v>60.74524525078056</x:v>
      </x:c>
    </x:row>
    <x:row r="10">
      <x:c r="A10" s="25" t="n">
        <x:v>45823</x:v>
      </x:c>
      <x:c r="B10" s="17" t="n">
        <x:v>53.7</x:v>
      </x:c>
      <x:c r="C10" s="17" t="n">
        <x:v>63</x:v>
      </x:c>
      <x:c r="D10" s="17" t="n">
        <x:v>61.5</x:v>
      </x:c>
      <x:c r="E10" s="17" t="n">
        <x:v>53.9</x:v>
      </x:c>
      <x:c r="F10">
        <x:f>IF(B10="","",B10-Parametros_4E!$B$2)</x:f>
        <x:v>57.081250000000004</x:v>
      </x:c>
      <x:c r="G10">
        <x:f>IF(C10="","",C10-Parametros_4E!$B$3)</x:f>
        <x:v>60.896875</x:v>
      </x:c>
      <x:c r="H10">
        <x:f>IF(D10="","",D10-Parametros_4E!$B$4)</x:f>
        <x:v>59.95</x:v>
      </x:c>
      <x:c r="I10">
        <x:f>IF(E10="","",E10-Parametros_4E!$B$5)</x:f>
        <x:v>57.99722222222222</x:v>
      </x:c>
      <x:c r="J10" s="17">
        <x:f>IF(COUNT(F10:I10)=0,"",(IF(F10="",0,F10*Parametros_4E!$C$2)+IF(G10="",0,G10*Parametros_4E!$C$3)+IF(H10="",0,H10*Parametros_4E!$C$4)+IF(I10="",0,I10*Parametros_4E!$C$5))/(IF(F10="",0,Parametros_4E!$C$2)+IF(G10="",0,Parametros_4E!$C$3)+IF(H10="",0,Parametros_4E!$C$4)+IF(I10="",0,Parametros_4E!$C$5)))</x:f>
        <x:v>59.22504110389705</x:v>
      </x:c>
    </x:row>
    <x:row r="11">
      <x:c r="A11" s="25" t="n">
        <x:v>45853</x:v>
      </x:c>
      <x:c r="C11" s="17" t="n">
        <x:v>62.5</x:v>
      </x:c>
      <x:c r="D11" s="17" t="n">
        <x:v>59.3</x:v>
      </x:c>
      <x:c r="E11" s="17" t="n">
        <x:v>45</x:v>
      </x:c>
      <x:c r="F11">
        <x:f>IF(B11="","",B11-Parametros_4E!$B$2)</x:f>
      </x:c>
      <x:c r="G11">
        <x:f>IF(C11="","",C11-Parametros_4E!$B$3)</x:f>
        <x:v>60.396875</x:v>
      </x:c>
      <x:c r="H11">
        <x:f>IF(D11="","",D11-Parametros_4E!$B$4)</x:f>
        <x:v>57.75</x:v>
      </x:c>
      <x:c r="I11">
        <x:f>IF(E11="","",E11-Parametros_4E!$B$5)</x:f>
        <x:v>49.09722222222222</x:v>
      </x:c>
      <x:c r="J11" s="17">
        <x:f>IF(COUNT(F11:I11)=0,"",(IF(F11="",0,F11*Parametros_4E!$C$2)+IF(G11="",0,G11*Parametros_4E!$C$3)+IF(H11="",0,H11*Parametros_4E!$C$4)+IF(I11="",0,I11*Parametros_4E!$C$5))/(IF(F11="",0,Parametros_4E!$C$2)+IF(G11="",0,Parametros_4E!$C$3)+IF(H11="",0,Parametros_4E!$C$4)+IF(I11="",0,Parametros_4E!$C$5)))</x:f>
        <x:v>58.080444379649585</x:v>
      </x:c>
    </x:row>
    <x:row r="12">
      <x:c r="A12" s="25" t="n">
        <x:v>45884</x:v>
      </x:c>
      <x:c r="B12" s="17" t="n">
        <x:v>52.9</x:v>
      </x:c>
      <x:c r="C12" s="17" t="n">
        <x:v>62</x:v>
      </x:c>
      <x:c r="D12" s="17" t="n">
        <x:v>60.8</x:v>
      </x:c>
      <x:c r="E12" s="17" t="n">
        <x:v>51.7</x:v>
      </x:c>
      <x:c r="F12">
        <x:f>IF(B12="","",B12-Parametros_4E!$B$2)</x:f>
        <x:v>56.28125</x:v>
      </x:c>
      <x:c r="G12">
        <x:f>IF(C12="","",C12-Parametros_4E!$B$3)</x:f>
        <x:v>59.896875</x:v>
      </x:c>
      <x:c r="H12">
        <x:f>IF(D12="","",D12-Parametros_4E!$B$4)</x:f>
        <x:v>59.25</x:v>
      </x:c>
      <x:c r="I12">
        <x:f>IF(E12="","",E12-Parametros_4E!$B$5)</x:f>
        <x:v>55.797222222222224</x:v>
      </x:c>
      <x:c r="J12" s="17">
        <x:f>IF(COUNT(F12:I12)=0,"",(IF(F12="",0,F12*Parametros_4E!$C$2)+IF(G12="",0,G12*Parametros_4E!$C$3)+IF(H12="",0,H12*Parametros_4E!$C$4)+IF(I12="",0,I12*Parametros_4E!$C$5))/(IF(F12="",0,Parametros_4E!$C$2)+IF(G12="",0,Parametros_4E!$C$3)+IF(H12="",0,Parametros_4E!$C$4)+IF(I12="",0,Parametros_4E!$C$5)))</x:f>
        <x:v>58.26559742955135</x:v>
      </x:c>
    </x:row>
    <x:row r="13">
      <x:c r="A13" s="25" t="n">
        <x:v>45915</x:v>
      </x:c>
      <x:c r="C13" s="17" t="n">
        <x:v>62</x:v>
      </x:c>
      <x:c r="D13" s="17" t="n">
        <x:v>61.4</x:v>
      </x:c>
      <x:c r="E13" s="17" t="n">
        <x:v>50.59999999999999</x:v>
      </x:c>
      <x:c r="F13">
        <x:f>IF(B13="","",B13-Parametros_4E!$B$2)</x:f>
      </x:c>
      <x:c r="G13">
        <x:f>IF(C13="","",C13-Parametros_4E!$B$3)</x:f>
        <x:v>59.896875</x:v>
      </x:c>
      <x:c r="H13">
        <x:f>IF(D13="","",D13-Parametros_4E!$B$4)</x:f>
        <x:v>59.85</x:v>
      </x:c>
      <x:c r="I13">
        <x:f>IF(E13="","",E13-Parametros_4E!$B$5)</x:f>
        <x:v>54.69722222222221</x:v>
      </x:c>
      <x:c r="J13" s="17">
        <x:f>IF(COUNT(F13:I13)=0,"",(IF(F13="",0,F13*Parametros_4E!$C$2)+IF(G13="",0,G13*Parametros_4E!$C$3)+IF(H13="",0,H13*Parametros_4E!$C$4)+IF(I13="",0,I13*Parametros_4E!$C$5))/(IF(F13="",0,Parametros_4E!$C$2)+IF(G13="",0,Parametros_4E!$C$3)+IF(H13="",0,Parametros_4E!$C$4)+IF(I13="",0,Parametros_4E!$C$5)))</x:f>
        <x:v>59.26172332091104</x:v>
      </x:c>
    </x:row>
    <x:row r="14">
      <x:c r="A14" s="25" t="n">
        <x:v>45945</x:v>
      </x:c>
      <x:c r="B14" s="17" t="n">
        <x:v>52.5</x:v>
      </x:c>
      <x:c r="C14" s="17" t="n">
        <x:v>60</x:v>
      </x:c>
      <x:c r="D14" s="17" t="n">
        <x:v>63.9</x:v>
      </x:c>
      <x:c r="E14" s="17" t="n">
        <x:v>50.09999999999999</x:v>
      </x:c>
      <x:c r="F14">
        <x:f>IF(B14="","",B14-Parametros_4E!$B$2)</x:f>
        <x:v>55.88125</x:v>
      </x:c>
      <x:c r="G14">
        <x:f>IF(C14="","",C14-Parametros_4E!$B$3)</x:f>
        <x:v>57.896875</x:v>
      </x:c>
      <x:c r="H14">
        <x:f>IF(D14="","",D14-Parametros_4E!$B$4)</x:f>
        <x:v>62.35</x:v>
      </x:c>
      <x:c r="I14">
        <x:f>IF(E14="","",E14-Parametros_4E!$B$5)</x:f>
        <x:v>54.19722222222221</x:v>
      </x:c>
      <x:c r="J14" s="17">
        <x:f>IF(COUNT(F14:I14)=0,"",(IF(F14="",0,F14*Parametros_4E!$C$2)+IF(G14="",0,G14*Parametros_4E!$C$3)+IF(H14="",0,H14*Parametros_4E!$C$4)+IF(I14="",0,I14*Parametros_4E!$C$5))/(IF(F14="",0,Parametros_4E!$C$2)+IF(G14="",0,Parametros_4E!$C$3)+IF(H14="",0,Parametros_4E!$C$4)+IF(I14="",0,Parametros_4E!$C$5)))</x:f>
        <x:v>58.087684139278025</x:v>
      </x:c>
    </x:row>
    <x:row r="15">
      <x:c r="A15" s="25" t="n">
        <x:v>45976</x:v>
      </x:c>
      <x:c r="C15" s="17" t="n">
        <x:v>59.5</x:v>
      </x:c>
      <x:c r="D15" s="17" t="n">
        <x:v>61.5</x:v>
      </x:c>
      <x:c r="E15" s="17" t="n">
        <x:v>43.7</x:v>
      </x:c>
      <x:c r="F15">
        <x:f>IF(B15="","",B15-Parametros_4E!$B$2)</x:f>
      </x:c>
      <x:c r="G15">
        <x:f>IF(C15="","",C15-Parametros_4E!$B$3)</x:f>
        <x:v>57.396875</x:v>
      </x:c>
      <x:c r="H15">
        <x:f>IF(D15="","",D15-Parametros_4E!$B$4)</x:f>
        <x:v>59.95</x:v>
      </x:c>
      <x:c r="I15">
        <x:f>IF(E15="","",E15-Parametros_4E!$B$5)</x:f>
        <x:v>47.797222222222224</x:v>
      </x:c>
      <x:c r="J15" s="17">
        <x:f>IF(COUNT(F15:I15)=0,"",(IF(F15="",0,F15*Parametros_4E!$C$2)+IF(G15="",0,G15*Parametros_4E!$C$3)+IF(H15="",0,H15*Parametros_4E!$C$4)+IF(I15="",0,I15*Parametros_4E!$C$5))/(IF(F15="",0,Parametros_4E!$C$2)+IF(G15="",0,Parametros_4E!$C$3)+IF(H15="",0,Parametros_4E!$C$4)+IF(I15="",0,Parametros_4E!$C$5)))</x:f>
        <x:v>57.19521740150181</x:v>
      </x:c>
    </x:row>
    <x:row r="16">
      <x:c r="A16" s="25" t="n">
        <x:v>46006</x:v>
      </x:c>
      <x:c r="B16" s="17" t="n">
        <x:v>52.5</x:v>
      </x:c>
      <x:c r="D16" s="17" t="n">
        <x:v>63.8</x:v>
      </x:c>
      <x:c r="E16" s="17" t="n">
        <x:v>49.1</x:v>
      </x:c>
      <x:c r="F16">
        <x:f>IF(B16="","",B16-Parametros_4E!$B$2)</x:f>
        <x:v>55.88125</x:v>
      </x:c>
      <x:c r="G16">
        <x:f>IF(C16="","",C16-Parametros_4E!$B$3)</x:f>
      </x:c>
      <x:c r="H16">
        <x:f>IF(D16="","",D16-Parametros_4E!$B$4)</x:f>
        <x:v>62.25</x:v>
      </x:c>
      <x:c r="I16">
        <x:f>IF(E16="","",E16-Parametros_4E!$B$5)</x:f>
        <x:v>53.19722222222222</x:v>
      </x:c>
      <x:c r="J16" s="17">
        <x:f>IF(COUNT(F16:I16)=0,"",(IF(F16="",0,F16*Parametros_4E!$C$2)+IF(G16="",0,G16*Parametros_4E!$C$3)+IF(H16="",0,H16*Parametros_4E!$C$4)+IF(I16="",0,I16*Parametros_4E!$C$5))/(IF(F16="",0,Parametros_4E!$C$2)+IF(G16="",0,Parametros_4E!$C$3)+IF(H16="",0,Parametros_4E!$C$4)+IF(I16="",0,Parametros_4E!$C$5)))</x:f>
        <x:v>58.02654587754402</x:v>
      </x:c>
    </x:row>
    <x:row r="17">
      <x:c r="A17" s="25" t="n">
        <x:v>46037</x:v>
      </x:c>
      <x:c r="C17" s="17" t="n">
        <x:v>61</x:v>
      </x:c>
      <x:c r="D17" s="17" t="n">
        <x:v>62.6</x:v>
      </x:c>
      <x:c r="E17" s="17" t="n">
        <x:v>49</x:v>
      </x:c>
      <x:c r="F17">
        <x:f>IF(B17="","",B17-Parametros_4E!$B$2)</x:f>
      </x:c>
      <x:c r="G17">
        <x:f>IF(C17="","",C17-Parametros_4E!$B$3)</x:f>
        <x:v>58.896875</x:v>
      </x:c>
      <x:c r="H17">
        <x:f>IF(D17="","",D17-Parametros_4E!$B$4)</x:f>
        <x:v>61.050000000000004</x:v>
      </x:c>
      <x:c r="I17">
        <x:f>IF(E17="","",E17-Parametros_4E!$B$5)</x:f>
        <x:v>53.09722222222222</x:v>
      </x:c>
      <x:c r="J17" s="17">
        <x:f>IF(COUNT(F17:I17)=0,"",(IF(F17="",0,F17*Parametros_4E!$C$2)+IF(G17="",0,G17*Parametros_4E!$C$3)+IF(H17="",0,H17*Parametros_4E!$C$4)+IF(I17="",0,I17*Parametros_4E!$C$5))/(IF(F17="",0,Parametros_4E!$C$2)+IF(G17="",0,Parametros_4E!$C$3)+IF(H17="",0,Parametros_4E!$C$4)+IF(I17="",0,Parametros_4E!$C$5)))</x:f>
        <x:v>58.99966201432837</x:v>
      </x:c>
    </x:row>
    <x:row r="18">
      <x:c r="A18" s="25" t="n">
        <x:v>46068</x:v>
      </x:c>
      <x:c r="B18" s="17" t="n">
        <x:v>52.7</x:v>
      </x:c>
      <x:c r="C18" s="17" t="n">
        <x:v>61.2</x:v>
      </x:c>
      <x:c r="D18" s="17" t="n">
        <x:v>59.2</x:v>
      </x:c>
      <x:c r="E18" s="17" t="n">
        <x:v>49.1</x:v>
      </x:c>
      <x:c r="F18">
        <x:f>IF(B18="","",B18-Parametros_4E!$B$2)</x:f>
        <x:v>56.081250000000004</x:v>
      </x:c>
      <x:c r="G18">
        <x:f>IF(C18="","",C18-Parametros_4E!$B$3)</x:f>
        <x:v>59.096875000000004</x:v>
      </x:c>
      <x:c r="H18">
        <x:f>IF(D18="","",D18-Parametros_4E!$B$4)</x:f>
        <x:v>57.650000000000006</x:v>
      </x:c>
      <x:c r="I18">
        <x:f>IF(E18="","",E18-Parametros_4E!$B$5)</x:f>
        <x:v>53.19722222222222</x:v>
      </x:c>
      <x:c r="J18" s="17">
        <x:f>IF(COUNT(F18:I18)=0,"",(IF(F18="",0,F18*Parametros_4E!$C$2)+IF(G18="",0,G18*Parametros_4E!$C$3)+IF(H18="",0,H18*Parametros_4E!$C$4)+IF(I18="",0,I18*Parametros_4E!$C$5))/(IF(F18="",0,Parametros_4E!$C$2)+IF(G18="",0,Parametros_4E!$C$3)+IF(H18="",0,Parametros_4E!$C$4)+IF(I18="",0,Parametros_4E!$C$5)))</x:f>
        <x:v>57.30482551999482</x:v>
      </x:c>
    </x:row>
    <x:row r="19">
      <x:c r="A19" s="25" t="n">
        <x:v>46096</x:v>
      </x:c>
      <x:c r="E19" s="17" t="n">
        <x:v>48.6</x:v>
      </x:c>
      <x:c r="F19">
        <x:f>IF(B19="","",B19-Parametros_4E!$B$2)</x:f>
      </x:c>
      <x:c r="G19">
        <x:f>IF(C19="","",C19-Parametros_4E!$B$3)</x:f>
      </x:c>
      <x:c r="H19">
        <x:f>IF(D19="","",D19-Parametros_4E!$B$4)</x:f>
      </x:c>
      <x:c r="I19">
        <x:f>IF(E19="","",E19-Parametros_4E!$B$5)</x:f>
        <x:v>52.69722222222222</x:v>
      </x:c>
      <x:c r="J19" s="17">
        <x:f>IF(COUNT(F19:I19)=0,"",(IF(F19="",0,F19*Parametros_4E!$C$2)+IF(G19="",0,G19*Parametros_4E!$C$3)+IF(H19="",0,H19*Parametros_4E!$C$4)+IF(I19="",0,I19*Parametros_4E!$C$5))/(IF(F19="",0,Parametros_4E!$C$2)+IF(G19="",0,Parametros_4E!$C$3)+IF(H19="",0,Parametros_4E!$C$4)+IF(I19="",0,Parametros_4E!$C$5)))</x:f>
        <x:v>52.69722222222222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6" style="7" customWidth="1"/>
    <x:col min="2" max="2" width="24" style="7" customWidth="1"/>
    <x:col min="3" max="3" width="28" style="7" customWidth="1"/>
  </x:cols>
  <x:sheetData>
    <x:row r="1">
      <x:c r="A1" s="16" t="inlineStr">
        <x:is>
          <x:t xml:space="preserve">Semana_inicio</x:t>
        </x:is>
      </x:c>
      <x:c r="B1" s="16" t="inlineStr">
        <x:is>
          <x:t xml:space="preserve">Aprobacion_estimada_4E</x:t>
        </x:is>
      </x:c>
      <x:c r="C1" s="16" t="inlineStr">
        <x:is>
          <x:t xml:space="preserve">Estado</x:t>
        </x:is>
      </x:c>
    </x:row>
    <x:row r="2">
      <x:c r="A2" s="25" t="n">
        <x:v>45579</x:v>
      </x:c>
      <x:c r="B2" s="17" t="n">
        <x:v>56.89187842995526</x:v>
      </x:c>
      <x:c r="C2" s="21" t="inlineStr">
        <x:is>
          <x:t xml:space="preserve">anchored_to_first_month</x:t>
        </x:is>
      </x:c>
    </x:row>
    <x:row r="3">
      <x:c r="A3" s="25" t="n">
        <x:v>45586</x:v>
      </x:c>
      <x:c r="B3" s="17" t="n">
        <x:v>57.11342013674192</x:v>
      </x:c>
      <x:c r="C3" s="22" t="inlineStr">
        <x:is>
          <x:t xml:space="preserve">interpolated</x:t>
        </x:is>
      </x:c>
    </x:row>
    <x:row r="4">
      <x:c r="A4" s="25" t="n">
        <x:v>45593</x:v>
      </x:c>
      <x:c r="B4" s="17" t="n">
        <x:v>57.26657260988619</x:v>
      </x:c>
      <x:c r="C4" s="22" t="inlineStr">
        <x:is>
          <x:t xml:space="preserve">interpolated</x:t>
        </x:is>
      </x:c>
    </x:row>
    <x:row r="5">
      <x:c r="A5" s="25" t="n">
        <x:v>45600</x:v>
      </x:c>
      <x:c r="B5" s="17" t="n">
        <x:v>57.33696363221054</x:v>
      </x:c>
      <x:c r="C5" s="22" t="inlineStr">
        <x:is>
          <x:t xml:space="preserve">interpolated</x:t>
        </x:is>
      </x:c>
    </x:row>
    <x:row r="6">
      <x:c r="A6" s="25" t="n">
        <x:v>45607</x:v>
      </x:c>
      <x:c r="B6" s="17" t="n">
        <x:v>57.35677821236716</x:v>
      </x:c>
      <x:c r="C6" s="22" t="inlineStr">
        <x:is>
          <x:t xml:space="preserve">interpolated</x:t>
        </x:is>
      </x:c>
    </x:row>
    <x:row r="7">
      <x:c r="A7" s="25" t="n">
        <x:v>45614</x:v>
      </x:c>
      <x:c r="B7" s="17" t="n">
        <x:v>57.31620488916587</x:v>
      </x:c>
      <x:c r="C7" s="22" t="inlineStr">
        <x:is>
          <x:t xml:space="preserve">interpolated</x:t>
        </x:is>
      </x:c>
    </x:row>
    <x:row r="8">
      <x:c r="A8" s="25" t="n">
        <x:v>45621</x:v>
      </x:c>
      <x:c r="B8" s="17" t="n">
        <x:v>56.97283264798345</x:v>
      </x:c>
      <x:c r="C8" s="22" t="inlineStr">
        <x:is>
          <x:t xml:space="preserve">interpolated</x:t>
        </x:is>
      </x:c>
    </x:row>
    <x:row r="9">
      <x:c r="A9" s="25" t="n">
        <x:v>45628</x:v>
      </x:c>
      <x:c r="B9" s="17" t="n">
        <x:v>56.46778289413666</x:v>
      </x:c>
      <x:c r="C9" s="22" t="inlineStr">
        <x:is>
          <x:t xml:space="preserve">interpolated</x:t>
        </x:is>
      </x:c>
    </x:row>
    <x:row r="10">
      <x:c r="A10" s="25" t="n">
        <x:v>45635</x:v>
      </x:c>
      <x:c r="B10" s="17" t="n">
        <x:v>56.02740414535561</x:v>
      </x:c>
      <x:c r="C10" s="22" t="inlineStr">
        <x:is>
          <x:t xml:space="preserve">interpolated</x:t>
        </x:is>
      </x:c>
    </x:row>
    <x:row r="11">
      <x:c r="A11" s="25" t="n">
        <x:v>45642</x:v>
      </x:c>
      <x:c r="B11" s="17" t="n">
        <x:v>55.87615166998533</x:v>
      </x:c>
      <x:c r="C11" s="22" t="inlineStr">
        <x:is>
          <x:t xml:space="preserve">interpolated</x:t>
        </x:is>
      </x:c>
    </x:row>
    <x:row r="12">
      <x:c r="A12" s="25" t="n">
        <x:v>45649</x:v>
      </x:c>
      <x:c r="B12" s="17" t="n">
        <x:v>56.05058971713071</x:v>
      </x:c>
      <x:c r="C12" s="22" t="inlineStr">
        <x:is>
          <x:t xml:space="preserve">interpolated</x:t>
        </x:is>
      </x:c>
    </x:row>
    <x:row r="13">
      <x:c r="A13" s="25" t="n">
        <x:v>45656</x:v>
      </x:c>
      <x:c r="B13" s="17" t="n">
        <x:v>56.40940385036919</x:v>
      </x:c>
      <x:c r="C13" s="22" t="inlineStr">
        <x:is>
          <x:t xml:space="preserve">interpolated</x:t>
        </x:is>
      </x:c>
    </x:row>
    <x:row r="14">
      <x:c r="A14" s="25" t="n">
        <x:v>45663</x:v>
      </x:c>
      <x:c r="B14" s="17" t="n">
        <x:v>56.83764507956683</x:v>
      </x:c>
      <x:c r="C14" s="22" t="inlineStr">
        <x:is>
          <x:t xml:space="preserve">interpolated</x:t>
        </x:is>
      </x:c>
    </x:row>
    <x:row r="15">
      <x:c r="A15" s="25" t="n">
        <x:v>45670</x:v>
      </x:c>
      <x:c r="B15" s="17" t="n">
        <x:v>57.22036441458972</x:v>
      </x:c>
      <x:c r="C15" s="22" t="inlineStr">
        <x:is>
          <x:t xml:space="preserve">interpolated</x:t>
        </x:is>
      </x:c>
    </x:row>
    <x:row r="16">
      <x:c r="A16" s="25" t="n">
        <x:v>45677</x:v>
      </x:c>
      <x:c r="B16" s="17" t="n">
        <x:v>57.51346109743765</x:v>
      </x:c>
      <x:c r="C16" s="22" t="inlineStr">
        <x:is>
          <x:t xml:space="preserve">interpolated</x:t>
        </x:is>
      </x:c>
    </x:row>
    <x:row r="17">
      <x:c r="A17" s="25" t="n">
        <x:v>45684</x:v>
      </x:c>
      <x:c r="B17" s="17" t="n">
        <x:v>57.8245184193639</x:v>
      </x:c>
      <x:c r="C17" s="22" t="inlineStr">
        <x:is>
          <x:t xml:space="preserve">interpolated</x:t>
        </x:is>
      </x:c>
    </x:row>
    <x:row r="18">
      <x:c r="A18" s="25" t="n">
        <x:v>45691</x:v>
      </x:c>
      <x:c r="B18" s="17" t="n">
        <x:v>58.1042803060043</x:v>
      </x:c>
      <x:c r="C18" s="22" t="inlineStr">
        <x:is>
          <x:t xml:space="preserve">interpolated</x:t>
        </x:is>
      </x:c>
    </x:row>
    <x:row r="19">
      <x:c r="A19" s="25" t="n">
        <x:v>45698</x:v>
      </x:c>
      <x:c r="B19" s="17" t="n">
        <x:v>58.29290472031706</x:v>
      </x:c>
      <x:c r="C19" s="22" t="inlineStr">
        <x:is>
          <x:t xml:space="preserve">interpolated</x:t>
        </x:is>
      </x:c>
    </x:row>
    <x:row r="20">
      <x:c r="A20" s="25" t="n">
        <x:v>45705</x:v>
      </x:c>
      <x:c r="B20" s="17" t="n">
        <x:v>58.31861858744569</x:v>
      </x:c>
      <x:c r="C20" s="22" t="inlineStr">
        <x:is>
          <x:t xml:space="preserve">interpolated</x:t>
        </x:is>
      </x:c>
    </x:row>
    <x:row r="21">
      <x:c r="A21" s="25" t="n">
        <x:v>45712</x:v>
      </x:c>
      <x:c r="B21" s="17" t="n">
        <x:v>58.00338229677419</x:v>
      </x:c>
      <x:c r="C21" s="22" t="inlineStr">
        <x:is>
          <x:t xml:space="preserve">interpolated</x:t>
        </x:is>
      </x:c>
    </x:row>
    <x:row r="22">
      <x:c r="A22" s="25" t="n">
        <x:v>45719</x:v>
      </x:c>
      <x:c r="B22" s="17" t="n">
        <x:v>57.50374594749261</x:v>
      </x:c>
      <x:c r="C22" s="22" t="inlineStr">
        <x:is>
          <x:t xml:space="preserve">interpolated</x:t>
        </x:is>
      </x:c>
    </x:row>
    <x:row r="23">
      <x:c r="A23" s="25" t="n">
        <x:v>45726</x:v>
      </x:c>
      <x:c r="B23" s="17" t="n">
        <x:v>57.07786962165507</x:v>
      </x:c>
      <x:c r="C23" s="22" t="inlineStr">
        <x:is>
          <x:t xml:space="preserve">interpolated</x:t>
        </x:is>
      </x:c>
    </x:row>
    <x:row r="24">
      <x:c r="A24" s="25" t="n">
        <x:v>45733</x:v>
      </x:c>
      <x:c r="B24" s="17" t="n">
        <x:v>56.96673984922728</x:v>
      </x:c>
      <x:c r="C24" s="22" t="inlineStr">
        <x:is>
          <x:t xml:space="preserve">interpolated</x:t>
        </x:is>
      </x:c>
    </x:row>
    <x:row r="25">
      <x:c r="A25" s="25" t="n">
        <x:v>45740</x:v>
      </x:c>
      <x:c r="B25" s="17" t="n">
        <x:v>57.05428747503667</x:v>
      </x:c>
      <x:c r="C25" s="22" t="inlineStr">
        <x:is>
          <x:t xml:space="preserve">interpolated</x:t>
        </x:is>
      </x:c>
    </x:row>
    <x:row r="26">
      <x:c r="A26" s="25" t="n">
        <x:v>45747</x:v>
      </x:c>
      <x:c r="B26" s="17" t="n">
        <x:v>57.23234911841334</x:v>
      </x:c>
      <x:c r="C26" s="22" t="inlineStr">
        <x:is>
          <x:t xml:space="preserve">interpolated</x:t>
        </x:is>
      </x:c>
    </x:row>
    <x:row r="27">
      <x:c r="A27" s="25" t="n">
        <x:v>45754</x:v>
      </x:c>
      <x:c r="B27" s="17" t="n">
        <x:v>57.47602651167725</x:v>
      </x:c>
      <x:c r="C27" s="22" t="inlineStr">
        <x:is>
          <x:t xml:space="preserve">interpolated</x:t>
        </x:is>
      </x:c>
    </x:row>
    <x:row r="28">
      <x:c r="A28" s="25" t="n">
        <x:v>45761</x:v>
      </x:c>
      <x:c r="B28" s="17" t="n">
        <x:v>57.76042138714843</x:v>
      </x:c>
      <x:c r="C28" s="22" t="inlineStr">
        <x:is>
          <x:t xml:space="preserve">interpolated</x:t>
        </x:is>
      </x:c>
    </x:row>
    <x:row r="29">
      <x:c r="A29" s="25" t="n">
        <x:v>45768</x:v>
      </x:c>
      <x:c r="B29" s="17" t="n">
        <x:v>58.27264963691908</x:v>
      </x:c>
      <x:c r="C29" s="22" t="inlineStr">
        <x:is>
          <x:t xml:space="preserve">interpolated</x:t>
        </x:is>
      </x:c>
    </x:row>
    <x:row r="30">
      <x:c r="A30" s="25" t="n">
        <x:v>45775</x:v>
      </x:c>
      <x:c r="B30" s="17" t="n">
        <x:v>59.15958087959601</x:v>
      </x:c>
      <x:c r="C30" s="22" t="inlineStr">
        <x:is>
          <x:t xml:space="preserve">interpolated</x:t>
        </x:is>
      </x:c>
    </x:row>
    <x:row r="31">
      <x:c r="A31" s="25" t="n">
        <x:v>45782</x:v>
      </x:c>
      <x:c r="B31" s="17" t="n">
        <x:v>60.07716973703668</x:v>
      </x:c>
      <x:c r="C31" s="22" t="inlineStr">
        <x:is>
          <x:t xml:space="preserve">interpolated</x:t>
        </x:is>
      </x:c>
    </x:row>
    <x:row r="32">
      <x:c r="A32" s="25" t="n">
        <x:v>45789</x:v>
      </x:c>
      <x:c r="B32" s="17" t="n">
        <x:v>60.67437220965843</x:v>
      </x:c>
      <x:c r="C32" s="22" t="inlineStr">
        <x:is>
          <x:t xml:space="preserve">interpolated</x:t>
        </x:is>
      </x:c>
    </x:row>
    <x:row r="33">
      <x:c r="A33" s="25" t="n">
        <x:v>45796</x:v>
      </x:c>
      <x:c r="B33" s="17" t="n">
        <x:v>60.69512503136471</x:v>
      </x:c>
      <x:c r="C33" s="22" t="inlineStr">
        <x:is>
          <x:t xml:space="preserve">interpolated</x:t>
        </x:is>
      </x:c>
    </x:row>
    <x:row r="34">
      <x:c r="A34" s="25" t="n">
        <x:v>45803</x:v>
      </x:c>
      <x:c r="B34" s="17" t="n">
        <x:v>60.41485447516958</x:v>
      </x:c>
      <x:c r="C34" s="22" t="inlineStr">
        <x:is>
          <x:t xml:space="preserve">interpolated</x:t>
        </x:is>
      </x:c>
    </x:row>
    <x:row r="35">
      <x:c r="A35" s="25" t="n">
        <x:v>45810</x:v>
      </x:c>
      <x:c r="B35" s="17" t="n">
        <x:v>59.99081421795217</x:v>
      </x:c>
      <x:c r="C35" s="22" t="inlineStr">
        <x:is>
          <x:t xml:space="preserve">interpolated</x:t>
        </x:is>
      </x:c>
    </x:row>
    <x:row r="36">
      <x:c r="A36" s="25" t="n">
        <x:v>45817</x:v>
      </x:c>
      <x:c r="B36" s="17" t="n">
        <x:v>59.54119562181236</x:v>
      </x:c>
      <x:c r="C36" s="22" t="inlineStr">
        <x:is>
          <x:t xml:space="preserve">interpolated</x:t>
        </x:is>
      </x:c>
    </x:row>
    <x:row r="37">
      <x:c r="A37" s="25" t="n">
        <x:v>45824</x:v>
      </x:c>
      <x:c r="B37" s="17" t="n">
        <x:v>59.18123480477468</x:v>
      </x:c>
      <x:c r="C37" s="22" t="inlineStr">
        <x:is>
          <x:t xml:space="preserve">interpolated</x:t>
        </x:is>
      </x:c>
    </x:row>
    <x:row r="38">
      <x:c r="A38" s="25" t="n">
        <x:v>45831</x:v>
      </x:c>
      <x:c r="B38" s="17" t="n">
        <x:v>58.83975983783936</x:v>
      </x:c>
      <x:c r="C38" s="22" t="inlineStr">
        <x:is>
          <x:t xml:space="preserve">interpolated</x:t>
        </x:is>
      </x:c>
    </x:row>
    <x:row r="39">
      <x:c r="A39" s="25" t="n">
        <x:v>45838</x:v>
      </x:c>
      <x:c r="B39" s="17" t="n">
        <x:v>58.49191551755064</x:v>
      </x:c>
      <x:c r="C39" s="22" t="inlineStr">
        <x:is>
          <x:t xml:space="preserve">interpolated</x:t>
        </x:is>
      </x:c>
    </x:row>
    <x:row r="40">
      <x:c r="A40" s="25" t="n">
        <x:v>45845</x:v>
      </x:c>
      <x:c r="B40" s="17" t="n">
        <x:v>58.2141203882567</x:v>
      </x:c>
      <x:c r="C40" s="22" t="inlineStr">
        <x:is>
          <x:t xml:space="preserve">interpolated</x:t>
        </x:is>
      </x:c>
    </x:row>
    <x:row r="41">
      <x:c r="A41" s="25" t="n">
        <x:v>45852</x:v>
      </x:c>
      <x:c r="B41" s="17" t="n">
        <x:v>58.08279299430566</x:v>
      </x:c>
      <x:c r="C41" s="22" t="inlineStr">
        <x:is>
          <x:t xml:space="preserve">interpolated</x:t>
        </x:is>
      </x:c>
    </x:row>
    <x:row r="42">
      <x:c r="A42" s="25" t="n">
        <x:v>45859</x:v>
      </x:c>
      <x:c r="B42" s="17" t="n">
        <x:v>58.089133857394</x:v>
      </x:c>
      <x:c r="C42" s="22" t="inlineStr">
        <x:is>
          <x:t xml:space="preserve">interpolated</x:t>
        </x:is>
      </x:c>
    </x:row>
    <x:row r="43">
      <x:c r="A43" s="25" t="n">
        <x:v>45866</x:v>
      </x:c>
      <x:c r="B43" s="17" t="n">
        <x:v>58.11893181996302</x:v>
      </x:c>
      <x:c r="C43" s="22" t="inlineStr">
        <x:is>
          <x:t xml:space="preserve">interpolated</x:t>
        </x:is>
      </x:c>
    </x:row>
    <x:row r="44">
      <x:c r="A44" s="25" t="n">
        <x:v>45873</x:v>
      </x:c>
      <x:c r="B44" s="17" t="n">
        <x:v>58.16608369350633</x:v>
      </x:c>
      <x:c r="C44" s="22" t="inlineStr">
        <x:is>
          <x:t xml:space="preserve">interpolated</x:t>
        </x:is>
      </x:c>
    </x:row>
    <x:row r="45">
      <x:c r="A45" s="25" t="n">
        <x:v>45880</x:v>
      </x:c>
      <x:c r="B45" s="17" t="n">
        <x:v>58.22657989174321</x:v>
      </x:c>
      <x:c r="C45" s="22" t="inlineStr">
        <x:is>
          <x:t xml:space="preserve">interpolated</x:t>
        </x:is>
      </x:c>
    </x:row>
    <x:row r="46">
      <x:c r="A46" s="25" t="n">
        <x:v>45887</x:v>
      </x:c>
      <x:c r="B46" s="17" t="n">
        <x:v>58.31643200067592</x:v>
      </x:c>
      <x:c r="C46" s="22" t="inlineStr">
        <x:is>
          <x:t xml:space="preserve">interpolated</x:t>
        </x:is>
      </x:c>
    </x:row>
    <x:row r="47">
      <x:c r="A47" s="25" t="n">
        <x:v>45894</x:v>
      </x:c>
      <x:c r="B47" s="17" t="n">
        <x:v>58.55591348174397</x:v>
      </x:c>
      <x:c r="C47" s="22" t="inlineStr">
        <x:is>
          <x:t xml:space="preserve">interpolated</x:t>
        </x:is>
      </x:c>
    </x:row>
    <x:row r="48">
      <x:c r="A48" s="25" t="n">
        <x:v>45901</x:v>
      </x:c>
      <x:c r="B48" s="17" t="n">
        <x:v>58.87065962726577</x:v>
      </x:c>
      <x:c r="C48" s="22" t="inlineStr">
        <x:is>
          <x:t xml:space="preserve">interpolated</x:t>
        </x:is>
      </x:c>
    </x:row>
    <x:row r="49">
      <x:c r="A49" s="25" t="n">
        <x:v>45908</x:v>
      </x:c>
      <x:c r="B49" s="17" t="n">
        <x:v>59.1446147895514</x:v>
      </x:c>
      <x:c r="C49" s="22" t="inlineStr">
        <x:is>
          <x:t xml:space="preserve">interpolated</x:t>
        </x:is>
      </x:c>
    </x:row>
    <x:row r="50">
      <x:c r="A50" s="25" t="n">
        <x:v>45915</x:v>
      </x:c>
      <x:c r="B50" s="17" t="n">
        <x:v>59.26172332091104</x:v>
      </x:c>
      <x:c r="C50" s="22" t="inlineStr">
        <x:is>
          <x:t xml:space="preserve">interpolated</x:t>
        </x:is>
      </x:c>
    </x:row>
    <x:row r="51">
      <x:c r="A51" s="25" t="n">
        <x:v>45922</x:v>
      </x:c>
      <x:c r="B51" s="17" t="n">
        <x:v>59.14136882653711</x:v>
      </x:c>
      <x:c r="C51" s="22" t="inlineStr">
        <x:is>
          <x:t xml:space="preserve">interpolated</x:t>
        </x:is>
      </x:c>
    </x:row>
    <x:row r="52">
      <x:c r="A52" s="25" t="n">
        <x:v>45929</x:v>
      </x:c>
      <x:c r="B52" s="17" t="n">
        <x:v>58.84900831447921</x:v>
      </x:c>
      <x:c r="C52" s="22" t="inlineStr">
        <x:is>
          <x:t xml:space="preserve">interpolated</x:t>
        </x:is>
      </x:c>
    </x:row>
    <x:row r="53">
      <x:c r="A53" s="25" t="n">
        <x:v>45936</x:v>
      </x:c>
      <x:c r="B53" s="17" t="n">
        <x:v>58.48769624133318</x:v>
      </x:c>
      <x:c r="C53" s="22" t="inlineStr">
        <x:is>
          <x:t xml:space="preserve">interpolated</x:t>
        </x:is>
      </x:c>
    </x:row>
    <x:row r="54">
      <x:c r="A54" s="25" t="n">
        <x:v>45943</x:v>
      </x:c>
      <x:c r="B54" s="17" t="n">
        <x:v>58.16048706369484</x:v>
      </x:c>
      <x:c r="C54" s="22" t="inlineStr">
        <x:is>
          <x:t xml:space="preserve">interpolated</x:t>
        </x:is>
      </x:c>
    </x:row>
    <x:row r="55">
      <x:c r="A55" s="25" t="n">
        <x:v>45950</x:v>
      </x:c>
      <x:c r="B55" s="17" t="n">
        <x:v>57.90874600438712</x:v>
      </x:c>
      <x:c r="C55" s="22" t="inlineStr">
        <x:is>
          <x:t xml:space="preserve">interpolated</x:t>
        </x:is>
      </x:c>
    </x:row>
    <x:row r="56">
      <x:c r="A56" s="25" t="n">
        <x:v>45957</x:v>
      </x:c>
      <x:c r="B56" s="17" t="n">
        <x:v>57.64035855364214</x:v>
      </x:c>
      <x:c r="C56" s="22" t="inlineStr">
        <x:is>
          <x:t xml:space="preserve">interpolated</x:t>
        </x:is>
      </x:c>
    </x:row>
    <x:row r="57">
      <x:c r="A57" s="25" t="n">
        <x:v>45964</x:v>
      </x:c>
      <x:c r="B57" s="17" t="n">
        <x:v>57.39834960222428</x:v>
      </x:c>
      <x:c r="C57" s="22" t="inlineStr">
        <x:is>
          <x:t xml:space="preserve">interpolated</x:t>
        </x:is>
      </x:c>
    </x:row>
    <x:row r="58">
      <x:c r="A58" s="25" t="n">
        <x:v>45971</x:v>
      </x:c>
      <x:c r="B58" s="17" t="n">
        <x:v>57.23492246604734</x:v>
      </x:c>
      <x:c r="C58" s="22" t="inlineStr">
        <x:is>
          <x:t xml:space="preserve">interpolated</x:t>
        </x:is>
      </x:c>
    </x:row>
    <x:row r="59">
      <x:c r="A59" s="25" t="n">
        <x:v>45978</x:v>
      </x:c>
      <x:c r="B59" s="17" t="n">
        <x:v>57.20214719974744</x:v>
      </x:c>
      <x:c r="C59" s="22" t="inlineStr">
        <x:is>
          <x:t xml:space="preserve">interpolated</x:t>
        </x:is>
      </x:c>
    </x:row>
    <x:row r="60">
      <x:c r="A60" s="25" t="n">
        <x:v>45985</x:v>
      </x:c>
      <x:c r="B60" s="17" t="n">
        <x:v>57.3191686030683</x:v>
      </x:c>
      <x:c r="C60" s="22" t="inlineStr">
        <x:is>
          <x:t xml:space="preserve">interpolated</x:t>
        </x:is>
      </x:c>
    </x:row>
    <x:row r="61">
      <x:c r="A61" s="25" t="n">
        <x:v>45992</x:v>
      </x:c>
      <x:c r="B61" s="17" t="n">
        <x:v>57.53520432862137</x:v>
      </x:c>
      <x:c r="C61" s="22" t="inlineStr">
        <x:is>
          <x:t xml:space="preserve">interpolated</x:t>
        </x:is>
      </x:c>
    </x:row>
    <x:row r="62">
      <x:c r="A62" s="25" t="n">
        <x:v>45999</x:v>
      </x:c>
      <x:c r="B62" s="17" t="n">
        <x:v>57.79081115918662</x:v>
      </x:c>
      <x:c r="C62" s="22" t="inlineStr">
        <x:is>
          <x:t xml:space="preserve">interpolated</x:t>
        </x:is>
      </x:c>
    </x:row>
    <x:row r="63">
      <x:c r="A63" s="25" t="n">
        <x:v>46006</x:v>
      </x:c>
      <x:c r="B63" s="17" t="n">
        <x:v>58.02654587754402</x:v>
      </x:c>
      <x:c r="C63" s="22" t="inlineStr">
        <x:is>
          <x:t xml:space="preserve">interpolated</x:t>
        </x:is>
      </x:c>
    </x:row>
    <x:row r="64">
      <x:c r="A64" s="25" t="n">
        <x:v>46013</x:v>
      </x:c>
      <x:c r="B64" s="17" t="n">
        <x:v>58.27645314651103</x:v>
      </x:c>
      <x:c r="C64" s="22" t="inlineStr">
        <x:is>
          <x:t xml:space="preserve">interpolated</x:t>
        </x:is>
      </x:c>
    </x:row>
    <x:row r="65">
      <x:c r="A65" s="25" t="n">
        <x:v>46020</x:v>
      </x:c>
      <x:c r="B65" s="17" t="n">
        <x:v>58.56658567113405</x:v>
      </x:c>
      <x:c r="C65" s="22" t="inlineStr">
        <x:is>
          <x:t xml:space="preserve">interpolated</x:t>
        </x:is>
      </x:c>
    </x:row>
    <x:row r="66">
      <x:c r="A66" s="25" t="n">
        <x:v>46027</x:v>
      </x:c>
      <x:c r="B66" s="17" t="n">
        <x:v>58.82551229753636</x:v>
      </x:c>
      <x:c r="C66" s="22" t="inlineStr">
        <x:is>
          <x:t xml:space="preserve">interpolated</x:t>
        </x:is>
      </x:c>
    </x:row>
    <x:row r="67">
      <x:c r="A67" s="25" t="n">
        <x:v>46034</x:v>
      </x:c>
      <x:c r="B67" s="17" t="n">
        <x:v>58.98180187184128</x:v>
      </x:c>
      <x:c r="C67" s="22" t="inlineStr">
        <x:is>
          <x:t xml:space="preserve">interpolated</x:t>
        </x:is>
      </x:c>
    </x:row>
    <x:row r="68">
      <x:c r="A68" s="25" t="n">
        <x:v>46041</x:v>
      </x:c>
      <x:c r="B68" s="17" t="n">
        <x:v>58.9595021474122</x:v>
      </x:c>
      <x:c r="C68" s="22" t="inlineStr">
        <x:is>
          <x:t xml:space="preserve">interpolated</x:t>
        </x:is>
      </x:c>
    </x:row>
    <x:row r="69">
      <x:c r="A69" s="25" t="n">
        <x:v>46048</x:v>
      </x:c>
      <x:c r="B69" s="17" t="n">
        <x:v>58.7193670527991</x:v>
      </x:c>
      <x:c r="C69" s="22" t="inlineStr">
        <x:is>
          <x:t xml:space="preserve">interpolated</x:t>
        </x:is>
      </x:c>
    </x:row>
    <x:row r="70">
      <x:c r="A70" s="25" t="n">
        <x:v>46055</x:v>
      </x:c>
      <x:c r="B70" s="17" t="n">
        <x:v>58.31181555846379</x:v>
      </x:c>
      <x:c r="C70" s="22" t="inlineStr">
        <x:is>
          <x:t xml:space="preserve">interpolated</x:t>
        </x:is>
      </x:c>
    </x:row>
    <x:row r="71">
      <x:c r="A71" s="25" t="n">
        <x:v>46062</x:v>
      </x:c>
      <x:c r="B71" s="17" t="n">
        <x:v>57.7937379570934</x:v>
      </x:c>
      <x:c r="C71" s="22" t="inlineStr">
        <x:is>
          <x:t xml:space="preserve">interpolated</x:t>
        </x:is>
      </x:c>
    </x:row>
    <x:row r="72">
      <x:c r="A72" s="25" t="n">
        <x:v>46069</x:v>
      </x:c>
      <x:c r="B72" s="17" t="n">
        <x:v>57.218105560259</x:v>
      </x:c>
      <x:c r="C72" s="22" t="inlineStr">
        <x:is>
          <x:t xml:space="preserve">interpolated</x:t>
        </x:is>
      </x:c>
    </x:row>
    <x:row r="73">
      <x:c r="A73" s="25" t="n">
        <x:v>46076</x:v>
      </x:c>
      <x:c r="B73" s="17" t="n">
        <x:v>56.40729766920956</x:v>
      </x:c>
      <x:c r="C73" s="22" t="inlineStr">
        <x:is>
          <x:t xml:space="preserve">interpolated</x:t>
        </x:is>
      </x:c>
    </x:row>
    <x:row r="74">
      <x:c r="A74" s="25" t="n">
        <x:v>46083</x:v>
      </x:c>
      <x:c r="B74" s="17" t="n">
        <x:v>55.2954507722921</x:v>
      </x:c>
      <x:c r="C74" s="22" t="inlineStr">
        <x:is>
          <x:t xml:space="preserve">interpolated</x:t>
        </x:is>
      </x:c>
    </x:row>
    <x:row r="75">
      <x:c r="A75" s="25" t="n">
        <x:v>46090</x:v>
      </x:c>
      <x:c r="B75" s="17" t="n">
        <x:v>53.96034228489324</x:v>
      </x:c>
      <x:c r="C75" s="22" t="inlineStr">
        <x:is>
          <x:t xml:space="preserve">interpolated</x:t>
        </x:is>
      </x:c>
    </x:row>
    <x:row r="76">
      <x:c r="A76" s="25" t="n">
        <x:v>46097</x:v>
      </x:c>
      <x:c r="B76" s="17" t="n">
        <x:v>52.69722222222222</x:v>
      </x:c>
      <x:c r="C76" s="23" t="inlineStr">
        <x:is>
          <x:t xml:space="preserve">observed_hold_after_last_month</x:t>
        </x:is>
      </x:c>
    </x:row>
    <x:row r="77">
      <x:c r="A77" s="25" t="n">
        <x:v>46104</x:v>
      </x:c>
      <x:c r="B77" s="17" t="n">
        <x:v>52.69722222222222</x:v>
      </x:c>
      <x:c r="C77" s="23" t="inlineStr">
        <x:is>
          <x:t xml:space="preserve">observed_hold_after_last_month</x:t>
        </x:is>
      </x:c>
    </x:row>
    <x:row r="78">
      <x:c r="A78" s="25" t="n">
        <x:v>46111</x:v>
      </x:c>
      <x:c r="B78" s="17" t="n">
        <x:v>52.69722222222222</x:v>
      </x:c>
      <x:c r="C78" s="23" t="inlineStr">
        <x:is>
          <x:t xml:space="preserve">observed_hold_after_last_month</x:t>
        </x:is>
      </x:c>
    </x:row>
  </x:sheetData>
  <x:pageMargins left="0.7" right="0.7" top="0.75" bottom="0.75" header="0.3" footer="0.3"/>
  <x:drawing xmlns:r="http://schemas.openxmlformats.org/officeDocument/2006/relationships" r:id="Rf392ed9b0a854b47"/>
</x:worksheet>
</file>